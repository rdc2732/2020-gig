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ichard.cottle\Desktop\"/>
    </mc:Choice>
  </mc:AlternateContent>
  <bookViews>
    <workbookView xWindow="-12" yWindow="2412" windowWidth="12516" windowHeight="2448" activeTab="3"/>
  </bookViews>
  <sheets>
    <sheet name="CyberData" sheetId="1" r:id="rId1"/>
    <sheet name="lookups" sheetId="3" r:id="rId2"/>
    <sheet name="Pivot" sheetId="5" r:id="rId3"/>
    <sheet name="SprintReview" sheetId="9" r:id="rId4"/>
    <sheet name="Instructions" sheetId="7" r:id="rId5"/>
    <sheet name="Innovation" sheetId="10" r:id="rId6"/>
    <sheet name="capacity" sheetId="8" state="hidden" r:id="rId7"/>
  </sheets>
  <definedNames>
    <definedName name="_xlnm._FilterDatabase" localSheetId="0" hidden="1">CyberData!$A$1:$T$1288</definedName>
    <definedName name="_xlnm.Print_Area" localSheetId="6">capacity!$A$2:$G$48</definedName>
    <definedName name="_xlnm.Print_Area" localSheetId="2">Pivot!#REF!</definedName>
    <definedName name="Z_31FA9DD3_B818_410A_9EF7_90B6C16B950C_.wvu.FilterData" localSheetId="0" hidden="1">CyberData!$B$1:$T$907</definedName>
  </definedNames>
  <calcPr calcId="162913"/>
  <customWorkbookViews>
    <customWorkbookView name="Greg Stymfal - Personal View" guid="{31FA9DD3-B818-410A-9EF7-90B6C16B950C}" mergeInterval="0" personalView="1" maximized="1" windowWidth="1920" windowHeight="852" activeSheetId="1"/>
  </customWorkbookViews>
  <pivotCaches>
    <pivotCache cacheId="14" r:id="rId8"/>
  </pivotCaches>
</workbook>
</file>

<file path=xl/calcChain.xml><?xml version="1.0" encoding="utf-8"?>
<calcChain xmlns="http://schemas.openxmlformats.org/spreadsheetml/2006/main">
  <c r="E5" i="9" l="1"/>
  <c r="D43" i="9"/>
  <c r="B6" i="9" l="1"/>
  <c r="B7" i="9"/>
  <c r="B8" i="9"/>
  <c r="B5" i="9"/>
  <c r="A6" i="9"/>
  <c r="A7" i="9"/>
  <c r="A8" i="9"/>
  <c r="A5" i="9"/>
  <c r="G4" i="9" l="1"/>
  <c r="F4" i="9"/>
  <c r="T181" i="1" l="1"/>
  <c r="S181" i="1"/>
  <c r="P181" i="1" s="1"/>
  <c r="Q181" i="1"/>
  <c r="R181" i="1" s="1"/>
  <c r="N181" i="1"/>
  <c r="M181" i="1"/>
  <c r="T219" i="1"/>
  <c r="S219" i="1"/>
  <c r="P219" i="1" s="1"/>
  <c r="Q219" i="1"/>
  <c r="R219" i="1" s="1"/>
  <c r="N219" i="1"/>
  <c r="M219" i="1"/>
  <c r="M359" i="1"/>
  <c r="N359" i="1"/>
  <c r="Q359" i="1"/>
  <c r="R359" i="1" s="1"/>
  <c r="S359" i="1"/>
  <c r="P359" i="1" s="1"/>
  <c r="T359" i="1"/>
  <c r="M1050" i="1"/>
  <c r="M209" i="1"/>
  <c r="M81" i="1"/>
  <c r="M212" i="1"/>
  <c r="T924" i="1"/>
  <c r="S924" i="1"/>
  <c r="P924" i="1" s="1"/>
  <c r="Q924" i="1"/>
  <c r="R924" i="1" s="1"/>
  <c r="N924" i="1"/>
  <c r="M924" i="1"/>
  <c r="O181" i="1" l="1"/>
  <c r="O359" i="1"/>
  <c r="O219" i="1"/>
  <c r="O924" i="1"/>
  <c r="S9" i="5"/>
  <c r="J2" i="5"/>
  <c r="S7" i="5" l="1"/>
  <c r="S8" i="5"/>
  <c r="S10" i="5"/>
  <c r="S11" i="5"/>
  <c r="S12" i="5"/>
  <c r="S13" i="5"/>
  <c r="S14" i="5"/>
  <c r="S15" i="5"/>
  <c r="S16" i="5"/>
  <c r="S17" i="5"/>
  <c r="S6" i="5"/>
  <c r="S19" i="5" l="1"/>
  <c r="D5" i="9" l="1"/>
  <c r="D6" i="9"/>
  <c r="D7" i="9"/>
  <c r="D8" i="9"/>
  <c r="D4" i="9"/>
  <c r="E4" i="9"/>
  <c r="C44" i="9"/>
  <c r="C45" i="9"/>
  <c r="C46" i="9"/>
  <c r="C47" i="9"/>
  <c r="C48" i="9"/>
  <c r="C49" i="9"/>
  <c r="C50" i="9"/>
  <c r="C43" i="9"/>
  <c r="B44" i="9"/>
  <c r="B45" i="9"/>
  <c r="B46" i="9"/>
  <c r="B47" i="9"/>
  <c r="B48" i="9"/>
  <c r="B43" i="9"/>
  <c r="B31" i="9"/>
  <c r="B32" i="9"/>
  <c r="B33" i="9"/>
  <c r="B34" i="9"/>
  <c r="B35" i="9"/>
  <c r="B30" i="9"/>
  <c r="A44" i="9"/>
  <c r="A45" i="9"/>
  <c r="A46" i="9"/>
  <c r="A47" i="9"/>
  <c r="A48" i="9"/>
  <c r="A49" i="9"/>
  <c r="A50" i="9"/>
  <c r="A43" i="9"/>
  <c r="A31" i="9"/>
  <c r="A32" i="9"/>
  <c r="A33" i="9"/>
  <c r="A34" i="9"/>
  <c r="A35" i="9"/>
  <c r="A36" i="9"/>
  <c r="A37" i="9"/>
  <c r="A30" i="9"/>
  <c r="C31" i="9"/>
  <c r="C32" i="9"/>
  <c r="C33" i="9"/>
  <c r="C34" i="9"/>
  <c r="C35" i="9"/>
  <c r="C36" i="9"/>
  <c r="C37" i="9"/>
  <c r="C30" i="9"/>
  <c r="Q548" i="1" l="1"/>
  <c r="R548" i="1" s="1"/>
  <c r="Q166" i="1"/>
  <c r="R166" i="1" s="1"/>
  <c r="Q865" i="1"/>
  <c r="R865" i="1" s="1"/>
  <c r="Q473" i="1"/>
  <c r="R473" i="1" s="1"/>
  <c r="Q523" i="1"/>
  <c r="R523" i="1" s="1"/>
  <c r="Q655" i="1"/>
  <c r="R655" i="1" s="1"/>
  <c r="Q512" i="1"/>
  <c r="R512" i="1" s="1"/>
  <c r="Q443" i="1"/>
  <c r="R443" i="1" s="1"/>
  <c r="Q946" i="1"/>
  <c r="R946" i="1" s="1"/>
  <c r="Q217" i="1"/>
  <c r="R217" i="1" s="1"/>
  <c r="Q721" i="1"/>
  <c r="R721" i="1" s="1"/>
  <c r="Q192" i="1"/>
  <c r="R192" i="1" s="1"/>
  <c r="Q883" i="1"/>
  <c r="R883" i="1" s="1"/>
  <c r="Q818" i="1"/>
  <c r="R818" i="1" s="1"/>
  <c r="Q629" i="1"/>
  <c r="R629" i="1" s="1"/>
  <c r="Q352" i="1"/>
  <c r="R352" i="1" s="1"/>
  <c r="Q364" i="1"/>
  <c r="R364" i="1" s="1"/>
  <c r="Q683" i="1"/>
  <c r="R683" i="1" s="1"/>
  <c r="Q331" i="1"/>
  <c r="R331" i="1" s="1"/>
  <c r="Q640" i="1"/>
  <c r="R640" i="1" s="1"/>
  <c r="Q956" i="1"/>
  <c r="R956" i="1" s="1"/>
  <c r="Q366" i="1"/>
  <c r="R366" i="1" s="1"/>
  <c r="Q136" i="1"/>
  <c r="R136" i="1" s="1"/>
  <c r="Q201" i="1"/>
  <c r="R201" i="1" s="1"/>
  <c r="Q607" i="1"/>
  <c r="R607" i="1" s="1"/>
  <c r="Q528" i="1"/>
  <c r="R528" i="1" s="1"/>
  <c r="Q690" i="1"/>
  <c r="R690" i="1" s="1"/>
  <c r="Q902" i="1"/>
  <c r="R902" i="1" s="1"/>
  <c r="Q838" i="1"/>
  <c r="R838" i="1" s="1"/>
  <c r="Q921" i="1"/>
  <c r="R921" i="1" s="1"/>
  <c r="Q259" i="1"/>
  <c r="R259" i="1" s="1"/>
  <c r="Q332" i="1"/>
  <c r="R332" i="1" s="1"/>
  <c r="Q6" i="1"/>
  <c r="R6" i="1" s="1"/>
  <c r="Q15" i="1"/>
  <c r="R15" i="1" s="1"/>
  <c r="Q792" i="1"/>
  <c r="R792" i="1" s="1"/>
  <c r="Q7" i="1"/>
  <c r="R7" i="1" s="1"/>
  <c r="Q703" i="1"/>
  <c r="R703" i="1" s="1"/>
  <c r="Q691" i="1"/>
  <c r="R691" i="1" s="1"/>
  <c r="Q868" i="1"/>
  <c r="R868" i="1" s="1"/>
  <c r="Q253" i="1"/>
  <c r="R253" i="1" s="1"/>
  <c r="Q133" i="1"/>
  <c r="R133" i="1" s="1"/>
  <c r="Q660" i="1"/>
  <c r="R660" i="1" s="1"/>
  <c r="Q175" i="1"/>
  <c r="R175" i="1" s="1"/>
  <c r="Q465" i="1"/>
  <c r="R465" i="1" s="1"/>
  <c r="Q99" i="1"/>
  <c r="R99" i="1" s="1"/>
  <c r="Q825" i="1"/>
  <c r="R825" i="1" s="1"/>
  <c r="Q355" i="1"/>
  <c r="R355" i="1" s="1"/>
  <c r="Q163" i="1"/>
  <c r="R163" i="1" s="1"/>
  <c r="Q324" i="1"/>
  <c r="R324" i="1" s="1"/>
  <c r="Q125" i="1"/>
  <c r="R125" i="1" s="1"/>
  <c r="Q911" i="1"/>
  <c r="R911" i="1" s="1"/>
  <c r="Q731" i="1"/>
  <c r="R731" i="1" s="1"/>
  <c r="Q778" i="1"/>
  <c r="R778" i="1" s="1"/>
  <c r="Q98" i="1"/>
  <c r="R98" i="1" s="1"/>
  <c r="Q605" i="1"/>
  <c r="R605" i="1" s="1"/>
  <c r="Q699" i="1"/>
  <c r="R699" i="1" s="1"/>
  <c r="Q149" i="1"/>
  <c r="R149" i="1" s="1"/>
  <c r="Q938" i="1"/>
  <c r="R938" i="1" s="1"/>
  <c r="Q341" i="1"/>
  <c r="R341" i="1" s="1"/>
  <c r="Q412" i="1"/>
  <c r="R412" i="1" s="1"/>
  <c r="Q617" i="1"/>
  <c r="R617" i="1" s="1"/>
  <c r="Q787" i="1"/>
  <c r="R787" i="1" s="1"/>
  <c r="Q853" i="1"/>
  <c r="R853" i="1" s="1"/>
  <c r="Q500" i="1"/>
  <c r="R500" i="1" s="1"/>
  <c r="Q626" i="1"/>
  <c r="R626" i="1" s="1"/>
  <c r="Q582" i="1"/>
  <c r="R582" i="1" s="1"/>
  <c r="Q905" i="1"/>
  <c r="R905" i="1" s="1"/>
  <c r="Q434" i="1"/>
  <c r="R434" i="1" s="1"/>
  <c r="Q890" i="1"/>
  <c r="R890" i="1" s="1"/>
  <c r="Q449" i="1"/>
  <c r="R449" i="1" s="1"/>
  <c r="Q753" i="1"/>
  <c r="R753" i="1" s="1"/>
  <c r="Q516" i="1"/>
  <c r="R516" i="1" s="1"/>
  <c r="Q509" i="1"/>
  <c r="R509" i="1" s="1"/>
  <c r="Q533" i="1"/>
  <c r="R533" i="1" s="1"/>
  <c r="Q23" i="1"/>
  <c r="R23" i="1" s="1"/>
  <c r="Q517" i="1"/>
  <c r="R517" i="1" s="1"/>
  <c r="Q384" i="1"/>
  <c r="R384" i="1" s="1"/>
  <c r="Q768" i="1"/>
  <c r="R768" i="1" s="1"/>
  <c r="Q483" i="1"/>
  <c r="R483" i="1" s="1"/>
  <c r="Q282" i="1"/>
  <c r="R282" i="1" s="1"/>
  <c r="Q214" i="1"/>
  <c r="R214" i="1" s="1"/>
  <c r="Q47" i="1"/>
  <c r="R47" i="1" s="1"/>
  <c r="Q520" i="1"/>
  <c r="R520" i="1" s="1"/>
  <c r="Q211" i="1"/>
  <c r="R211" i="1" s="1"/>
  <c r="Q953" i="1"/>
  <c r="R953" i="1" s="1"/>
  <c r="Q40" i="1"/>
  <c r="R40" i="1" s="1"/>
  <c r="Q587" i="1"/>
  <c r="R587" i="1" s="1"/>
  <c r="Q41" i="1"/>
  <c r="R41" i="1" s="1"/>
  <c r="Q464" i="1"/>
  <c r="R464" i="1" s="1"/>
  <c r="Q591" i="1"/>
  <c r="R591" i="1" s="1"/>
  <c r="Q213" i="1"/>
  <c r="R213" i="1" s="1"/>
  <c r="Q741" i="1"/>
  <c r="R741" i="1" s="1"/>
  <c r="Q840" i="1"/>
  <c r="R840" i="1" s="1"/>
  <c r="Q832" i="1"/>
  <c r="R832" i="1" s="1"/>
  <c r="Q669" i="1"/>
  <c r="R669" i="1" s="1"/>
  <c r="Q745" i="1"/>
  <c r="R745" i="1" s="1"/>
  <c r="Q671" i="1"/>
  <c r="R671" i="1" s="1"/>
  <c r="Q556" i="1"/>
  <c r="R556" i="1" s="1"/>
  <c r="Q562" i="1"/>
  <c r="R562" i="1" s="1"/>
  <c r="Q772" i="1"/>
  <c r="R772" i="1" s="1"/>
  <c r="Q112" i="1"/>
  <c r="R112" i="1" s="1"/>
  <c r="Q798" i="1"/>
  <c r="R798" i="1" s="1"/>
  <c r="Q148" i="1"/>
  <c r="R148" i="1" s="1"/>
  <c r="Q754" i="1"/>
  <c r="R754" i="1" s="1"/>
  <c r="Q444" i="1"/>
  <c r="R444" i="1" s="1"/>
  <c r="Q567" i="1"/>
  <c r="R567" i="1" s="1"/>
  <c r="Q388" i="1"/>
  <c r="R388" i="1" s="1"/>
  <c r="Q711" i="1"/>
  <c r="R711" i="1" s="1"/>
  <c r="Q738" i="1"/>
  <c r="R738" i="1" s="1"/>
  <c r="Q231" i="1"/>
  <c r="R231" i="1" s="1"/>
  <c r="Q80" i="1"/>
  <c r="R80" i="1" s="1"/>
  <c r="Q340" i="1"/>
  <c r="R340" i="1" s="1"/>
  <c r="Q241" i="1"/>
  <c r="R241" i="1" s="1"/>
  <c r="Q765" i="1"/>
  <c r="R765" i="1" s="1"/>
  <c r="Q415" i="1"/>
  <c r="R415" i="1" s="1"/>
  <c r="Q350" i="1"/>
  <c r="R350" i="1" s="1"/>
  <c r="Q374" i="1"/>
  <c r="R374" i="1" s="1"/>
  <c r="Q808" i="1"/>
  <c r="R808" i="1" s="1"/>
  <c r="Q346" i="1"/>
  <c r="R346" i="1" s="1"/>
  <c r="Q601" i="1"/>
  <c r="R601" i="1" s="1"/>
  <c r="Q588" i="1"/>
  <c r="R588" i="1" s="1"/>
  <c r="Q27" i="1"/>
  <c r="R27" i="1" s="1"/>
  <c r="Q704" i="1"/>
  <c r="R704" i="1" s="1"/>
  <c r="Q403" i="1"/>
  <c r="R403" i="1" s="1"/>
  <c r="Q732" i="1"/>
  <c r="R732" i="1" s="1"/>
  <c r="Q474" i="1"/>
  <c r="R474" i="1" s="1"/>
  <c r="Q127" i="1"/>
  <c r="R127" i="1" s="1"/>
  <c r="Q461" i="1"/>
  <c r="R461" i="1" s="1"/>
  <c r="Q585" i="1"/>
  <c r="R585" i="1" s="1"/>
  <c r="Q162" i="1"/>
  <c r="R162" i="1" s="1"/>
  <c r="Q89" i="1"/>
  <c r="R89" i="1" s="1"/>
  <c r="Q579" i="1"/>
  <c r="R579" i="1" s="1"/>
  <c r="Q874" i="1"/>
  <c r="R874" i="1" s="1"/>
  <c r="Q848" i="1"/>
  <c r="R848" i="1" s="1"/>
  <c r="Q796" i="1"/>
  <c r="R796" i="1" s="1"/>
  <c r="Q114" i="1"/>
  <c r="R114" i="1" s="1"/>
  <c r="Q708" i="1"/>
  <c r="R708" i="1" s="1"/>
  <c r="Q653" i="1"/>
  <c r="R653" i="1" s="1"/>
  <c r="Q63" i="1"/>
  <c r="R63" i="1" s="1"/>
  <c r="Q348" i="1"/>
  <c r="R348" i="1" s="1"/>
  <c r="Q700" i="1"/>
  <c r="R700" i="1" s="1"/>
  <c r="Q108" i="1"/>
  <c r="R108" i="1" s="1"/>
  <c r="Q257" i="1"/>
  <c r="R257" i="1" s="1"/>
  <c r="Q872" i="1"/>
  <c r="R872" i="1" s="1"/>
  <c r="Q245" i="1"/>
  <c r="R245" i="1" s="1"/>
  <c r="Q250" i="1"/>
  <c r="R250" i="1" s="1"/>
  <c r="Q12" i="1"/>
  <c r="R12" i="1" s="1"/>
  <c r="Q188" i="1"/>
  <c r="R188" i="1" s="1"/>
  <c r="Q191" i="1"/>
  <c r="R191" i="1" s="1"/>
  <c r="Q212" i="1"/>
  <c r="R212" i="1" s="1"/>
  <c r="Q50" i="1"/>
  <c r="R50" i="1" s="1"/>
  <c r="Q73" i="1"/>
  <c r="R73" i="1" s="1"/>
  <c r="Q75" i="1"/>
  <c r="R75" i="1" s="1"/>
  <c r="Q223" i="1"/>
  <c r="R223" i="1" s="1"/>
  <c r="Q884" i="1"/>
  <c r="R884" i="1" s="1"/>
  <c r="Q762" i="1"/>
  <c r="R762" i="1" s="1"/>
  <c r="Q304" i="1"/>
  <c r="R304" i="1" s="1"/>
  <c r="Q69" i="1"/>
  <c r="R69" i="1" s="1"/>
  <c r="Q317" i="1"/>
  <c r="R317" i="1" s="1"/>
  <c r="Q318" i="1"/>
  <c r="R318" i="1" s="1"/>
  <c r="Q421" i="1"/>
  <c r="R421" i="1" s="1"/>
  <c r="Q327" i="1"/>
  <c r="R327" i="1" s="1"/>
  <c r="Q495" i="1"/>
  <c r="R495" i="1" s="1"/>
  <c r="Q609" i="1"/>
  <c r="R609" i="1" s="1"/>
  <c r="Q589" i="1"/>
  <c r="R589" i="1" s="1"/>
  <c r="Q417" i="1"/>
  <c r="R417" i="1" s="1"/>
  <c r="Q542" i="1"/>
  <c r="R542" i="1" s="1"/>
  <c r="Q875" i="1"/>
  <c r="R875" i="1" s="1"/>
  <c r="Q672" i="1"/>
  <c r="R672" i="1" s="1"/>
  <c r="Q780" i="1"/>
  <c r="R780" i="1" s="1"/>
  <c r="Q329" i="1"/>
  <c r="R329" i="1" s="1"/>
  <c r="Q333" i="1"/>
  <c r="R333" i="1" s="1"/>
  <c r="Q652" i="1"/>
  <c r="R652" i="1" s="1"/>
  <c r="Q21" i="1"/>
  <c r="R21" i="1" s="1"/>
  <c r="Q781" i="1"/>
  <c r="R781" i="1" s="1"/>
  <c r="Q183" i="1"/>
  <c r="R183" i="1" s="1"/>
  <c r="Q636" i="1"/>
  <c r="R636" i="1" s="1"/>
  <c r="Q39" i="1"/>
  <c r="R39" i="1" s="1"/>
  <c r="Q418" i="1"/>
  <c r="R418" i="1" s="1"/>
  <c r="Q373" i="1"/>
  <c r="R373" i="1" s="1"/>
  <c r="Q920" i="1"/>
  <c r="R920" i="1" s="1"/>
  <c r="Q718" i="1"/>
  <c r="R718" i="1" s="1"/>
  <c r="Q623" i="1"/>
  <c r="R623" i="1" s="1"/>
  <c r="Q720" i="1"/>
  <c r="R720" i="1" s="1"/>
  <c r="Q642" i="1"/>
  <c r="R642" i="1" s="1"/>
  <c r="Q722" i="1"/>
  <c r="R722" i="1" s="1"/>
  <c r="Q931" i="1"/>
  <c r="R931" i="1" s="1"/>
  <c r="Q715" i="1"/>
  <c r="R715" i="1" s="1"/>
  <c r="Q725" i="1"/>
  <c r="R725" i="1" s="1"/>
  <c r="Q900" i="1"/>
  <c r="R900" i="1" s="1"/>
  <c r="Q235" i="1"/>
  <c r="R235" i="1" s="1"/>
  <c r="Q639" i="1"/>
  <c r="R639" i="1" s="1"/>
  <c r="Q686" i="1"/>
  <c r="R686" i="1" s="1"/>
  <c r="Q688" i="1"/>
  <c r="R688" i="1" s="1"/>
  <c r="Q925" i="1"/>
  <c r="R925" i="1" s="1"/>
  <c r="Q467" i="1"/>
  <c r="R467" i="1" s="1"/>
  <c r="Q459" i="1"/>
  <c r="R459" i="1" s="1"/>
  <c r="Q411" i="1"/>
  <c r="R411" i="1" s="1"/>
  <c r="Q915" i="1"/>
  <c r="R915" i="1" s="1"/>
  <c r="Q826" i="1"/>
  <c r="R826" i="1" s="1"/>
  <c r="Q294" i="1"/>
  <c r="R294" i="1" s="1"/>
  <c r="Q906" i="1"/>
  <c r="R906" i="1" s="1"/>
  <c r="Q278" i="1"/>
  <c r="R278" i="1" s="1"/>
  <c r="Q416" i="1"/>
  <c r="R416" i="1" s="1"/>
  <c r="Q427" i="1"/>
  <c r="R427" i="1" s="1"/>
  <c r="Q228" i="1"/>
  <c r="R228" i="1" s="1"/>
  <c r="Q821" i="1"/>
  <c r="R821" i="1" s="1"/>
  <c r="Q599" i="1"/>
  <c r="R599" i="1" s="1"/>
  <c r="Q261" i="1"/>
  <c r="R261" i="1" s="1"/>
  <c r="Q866" i="1"/>
  <c r="R866" i="1" s="1"/>
  <c r="Q349" i="1"/>
  <c r="R349" i="1" s="1"/>
  <c r="Q441" i="1"/>
  <c r="R441" i="1" s="1"/>
  <c r="Q420" i="1"/>
  <c r="R420" i="1" s="1"/>
  <c r="Q552" i="1"/>
  <c r="R552" i="1" s="1"/>
  <c r="Q757" i="1"/>
  <c r="R757" i="1" s="1"/>
  <c r="Q783" i="1"/>
  <c r="R783" i="1" s="1"/>
  <c r="Q769" i="1"/>
  <c r="R769" i="1" s="1"/>
  <c r="Q823" i="1"/>
  <c r="R823" i="1" s="1"/>
  <c r="Q147" i="1"/>
  <c r="R147" i="1" s="1"/>
  <c r="Q316" i="1"/>
  <c r="R316" i="1" s="1"/>
  <c r="Q157" i="1"/>
  <c r="R157" i="1" s="1"/>
  <c r="Q343" i="1"/>
  <c r="R343" i="1" s="1"/>
  <c r="Q360" i="1"/>
  <c r="R360" i="1" s="1"/>
  <c r="Q265" i="1"/>
  <c r="R265" i="1" s="1"/>
  <c r="Q49" i="1"/>
  <c r="R49" i="1" s="1"/>
  <c r="Q180" i="1"/>
  <c r="R180" i="1" s="1"/>
  <c r="Q939" i="1"/>
  <c r="R939" i="1" s="1"/>
  <c r="Q564" i="1"/>
  <c r="R564" i="1" s="1"/>
  <c r="Q813" i="1"/>
  <c r="R813" i="1" s="1"/>
  <c r="Q110" i="1"/>
  <c r="R110" i="1" s="1"/>
  <c r="Q131" i="1"/>
  <c r="R131" i="1" s="1"/>
  <c r="Q487" i="1"/>
  <c r="R487" i="1" s="1"/>
  <c r="Q665" i="1"/>
  <c r="R665" i="1" s="1"/>
  <c r="Q604" i="1"/>
  <c r="R604" i="1" s="1"/>
  <c r="Q172" i="1"/>
  <c r="R172" i="1" s="1"/>
  <c r="Q742" i="1"/>
  <c r="R742" i="1" s="1"/>
  <c r="Q280" i="1"/>
  <c r="R280" i="1" s="1"/>
  <c r="Q297" i="1"/>
  <c r="R297" i="1" s="1"/>
  <c r="Q472" i="1"/>
  <c r="R472" i="1" s="1"/>
  <c r="Q539" i="1"/>
  <c r="R539" i="1" s="1"/>
  <c r="Q785" i="1"/>
  <c r="R785" i="1" s="1"/>
  <c r="Q458" i="1"/>
  <c r="R458" i="1" s="1"/>
  <c r="Q869" i="1"/>
  <c r="R869" i="1" s="1"/>
  <c r="Q481" i="1"/>
  <c r="R481" i="1" s="1"/>
  <c r="Q176" i="1"/>
  <c r="R176" i="1" s="1"/>
  <c r="Q423" i="1"/>
  <c r="R423" i="1" s="1"/>
  <c r="Q390" i="1"/>
  <c r="R390" i="1" s="1"/>
  <c r="Q867" i="1"/>
  <c r="R867" i="1" s="1"/>
  <c r="Q182" i="1"/>
  <c r="R182" i="1" s="1"/>
  <c r="Q195" i="1"/>
  <c r="R195" i="1" s="1"/>
  <c r="Q524" i="1"/>
  <c r="R524" i="1" s="1"/>
  <c r="Q156" i="1"/>
  <c r="R156" i="1" s="1"/>
  <c r="Q310" i="1"/>
  <c r="R310" i="1" s="1"/>
  <c r="Q698" i="1"/>
  <c r="R698" i="1" s="1"/>
  <c r="Q10" i="1"/>
  <c r="R10" i="1" s="1"/>
  <c r="Q389" i="1"/>
  <c r="R389" i="1" s="1"/>
  <c r="Q375" i="1"/>
  <c r="R375" i="1" s="1"/>
  <c r="Q634" i="1"/>
  <c r="R634" i="1" s="1"/>
  <c r="Q376" i="1"/>
  <c r="R376" i="1" s="1"/>
  <c r="Q574" i="1"/>
  <c r="R574" i="1" s="1"/>
  <c r="Q559" i="1"/>
  <c r="R559" i="1" s="1"/>
  <c r="Q77" i="1"/>
  <c r="R77" i="1" s="1"/>
  <c r="Q204" i="1"/>
  <c r="R204" i="1" s="1"/>
  <c r="Q898" i="1"/>
  <c r="R898" i="1" s="1"/>
  <c r="Q532" i="1"/>
  <c r="R532" i="1" s="1"/>
  <c r="Q947" i="1"/>
  <c r="R947" i="1" s="1"/>
  <c r="Q561" i="1"/>
  <c r="R561" i="1" s="1"/>
  <c r="Q135" i="1"/>
  <c r="R135" i="1" s="1"/>
  <c r="Q122" i="1"/>
  <c r="R122" i="1" s="1"/>
  <c r="Q101" i="1"/>
  <c r="R101" i="1" s="1"/>
  <c r="Q614" i="1"/>
  <c r="R614" i="1" s="1"/>
  <c r="Q733" i="1"/>
  <c r="R733" i="1" s="1"/>
  <c r="Q484" i="1"/>
  <c r="R484" i="1" s="1"/>
  <c r="Q836" i="1"/>
  <c r="R836" i="1" s="1"/>
  <c r="Q651" i="1"/>
  <c r="R651" i="1" s="1"/>
  <c r="Q553" i="1"/>
  <c r="R553" i="1" s="1"/>
  <c r="Q267" i="1"/>
  <c r="R267" i="1" s="1"/>
  <c r="Q893" i="1"/>
  <c r="R893" i="1" s="1"/>
  <c r="Q354" i="1"/>
  <c r="R354" i="1" s="1"/>
  <c r="Q292" i="1"/>
  <c r="R292" i="1" s="1"/>
  <c r="Q648" i="1"/>
  <c r="R648" i="1" s="1"/>
  <c r="Q220" i="1"/>
  <c r="R220" i="1" s="1"/>
  <c r="Q647" i="1"/>
  <c r="R647" i="1" s="1"/>
  <c r="Q530" i="1"/>
  <c r="R530" i="1" s="1"/>
  <c r="Q485" i="1"/>
  <c r="R485" i="1" s="1"/>
  <c r="Q767" i="1"/>
  <c r="R767" i="1" s="1"/>
  <c r="Q759" i="1"/>
  <c r="R759" i="1" s="1"/>
  <c r="Q489" i="1"/>
  <c r="R489" i="1" s="1"/>
  <c r="Q795" i="1"/>
  <c r="R795" i="1" s="1"/>
  <c r="Q70" i="1"/>
  <c r="R70" i="1" s="1"/>
  <c r="Q843" i="1"/>
  <c r="R843" i="1" s="1"/>
  <c r="Q210" i="1"/>
  <c r="R210" i="1" s="1"/>
  <c r="Q515" i="1"/>
  <c r="R515" i="1" s="1"/>
  <c r="Q254" i="1"/>
  <c r="R254" i="1" s="1"/>
  <c r="Q854" i="1"/>
  <c r="R854" i="1" s="1"/>
  <c r="Q71" i="1"/>
  <c r="R71" i="1" s="1"/>
  <c r="Q656" i="1"/>
  <c r="R656" i="1" s="1"/>
  <c r="Q597" i="1"/>
  <c r="R597" i="1" s="1"/>
  <c r="Q177" i="1"/>
  <c r="R177" i="1" s="1"/>
  <c r="Q608" i="1"/>
  <c r="R608" i="1" s="1"/>
  <c r="Q196" i="1"/>
  <c r="R196" i="1" s="1"/>
  <c r="Q612" i="1"/>
  <c r="R612" i="1" s="1"/>
  <c r="Q51" i="1"/>
  <c r="R51" i="1" s="1"/>
  <c r="Q26" i="1"/>
  <c r="R26" i="1" s="1"/>
  <c r="Q230" i="1"/>
  <c r="R230" i="1" s="1"/>
  <c r="Q714" i="1"/>
  <c r="R714" i="1" s="1"/>
  <c r="Q723" i="1"/>
  <c r="R723" i="1" s="1"/>
  <c r="Q903" i="1"/>
  <c r="R903" i="1" s="1"/>
  <c r="Q952" i="1"/>
  <c r="R952" i="1" s="1"/>
  <c r="Q300" i="1"/>
  <c r="R300" i="1" s="1"/>
  <c r="Q619" i="1"/>
  <c r="R619" i="1" s="1"/>
  <c r="Q237" i="1"/>
  <c r="R237" i="1" s="1"/>
  <c r="Q782" i="1"/>
  <c r="R782" i="1" s="1"/>
  <c r="Q160" i="1"/>
  <c r="R160" i="1" s="1"/>
  <c r="Q289" i="1"/>
  <c r="R289" i="1" s="1"/>
  <c r="Q401" i="1"/>
  <c r="R401" i="1" s="1"/>
  <c r="Q650" i="1"/>
  <c r="R650" i="1" s="1"/>
  <c r="Q82" i="1"/>
  <c r="R82" i="1" s="1"/>
  <c r="Q910" i="1"/>
  <c r="R910" i="1" s="1"/>
  <c r="Q755" i="1"/>
  <c r="R755" i="1" s="1"/>
  <c r="Q167" i="1"/>
  <c r="R167" i="1" s="1"/>
  <c r="Q881" i="1"/>
  <c r="R881" i="1" s="1"/>
  <c r="Q933" i="1"/>
  <c r="R933" i="1" s="1"/>
  <c r="Q187" i="1"/>
  <c r="R187" i="1" s="1"/>
  <c r="Q325" i="1"/>
  <c r="R325" i="1" s="1"/>
  <c r="Q794" i="1"/>
  <c r="R794" i="1" s="1"/>
  <c r="Q124" i="1"/>
  <c r="R124" i="1" s="1"/>
  <c r="Q502" i="1"/>
  <c r="R502" i="1" s="1"/>
  <c r="Q9" i="1"/>
  <c r="R9" i="1" s="1"/>
  <c r="Q861" i="1"/>
  <c r="R861" i="1" s="1"/>
  <c r="Q362" i="1"/>
  <c r="R362" i="1" s="1"/>
  <c r="Q618" i="1"/>
  <c r="R618" i="1" s="1"/>
  <c r="Q661" i="1"/>
  <c r="R661" i="1" s="1"/>
  <c r="Q696" i="1"/>
  <c r="R696" i="1" s="1"/>
  <c r="Q788" i="1"/>
  <c r="R788" i="1" s="1"/>
  <c r="Q258" i="1"/>
  <c r="R258" i="1" s="1"/>
  <c r="Q438" i="1"/>
  <c r="R438" i="1" s="1"/>
  <c r="Q150" i="1"/>
  <c r="R150" i="1" s="1"/>
  <c r="Q186" i="1"/>
  <c r="R186" i="1" s="1"/>
  <c r="Q142" i="1"/>
  <c r="R142" i="1" s="1"/>
  <c r="Q357" i="1"/>
  <c r="R357" i="1" s="1"/>
  <c r="Q321" i="1"/>
  <c r="R321" i="1" s="1"/>
  <c r="Q309" i="1"/>
  <c r="R309" i="1" s="1"/>
  <c r="Q445" i="1"/>
  <c r="R445" i="1" s="1"/>
  <c r="Q891" i="1"/>
  <c r="R891" i="1" s="1"/>
  <c r="Q492" i="1"/>
  <c r="R492" i="1" s="1"/>
  <c r="Q307" i="1"/>
  <c r="R307" i="1" s="1"/>
  <c r="Q613" i="1"/>
  <c r="R613" i="1" s="1"/>
  <c r="Q507" i="1"/>
  <c r="R507" i="1" s="1"/>
  <c r="Q522" i="1"/>
  <c r="R522" i="1" s="1"/>
  <c r="Q702" i="1"/>
  <c r="R702" i="1" s="1"/>
  <c r="Q602" i="1"/>
  <c r="R602" i="1" s="1"/>
  <c r="Q264" i="1"/>
  <c r="R264" i="1" s="1"/>
  <c r="Q306" i="1"/>
  <c r="R306" i="1" s="1"/>
  <c r="Q275" i="1"/>
  <c r="R275" i="1" s="1"/>
  <c r="Q20" i="1"/>
  <c r="R20" i="1" s="1"/>
  <c r="Q293" i="1"/>
  <c r="R293" i="1" s="1"/>
  <c r="Q424" i="1"/>
  <c r="R424" i="1" s="1"/>
  <c r="Q194" i="1"/>
  <c r="R194" i="1" s="1"/>
  <c r="Q659" i="1"/>
  <c r="R659" i="1" s="1"/>
  <c r="Q674" i="1"/>
  <c r="R674" i="1" s="1"/>
  <c r="Q870" i="1"/>
  <c r="R870" i="1" s="1"/>
  <c r="Q545" i="1"/>
  <c r="R545" i="1" s="1"/>
  <c r="Q153" i="1"/>
  <c r="R153" i="1" s="1"/>
  <c r="Q751" i="1"/>
  <c r="R751" i="1" s="1"/>
  <c r="Q791" i="1"/>
  <c r="R791" i="1" s="1"/>
  <c r="Q107" i="1"/>
  <c r="R107" i="1" s="1"/>
  <c r="Q93" i="1"/>
  <c r="R93" i="1" s="1"/>
  <c r="Q433" i="1"/>
  <c r="R433" i="1" s="1"/>
  <c r="Q859" i="1"/>
  <c r="R859" i="1" s="1"/>
  <c r="Q144" i="1"/>
  <c r="R144" i="1" s="1"/>
  <c r="Q283" i="1"/>
  <c r="R283" i="1" s="1"/>
  <c r="Q858" i="1"/>
  <c r="R858" i="1" s="1"/>
  <c r="Q631" i="1"/>
  <c r="R631" i="1" s="1"/>
  <c r="Q494" i="1"/>
  <c r="R494" i="1" s="1"/>
  <c r="Q490" i="1"/>
  <c r="R490" i="1" s="1"/>
  <c r="Q583" i="1"/>
  <c r="R583" i="1" s="1"/>
  <c r="Q94" i="1"/>
  <c r="R94" i="1" s="1"/>
  <c r="Q824" i="1"/>
  <c r="R824" i="1" s="1"/>
  <c r="Q888" i="1"/>
  <c r="R888" i="1" s="1"/>
  <c r="Q657" i="1"/>
  <c r="R657" i="1" s="1"/>
  <c r="Q804" i="1"/>
  <c r="R804" i="1" s="1"/>
  <c r="Q328" i="1"/>
  <c r="R328" i="1" s="1"/>
  <c r="Q435" i="1"/>
  <c r="R435" i="1" s="1"/>
  <c r="Q546" i="1"/>
  <c r="R546" i="1" s="1"/>
  <c r="Q600" i="1"/>
  <c r="R600" i="1" s="1"/>
  <c r="Q117" i="1"/>
  <c r="R117" i="1" s="1"/>
  <c r="Q766" i="1"/>
  <c r="R766" i="1" s="1"/>
  <c r="Q752" i="1"/>
  <c r="R752" i="1" s="1"/>
  <c r="Q326" i="1"/>
  <c r="R326" i="1" s="1"/>
  <c r="Q285" i="1"/>
  <c r="R285" i="1" s="1"/>
  <c r="Q397" i="1"/>
  <c r="R397" i="1" s="1"/>
  <c r="Q92" i="1"/>
  <c r="R92" i="1" s="1"/>
  <c r="Q820" i="1"/>
  <c r="R820" i="1" s="1"/>
  <c r="Q712" i="1"/>
  <c r="R712" i="1" s="1"/>
  <c r="Q771" i="1"/>
  <c r="R771" i="1" s="1"/>
  <c r="Q361" i="1"/>
  <c r="R361" i="1" s="1"/>
  <c r="Q123" i="1"/>
  <c r="R123" i="1" s="1"/>
  <c r="Q637" i="1"/>
  <c r="R637" i="1" s="1"/>
  <c r="Q395" i="1"/>
  <c r="R395" i="1" s="1"/>
  <c r="Q28" i="1"/>
  <c r="R28" i="1" s="1"/>
  <c r="Q86" i="1"/>
  <c r="R86" i="1" s="1"/>
  <c r="Q168" i="1"/>
  <c r="R168" i="1" s="1"/>
  <c r="Q284" i="1"/>
  <c r="R284" i="1" s="1"/>
  <c r="Q380" i="1"/>
  <c r="R380" i="1" s="1"/>
  <c r="Q88" i="1"/>
  <c r="R88" i="1" s="1"/>
  <c r="Q323" i="1"/>
  <c r="R323" i="1" s="1"/>
  <c r="Q770" i="1"/>
  <c r="R770" i="1" s="1"/>
  <c r="Q295" i="1"/>
  <c r="R295" i="1" s="1"/>
  <c r="Q439" i="1"/>
  <c r="R439" i="1" s="1"/>
  <c r="Q3" i="1"/>
  <c r="R3" i="1" s="1"/>
  <c r="Q488" i="1"/>
  <c r="R488" i="1" s="1"/>
  <c r="Q65" i="1"/>
  <c r="R65" i="1" s="1"/>
  <c r="Q841" i="1"/>
  <c r="R841" i="1" s="1"/>
  <c r="Q822" i="1"/>
  <c r="R822" i="1" s="1"/>
  <c r="Q291" i="1"/>
  <c r="R291" i="1" s="1"/>
  <c r="Q413" i="1"/>
  <c r="R413" i="1" s="1"/>
  <c r="Q594" i="1"/>
  <c r="R594" i="1" s="1"/>
  <c r="Q761" i="1"/>
  <c r="R761" i="1" s="1"/>
  <c r="Q750" i="1"/>
  <c r="R750" i="1" s="1"/>
  <c r="Q215" i="1"/>
  <c r="R215" i="1" s="1"/>
  <c r="Q457" i="1"/>
  <c r="R457" i="1" s="1"/>
  <c r="Q707" i="1"/>
  <c r="R707" i="1" s="1"/>
  <c r="Q450" i="1"/>
  <c r="R450" i="1" s="1"/>
  <c r="Q611" i="1"/>
  <c r="R611" i="1" s="1"/>
  <c r="Q16" i="1"/>
  <c r="R16" i="1" s="1"/>
  <c r="Q871" i="1"/>
  <c r="R871" i="1" s="1"/>
  <c r="Q536" i="1"/>
  <c r="R536" i="1" s="1"/>
  <c r="Q849" i="1"/>
  <c r="R849" i="1" s="1"/>
  <c r="Q726" i="1"/>
  <c r="R726" i="1" s="1"/>
  <c r="Q737" i="1"/>
  <c r="R737" i="1" s="1"/>
  <c r="Q208" i="1"/>
  <c r="R208" i="1" s="1"/>
  <c r="Q687" i="1"/>
  <c r="R687" i="1" s="1"/>
  <c r="Q827" i="1"/>
  <c r="R827" i="1" s="1"/>
  <c r="Q498" i="1"/>
  <c r="R498" i="1" s="1"/>
  <c r="Q641" i="1"/>
  <c r="R641" i="1" s="1"/>
  <c r="Q922" i="1"/>
  <c r="R922" i="1" s="1"/>
  <c r="Q466" i="1"/>
  <c r="R466" i="1" s="1"/>
  <c r="Q852" i="1"/>
  <c r="R852" i="1" s="1"/>
  <c r="Q104" i="1"/>
  <c r="R104" i="1" s="1"/>
  <c r="Q654" i="1"/>
  <c r="R654" i="1" s="1"/>
  <c r="Q205" i="1"/>
  <c r="R205" i="1" s="1"/>
  <c r="Q151" i="1"/>
  <c r="R151" i="1" s="1"/>
  <c r="Q834" i="1"/>
  <c r="R834" i="1" s="1"/>
  <c r="Q842" i="1"/>
  <c r="R842" i="1" s="1"/>
  <c r="Q143" i="1"/>
  <c r="R143" i="1" s="1"/>
  <c r="Q951" i="1"/>
  <c r="R951" i="1" s="1"/>
  <c r="Q649" i="1"/>
  <c r="R649" i="1" s="1"/>
  <c r="Q534" i="1"/>
  <c r="R534" i="1" s="1"/>
  <c r="Q256" i="1"/>
  <c r="R256" i="1" s="1"/>
  <c r="Q79" i="1"/>
  <c r="R79" i="1" s="1"/>
  <c r="Q351" i="1"/>
  <c r="R351" i="1" s="1"/>
  <c r="Q335" i="1"/>
  <c r="R335" i="1" s="1"/>
  <c r="Q171" i="1"/>
  <c r="R171" i="1" s="1"/>
  <c r="Q717" i="1"/>
  <c r="R717" i="1" s="1"/>
  <c r="Q540" i="1"/>
  <c r="R540" i="1" s="1"/>
  <c r="Q885" i="1"/>
  <c r="R885" i="1" s="1"/>
  <c r="Q575" i="1"/>
  <c r="R575" i="1" s="1"/>
  <c r="Q100" i="1"/>
  <c r="R100" i="1" s="1"/>
  <c r="Q372" i="1"/>
  <c r="R372" i="1" s="1"/>
  <c r="Q948" i="1"/>
  <c r="R948" i="1" s="1"/>
  <c r="Q505" i="1"/>
  <c r="R505" i="1" s="1"/>
  <c r="Q701" i="1"/>
  <c r="R701" i="1" s="1"/>
  <c r="Q682" i="1"/>
  <c r="R682" i="1" s="1"/>
  <c r="Q42" i="1"/>
  <c r="R42" i="1" s="1"/>
  <c r="Q236" i="1"/>
  <c r="R236" i="1" s="1"/>
  <c r="Q404" i="1"/>
  <c r="R404" i="1" s="1"/>
  <c r="Q774" i="1"/>
  <c r="R774" i="1" s="1"/>
  <c r="Q892" i="1"/>
  <c r="R892" i="1" s="1"/>
  <c r="Q676" i="1"/>
  <c r="R676" i="1" s="1"/>
  <c r="Q248" i="1"/>
  <c r="R248" i="1" s="1"/>
  <c r="Q784" i="1"/>
  <c r="R784" i="1" s="1"/>
  <c r="Q940" i="1"/>
  <c r="R940" i="1" s="1"/>
  <c r="Q436" i="1"/>
  <c r="R436" i="1" s="1"/>
  <c r="Q116" i="1"/>
  <c r="R116" i="1" s="1"/>
  <c r="Q393" i="1"/>
  <c r="R393" i="1" s="1"/>
  <c r="Q470" i="1"/>
  <c r="R470" i="1" s="1"/>
  <c r="Q301" i="1"/>
  <c r="R301" i="1" s="1"/>
  <c r="Q319" i="1"/>
  <c r="R319" i="1" s="1"/>
  <c r="Q860" i="1"/>
  <c r="R860" i="1" s="1"/>
  <c r="Q566" i="1"/>
  <c r="R566" i="1" s="1"/>
  <c r="Q234" i="1"/>
  <c r="R234" i="1" s="1"/>
  <c r="Q240" i="1"/>
  <c r="R240" i="1" s="1"/>
  <c r="Q620" i="1"/>
  <c r="R620" i="1" s="1"/>
  <c r="Q802" i="1"/>
  <c r="R802" i="1" s="1"/>
  <c r="Q576" i="1"/>
  <c r="R576" i="1" s="1"/>
  <c r="Q928" i="1"/>
  <c r="R928" i="1" s="1"/>
  <c r="Q803" i="1"/>
  <c r="R803" i="1" s="1"/>
  <c r="Q508" i="1"/>
  <c r="R508" i="1" s="1"/>
  <c r="Q954" i="1"/>
  <c r="R954" i="1" s="1"/>
  <c r="Q453" i="1"/>
  <c r="R453" i="1" s="1"/>
  <c r="Q227" i="1"/>
  <c r="R227" i="1" s="1"/>
  <c r="Q685" i="1"/>
  <c r="R685" i="1" s="1"/>
  <c r="Q705" i="1"/>
  <c r="R705" i="1" s="1"/>
  <c r="Q886" i="1"/>
  <c r="R886" i="1" s="1"/>
  <c r="Q115" i="1"/>
  <c r="R115" i="1" s="1"/>
  <c r="Q663" i="1"/>
  <c r="R663" i="1" s="1"/>
  <c r="Q592" i="1"/>
  <c r="R592" i="1" s="1"/>
  <c r="Q290" i="1"/>
  <c r="R290" i="1" s="1"/>
  <c r="Q476" i="1"/>
  <c r="R476" i="1" s="1"/>
  <c r="Q226" i="1"/>
  <c r="R226" i="1" s="1"/>
  <c r="Q809" i="1"/>
  <c r="R809" i="1" s="1"/>
  <c r="Q835" i="1"/>
  <c r="R835" i="1" s="1"/>
  <c r="Q44" i="1"/>
  <c r="R44" i="1" s="1"/>
  <c r="Q775" i="1"/>
  <c r="R775" i="1" s="1"/>
  <c r="Q410" i="1"/>
  <c r="R410" i="1" s="1"/>
  <c r="Q844" i="1"/>
  <c r="R844" i="1" s="1"/>
  <c r="Q471" i="1"/>
  <c r="R471" i="1" s="1"/>
  <c r="Q209" i="1"/>
  <c r="R209" i="1" s="1"/>
  <c r="Q469" i="1"/>
  <c r="R469" i="1" s="1"/>
  <c r="Q501" i="1"/>
  <c r="R501" i="1" s="1"/>
  <c r="Q113" i="1"/>
  <c r="R113" i="1" s="1"/>
  <c r="Q899" i="1"/>
  <c r="R899" i="1" s="1"/>
  <c r="Q409" i="1"/>
  <c r="R409" i="1" s="1"/>
  <c r="Q828" i="1"/>
  <c r="R828" i="1" s="1"/>
  <c r="Q96" i="1"/>
  <c r="R96" i="1" s="1"/>
  <c r="Q130" i="1"/>
  <c r="R130" i="1" s="1"/>
  <c r="Q296" i="1"/>
  <c r="R296" i="1" s="1"/>
  <c r="Q519" i="1"/>
  <c r="R519" i="1" s="1"/>
  <c r="Q847" i="1"/>
  <c r="R847" i="1" s="1"/>
  <c r="Q632" i="1"/>
  <c r="R632" i="1" s="1"/>
  <c r="Q538" i="1"/>
  <c r="R538" i="1" s="1"/>
  <c r="Q876" i="1"/>
  <c r="R876" i="1" s="1"/>
  <c r="Q679" i="1"/>
  <c r="R679" i="1" s="1"/>
  <c r="Q137" i="1"/>
  <c r="R137" i="1" s="1"/>
  <c r="Q662" i="1"/>
  <c r="R662" i="1" s="1"/>
  <c r="Q462" i="1"/>
  <c r="R462" i="1" s="1"/>
  <c r="Q735" i="1"/>
  <c r="R735" i="1" s="1"/>
  <c r="Q345" i="1"/>
  <c r="R345" i="1" s="1"/>
  <c r="Q347" i="1"/>
  <c r="R347" i="1" s="1"/>
  <c r="Q622" i="1"/>
  <c r="R622" i="1" s="1"/>
  <c r="Q590" i="1"/>
  <c r="R590" i="1" s="1"/>
  <c r="Q681" i="1"/>
  <c r="R681" i="1" s="1"/>
  <c r="Q850" i="1"/>
  <c r="R850" i="1" s="1"/>
  <c r="Q586" i="1"/>
  <c r="R586" i="1" s="1"/>
  <c r="Q145" i="1"/>
  <c r="R145" i="1" s="1"/>
  <c r="Q185" i="1"/>
  <c r="R185" i="1" s="1"/>
  <c r="Q697" i="1"/>
  <c r="R697" i="1" s="1"/>
  <c r="Q935" i="1"/>
  <c r="R935" i="1" s="1"/>
  <c r="Q249" i="1"/>
  <c r="R249" i="1" s="1"/>
  <c r="Q370" i="1"/>
  <c r="R370" i="1" s="1"/>
  <c r="Q747" i="1"/>
  <c r="R747" i="1" s="1"/>
  <c r="Q85" i="1"/>
  <c r="R85" i="1" s="1"/>
  <c r="Q710" i="1"/>
  <c r="R710" i="1" s="1"/>
  <c r="Q442" i="1"/>
  <c r="R442" i="1" s="1"/>
  <c r="Q932" i="1"/>
  <c r="R932" i="1" s="1"/>
  <c r="Q666" i="1"/>
  <c r="R666" i="1" s="1"/>
  <c r="Q232" i="1"/>
  <c r="R232" i="1" s="1"/>
  <c r="Q4" i="1"/>
  <c r="R4" i="1" s="1"/>
  <c r="Q353" i="1"/>
  <c r="R353" i="1" s="1"/>
  <c r="Q425" i="1"/>
  <c r="R425" i="1" s="1"/>
  <c r="Q814" i="1"/>
  <c r="R814" i="1" s="1"/>
  <c r="Q34" i="1"/>
  <c r="R34" i="1" s="1"/>
  <c r="Q493" i="1"/>
  <c r="R493" i="1" s="1"/>
  <c r="Q32" i="1"/>
  <c r="R32" i="1" s="1"/>
  <c r="Q387" i="1"/>
  <c r="R387" i="1" s="1"/>
  <c r="Q799" i="1"/>
  <c r="R799" i="1" s="1"/>
  <c r="Q506" i="1"/>
  <c r="R506" i="1" s="1"/>
  <c r="Q35" i="1"/>
  <c r="R35" i="1" s="1"/>
  <c r="Q896" i="1"/>
  <c r="R896" i="1" s="1"/>
  <c r="Q491" i="1"/>
  <c r="R491" i="1" s="1"/>
  <c r="Q749" i="1"/>
  <c r="R749" i="1" s="1"/>
  <c r="Q734" i="1"/>
  <c r="R734" i="1" s="1"/>
  <c r="Q624" i="1"/>
  <c r="R624" i="1" s="1"/>
  <c r="Q386" i="1"/>
  <c r="R386" i="1" s="1"/>
  <c r="Q155" i="1"/>
  <c r="R155" i="1" s="1"/>
  <c r="Q525" i="1"/>
  <c r="R525" i="1" s="1"/>
  <c r="Q379" i="1"/>
  <c r="R379" i="1" s="1"/>
  <c r="Q817" i="1"/>
  <c r="R817" i="1" s="1"/>
  <c r="Q873" i="1"/>
  <c r="R873" i="1" s="1"/>
  <c r="Q102" i="1"/>
  <c r="R102" i="1" s="1"/>
  <c r="Q480" i="1"/>
  <c r="R480" i="1" s="1"/>
  <c r="Q158" i="1"/>
  <c r="R158" i="1" s="1"/>
  <c r="Q170" i="1"/>
  <c r="R170" i="1" s="1"/>
  <c r="Q302" i="1"/>
  <c r="R302" i="1" s="1"/>
  <c r="Q926" i="1"/>
  <c r="R926" i="1" s="1"/>
  <c r="Q312" i="1"/>
  <c r="R312" i="1" s="1"/>
  <c r="Q233" i="1"/>
  <c r="R233" i="1" s="1"/>
  <c r="Q578" i="1"/>
  <c r="R578" i="1" s="1"/>
  <c r="Q338" i="1"/>
  <c r="R338" i="1" s="1"/>
  <c r="Q334" i="1"/>
  <c r="R334" i="1" s="1"/>
  <c r="Q544" i="1"/>
  <c r="R544" i="1" s="1"/>
  <c r="Q638" i="1"/>
  <c r="R638" i="1" s="1"/>
  <c r="Q764" i="1"/>
  <c r="R764" i="1" s="1"/>
  <c r="Q128" i="1"/>
  <c r="R128" i="1" s="1"/>
  <c r="Q263" i="1"/>
  <c r="R263" i="1" s="1"/>
  <c r="Q805" i="1"/>
  <c r="R805" i="1" s="1"/>
  <c r="Q448" i="1"/>
  <c r="R448" i="1" s="1"/>
  <c r="Q851" i="1"/>
  <c r="R851" i="1" s="1"/>
  <c r="Q793" i="1"/>
  <c r="R793" i="1" s="1"/>
  <c r="Q120" i="1"/>
  <c r="R120" i="1" s="1"/>
  <c r="Q499" i="1"/>
  <c r="R499" i="1" s="1"/>
  <c r="Q882" i="1"/>
  <c r="R882" i="1" s="1"/>
  <c r="Q610" i="1"/>
  <c r="R610" i="1" s="1"/>
  <c r="Q447" i="1"/>
  <c r="R447" i="1" s="1"/>
  <c r="Q36" i="1"/>
  <c r="R36" i="1" s="1"/>
  <c r="Q14" i="1"/>
  <c r="R14" i="1" s="1"/>
  <c r="Q67" i="1"/>
  <c r="R67" i="1" s="1"/>
  <c r="Q889" i="1"/>
  <c r="R889" i="1" s="1"/>
  <c r="Q330" i="1"/>
  <c r="R330" i="1" s="1"/>
  <c r="Q830" i="1"/>
  <c r="R830" i="1" s="1"/>
  <c r="Q727" i="1"/>
  <c r="R727" i="1" s="1"/>
  <c r="Q432" i="1"/>
  <c r="R432" i="1" s="1"/>
  <c r="Q422" i="1"/>
  <c r="R422" i="1" s="1"/>
  <c r="Q521" i="1"/>
  <c r="R521" i="1" s="1"/>
  <c r="Q53" i="1"/>
  <c r="R53" i="1" s="1"/>
  <c r="Q779" i="1"/>
  <c r="R779" i="1" s="1"/>
  <c r="Q912" i="1"/>
  <c r="R912" i="1" s="1"/>
  <c r="Q736" i="1"/>
  <c r="R736" i="1" s="1"/>
  <c r="Q573" i="1"/>
  <c r="R573" i="1" s="1"/>
  <c r="Q790" i="1"/>
  <c r="R790" i="1" s="1"/>
  <c r="Q358" i="1"/>
  <c r="R358" i="1" s="1"/>
  <c r="Q55" i="1"/>
  <c r="R55" i="1" s="1"/>
  <c r="Q709" i="1"/>
  <c r="R709" i="1" s="1"/>
  <c r="Q24" i="1"/>
  <c r="R24" i="1" s="1"/>
  <c r="Q437" i="1"/>
  <c r="R437" i="1" s="1"/>
  <c r="Q550" i="1"/>
  <c r="R550" i="1" s="1"/>
  <c r="Q308" i="1"/>
  <c r="R308" i="1" s="1"/>
  <c r="Q643" i="1"/>
  <c r="R643" i="1" s="1"/>
  <c r="Q322" i="1"/>
  <c r="R322" i="1" s="1"/>
  <c r="Q90" i="1"/>
  <c r="R90" i="1" s="1"/>
  <c r="Q621" i="1"/>
  <c r="R621" i="1" s="1"/>
  <c r="Q56" i="1"/>
  <c r="R56" i="1" s="1"/>
  <c r="Q13" i="1"/>
  <c r="R13" i="1" s="1"/>
  <c r="Q812" i="1"/>
  <c r="R812" i="1" s="1"/>
  <c r="Q606" i="1"/>
  <c r="R606" i="1" s="1"/>
  <c r="Q54" i="1"/>
  <c r="R54" i="1" s="1"/>
  <c r="Q225" i="1"/>
  <c r="R225" i="1" s="1"/>
  <c r="Q831" i="1"/>
  <c r="R831" i="1" s="1"/>
  <c r="Q819" i="1"/>
  <c r="R819" i="1" s="1"/>
  <c r="Q19" i="1"/>
  <c r="R19" i="1" s="1"/>
  <c r="Q200" i="1"/>
  <c r="R200" i="1" s="1"/>
  <c r="Q287" i="1"/>
  <c r="R287" i="1" s="1"/>
  <c r="Q146" i="1"/>
  <c r="R146" i="1" s="1"/>
  <c r="Q303" i="1"/>
  <c r="R303" i="1" s="1"/>
  <c r="Q252" i="1"/>
  <c r="R252" i="1" s="1"/>
  <c r="Q337" i="1"/>
  <c r="R337" i="1" s="1"/>
  <c r="Q59" i="1"/>
  <c r="R59" i="1" s="1"/>
  <c r="Q816" i="1"/>
  <c r="R816" i="1" s="1"/>
  <c r="Q627" i="1"/>
  <c r="R627" i="1" s="1"/>
  <c r="Q486" i="1"/>
  <c r="R486" i="1" s="1"/>
  <c r="Q399" i="1"/>
  <c r="R399" i="1" s="1"/>
  <c r="Q894" i="1"/>
  <c r="R894" i="1" s="1"/>
  <c r="Q242" i="1"/>
  <c r="R242" i="1" s="1"/>
  <c r="Q251" i="1"/>
  <c r="R251" i="1" s="1"/>
  <c r="Q936" i="1"/>
  <c r="R936" i="1" s="1"/>
  <c r="Q17" i="1"/>
  <c r="R17" i="1" s="1"/>
  <c r="Q58" i="1"/>
  <c r="R58" i="1" s="1"/>
  <c r="Q706" i="1"/>
  <c r="R706" i="1" s="1"/>
  <c r="Q917" i="1"/>
  <c r="R917" i="1" s="1"/>
  <c r="Q311" i="1"/>
  <c r="R311" i="1" s="1"/>
  <c r="Q456" i="1"/>
  <c r="R456" i="1" s="1"/>
  <c r="Q777" i="1"/>
  <c r="R777" i="1" s="1"/>
  <c r="Q797" i="1"/>
  <c r="R797" i="1" s="1"/>
  <c r="Q255" i="1"/>
  <c r="R255" i="1" s="1"/>
  <c r="Q139" i="1"/>
  <c r="R139" i="1" s="1"/>
  <c r="Q269" i="1"/>
  <c r="R269" i="1" s="1"/>
  <c r="Q901" i="1"/>
  <c r="R901" i="1" s="1"/>
  <c r="Q407" i="1"/>
  <c r="R407" i="1" s="1"/>
  <c r="Q25" i="1"/>
  <c r="R25" i="1" s="1"/>
  <c r="Q625" i="1"/>
  <c r="R625" i="1" s="1"/>
  <c r="Q207" i="1"/>
  <c r="R207" i="1" s="1"/>
  <c r="Q64" i="1"/>
  <c r="R64" i="1" s="1"/>
  <c r="Q222" i="1"/>
  <c r="R222" i="1" s="1"/>
  <c r="Q744" i="1"/>
  <c r="R744" i="1" s="1"/>
  <c r="Q658" i="1"/>
  <c r="R658" i="1" s="1"/>
  <c r="Q193" i="1"/>
  <c r="R193" i="1" s="1"/>
  <c r="Q633" i="1"/>
  <c r="R633" i="1" s="1"/>
  <c r="Q684" i="1"/>
  <c r="R684" i="1" s="1"/>
  <c r="Q743" i="1"/>
  <c r="R743" i="1" s="1"/>
  <c r="Q615" i="1"/>
  <c r="R615" i="1" s="1"/>
  <c r="Q446" i="1"/>
  <c r="R446" i="1" s="1"/>
  <c r="Q43" i="1"/>
  <c r="R43" i="1" s="1"/>
  <c r="Q510" i="1"/>
  <c r="R510" i="1" s="1"/>
  <c r="Q279" i="1"/>
  <c r="R279" i="1" s="1"/>
  <c r="Q746" i="1"/>
  <c r="R746" i="1" s="1"/>
  <c r="Q339" i="1"/>
  <c r="R339" i="1" s="1"/>
  <c r="Q581" i="1"/>
  <c r="R581" i="1" s="1"/>
  <c r="Q955" i="1"/>
  <c r="R955" i="1" s="1"/>
  <c r="Q224" i="1"/>
  <c r="R224" i="1" s="1"/>
  <c r="Q668" i="1"/>
  <c r="R668" i="1" s="1"/>
  <c r="Q129" i="1"/>
  <c r="R129" i="1" s="1"/>
  <c r="Q5" i="1"/>
  <c r="R5" i="1" s="1"/>
  <c r="Q789" i="1"/>
  <c r="R789" i="1" s="1"/>
  <c r="Q109" i="1"/>
  <c r="R109" i="1" s="1"/>
  <c r="Q74" i="1"/>
  <c r="R74" i="1" s="1"/>
  <c r="Q272" i="1"/>
  <c r="R272" i="1" s="1"/>
  <c r="Q943" i="1"/>
  <c r="R943" i="1" s="1"/>
  <c r="Q197" i="1"/>
  <c r="R197" i="1" s="1"/>
  <c r="Q66" i="1"/>
  <c r="R66" i="1" s="1"/>
  <c r="Q511" i="1"/>
  <c r="R511" i="1" s="1"/>
  <c r="Q833" i="1"/>
  <c r="R833" i="1" s="1"/>
  <c r="Q431" i="1"/>
  <c r="R431" i="1" s="1"/>
  <c r="Q402" i="1"/>
  <c r="R402" i="1" s="1"/>
  <c r="Q134" i="1"/>
  <c r="R134" i="1" s="1"/>
  <c r="Q596" i="1"/>
  <c r="R596" i="1" s="1"/>
  <c r="Q667" i="1"/>
  <c r="R667" i="1" s="1"/>
  <c r="Q45" i="1"/>
  <c r="R45" i="1" s="1"/>
  <c r="Q716" i="1"/>
  <c r="R716" i="1" s="1"/>
  <c r="Q22" i="1"/>
  <c r="R22" i="1" s="1"/>
  <c r="Q57" i="1"/>
  <c r="R57" i="1" s="1"/>
  <c r="Q121" i="1"/>
  <c r="R121" i="1" s="1"/>
  <c r="Q377" i="1"/>
  <c r="R377" i="1" s="1"/>
  <c r="Q87" i="1"/>
  <c r="R87" i="1" s="1"/>
  <c r="Q863" i="1"/>
  <c r="R863" i="1" s="1"/>
  <c r="Q908" i="1"/>
  <c r="R908" i="1" s="1"/>
  <c r="Q247" i="1"/>
  <c r="R247" i="1" s="1"/>
  <c r="Q918" i="1"/>
  <c r="R918" i="1" s="1"/>
  <c r="Q286" i="1"/>
  <c r="R286" i="1" s="1"/>
  <c r="Q839" i="1"/>
  <c r="R839" i="1" s="1"/>
  <c r="Q78" i="1"/>
  <c r="R78" i="1" s="1"/>
  <c r="Q203" i="1"/>
  <c r="R203" i="1" s="1"/>
  <c r="Q369" i="1"/>
  <c r="R369" i="1" s="1"/>
  <c r="Q692" i="1"/>
  <c r="R692" i="1" s="1"/>
  <c r="Q229" i="1"/>
  <c r="R229" i="1" s="1"/>
  <c r="Q730" i="1"/>
  <c r="R730" i="1" s="1"/>
  <c r="Q2" i="1"/>
  <c r="R2" i="1" s="1"/>
  <c r="Q673" i="1"/>
  <c r="R673" i="1" s="1"/>
  <c r="Q428" i="1"/>
  <c r="R428" i="1" s="1"/>
  <c r="Q273" i="1"/>
  <c r="R273" i="1" s="1"/>
  <c r="Q382" i="1"/>
  <c r="R382" i="1" s="1"/>
  <c r="Q169" i="1"/>
  <c r="R169" i="1" s="1"/>
  <c r="Q531" i="1"/>
  <c r="R531" i="1" s="1"/>
  <c r="Q274" i="1"/>
  <c r="R274" i="1" s="1"/>
  <c r="Q740" i="1"/>
  <c r="R740" i="1" s="1"/>
  <c r="Q271" i="1"/>
  <c r="R271" i="1" s="1"/>
  <c r="Q313" i="1"/>
  <c r="R313" i="1" s="1"/>
  <c r="Q392" i="1"/>
  <c r="R392" i="1" s="1"/>
  <c r="Q52" i="1"/>
  <c r="R52" i="1" s="1"/>
  <c r="Q815" i="1"/>
  <c r="R815" i="1" s="1"/>
  <c r="Q238" i="1"/>
  <c r="R238" i="1" s="1"/>
  <c r="Q878" i="1"/>
  <c r="R878" i="1" s="1"/>
  <c r="Q537" i="1"/>
  <c r="R537" i="1" s="1"/>
  <c r="Q452" i="1"/>
  <c r="R452" i="1" s="1"/>
  <c r="Q646" i="1"/>
  <c r="R646" i="1" s="1"/>
  <c r="Q880" i="1"/>
  <c r="R880" i="1" s="1"/>
  <c r="Q595" i="1"/>
  <c r="R595" i="1" s="1"/>
  <c r="Q61" i="1"/>
  <c r="R61" i="1" s="1"/>
  <c r="Q371" i="1"/>
  <c r="R371" i="1" s="1"/>
  <c r="Q478" i="1"/>
  <c r="R478" i="1" s="1"/>
  <c r="Q414" i="1"/>
  <c r="R414" i="1" s="1"/>
  <c r="Q31" i="1"/>
  <c r="R31" i="1" s="1"/>
  <c r="Q560" i="1"/>
  <c r="R560" i="1" s="1"/>
  <c r="Q260" i="1"/>
  <c r="R260" i="1" s="1"/>
  <c r="Q18" i="1"/>
  <c r="R18" i="1" s="1"/>
  <c r="Q398" i="1"/>
  <c r="R398" i="1" s="1"/>
  <c r="Q243" i="1"/>
  <c r="R243" i="1" s="1"/>
  <c r="Q551" i="1"/>
  <c r="R551" i="1" s="1"/>
  <c r="Q694" i="1"/>
  <c r="R694" i="1" s="1"/>
  <c r="Q763" i="1"/>
  <c r="R763" i="1" s="1"/>
  <c r="Q288" i="1"/>
  <c r="R288" i="1" s="1"/>
  <c r="Q677" i="1"/>
  <c r="R677" i="1" s="1"/>
  <c r="Q758" i="1"/>
  <c r="R758" i="1" s="1"/>
  <c r="Q497" i="1"/>
  <c r="R497" i="1" s="1"/>
  <c r="Q811" i="1"/>
  <c r="R811" i="1" s="1"/>
  <c r="Q342" i="1"/>
  <c r="R342" i="1" s="1"/>
  <c r="Q944" i="1"/>
  <c r="R944" i="1" s="1"/>
  <c r="Q246" i="1"/>
  <c r="R246" i="1" s="1"/>
  <c r="Q97" i="1"/>
  <c r="R97" i="1" s="1"/>
  <c r="Q913" i="1"/>
  <c r="R913" i="1" s="1"/>
  <c r="Q689" i="1"/>
  <c r="R689" i="1" s="1"/>
  <c r="Q942" i="1"/>
  <c r="R942" i="1" s="1"/>
  <c r="Q37" i="1"/>
  <c r="R37" i="1" s="1"/>
  <c r="Q198" i="1"/>
  <c r="R198" i="1" s="1"/>
  <c r="Q396" i="1"/>
  <c r="R396" i="1" s="1"/>
  <c r="Q773" i="1"/>
  <c r="R773" i="1" s="1"/>
  <c r="Q30" i="1"/>
  <c r="R30" i="1" s="1"/>
  <c r="Q856" i="1"/>
  <c r="R856" i="1" s="1"/>
  <c r="Q580" i="1"/>
  <c r="R580" i="1" s="1"/>
  <c r="Q571" i="1"/>
  <c r="R571" i="1" s="1"/>
  <c r="Q199" i="1"/>
  <c r="R199" i="1" s="1"/>
  <c r="Q184" i="1"/>
  <c r="R184" i="1" s="1"/>
  <c r="Q140" i="1"/>
  <c r="R140" i="1" s="1"/>
  <c r="Q468" i="1"/>
  <c r="R468" i="1" s="1"/>
  <c r="Q664" i="1"/>
  <c r="R664" i="1" s="1"/>
  <c r="Q430" i="1"/>
  <c r="R430" i="1" s="1"/>
  <c r="Q367" i="1"/>
  <c r="R367" i="1" s="1"/>
  <c r="Q440" i="1"/>
  <c r="R440" i="1" s="1"/>
  <c r="Q363" i="1"/>
  <c r="R363" i="1" s="1"/>
  <c r="Q496" i="1"/>
  <c r="R496" i="1" s="1"/>
  <c r="Q62" i="1"/>
  <c r="R62" i="1" s="1"/>
  <c r="Q189" i="1"/>
  <c r="R189" i="1" s="1"/>
  <c r="Q463" i="1"/>
  <c r="R463" i="1" s="1"/>
  <c r="Q221" i="1"/>
  <c r="R221" i="1" s="1"/>
  <c r="Q118" i="1"/>
  <c r="R118" i="1" s="1"/>
  <c r="Q46" i="1"/>
  <c r="R46" i="1" s="1"/>
  <c r="Q945" i="1"/>
  <c r="R945" i="1" s="1"/>
  <c r="Q593" i="1"/>
  <c r="R593" i="1" s="1"/>
  <c r="Q923" i="1"/>
  <c r="R923" i="1" s="1"/>
  <c r="Q557" i="1"/>
  <c r="R557" i="1" s="1"/>
  <c r="Q95" i="1"/>
  <c r="R95" i="1" s="1"/>
  <c r="Q855" i="1"/>
  <c r="R855" i="1" s="1"/>
  <c r="Q315" i="1"/>
  <c r="R315" i="1" s="1"/>
  <c r="Q173" i="1"/>
  <c r="R173" i="1" s="1"/>
  <c r="Q504" i="1"/>
  <c r="R504" i="1" s="1"/>
  <c r="Q929" i="1"/>
  <c r="R929" i="1" s="1"/>
  <c r="Q837" i="1"/>
  <c r="R837" i="1" s="1"/>
  <c r="Q455" i="1"/>
  <c r="R455" i="1" s="1"/>
  <c r="Q572" i="1"/>
  <c r="R572" i="1" s="1"/>
  <c r="Q829" i="1"/>
  <c r="R829" i="1" s="1"/>
  <c r="Q206" i="1"/>
  <c r="R206" i="1" s="1"/>
  <c r="Q603" i="1"/>
  <c r="R603" i="1" s="1"/>
  <c r="Q68" i="1"/>
  <c r="R68" i="1" s="1"/>
  <c r="Q262" i="1"/>
  <c r="R262" i="1" s="1"/>
  <c r="Q577" i="1"/>
  <c r="R577" i="1" s="1"/>
  <c r="Q756" i="1"/>
  <c r="R756" i="1" s="1"/>
  <c r="Q165" i="1"/>
  <c r="R165" i="1" s="1"/>
  <c r="Q670" i="1"/>
  <c r="R670" i="1" s="1"/>
  <c r="Q801" i="1"/>
  <c r="R801" i="1" s="1"/>
  <c r="Q11" i="1"/>
  <c r="R11" i="1" s="1"/>
  <c r="Q84" i="1"/>
  <c r="R84" i="1" s="1"/>
  <c r="Q419" i="1"/>
  <c r="R419" i="1" s="1"/>
  <c r="Q862" i="1"/>
  <c r="R862" i="1" s="1"/>
  <c r="Q202" i="1"/>
  <c r="R202" i="1" s="1"/>
  <c r="Q729" i="1"/>
  <c r="R729" i="1" s="1"/>
  <c r="Q547" i="1"/>
  <c r="R547" i="1" s="1"/>
  <c r="Q106" i="1"/>
  <c r="R106" i="1" s="1"/>
  <c r="Q400" i="1"/>
  <c r="R400" i="1" s="1"/>
  <c r="Q277" i="1"/>
  <c r="R277" i="1" s="1"/>
  <c r="Q541" i="1"/>
  <c r="R541" i="1" s="1"/>
  <c r="Q895" i="1"/>
  <c r="R895" i="1" s="1"/>
  <c r="Q518" i="1"/>
  <c r="R518" i="1" s="1"/>
  <c r="Q514" i="1"/>
  <c r="R514" i="1" s="1"/>
  <c r="Q475" i="1"/>
  <c r="R475" i="1" s="1"/>
  <c r="Q83" i="1"/>
  <c r="R83" i="1" s="1"/>
  <c r="Q103" i="1"/>
  <c r="R103" i="1" s="1"/>
  <c r="Q216" i="1"/>
  <c r="R216" i="1" s="1"/>
  <c r="Q549" i="1"/>
  <c r="R549" i="1" s="1"/>
  <c r="Q281" i="1"/>
  <c r="R281" i="1" s="1"/>
  <c r="Q451" i="1"/>
  <c r="R451" i="1" s="1"/>
  <c r="Q454" i="1"/>
  <c r="R454" i="1" s="1"/>
  <c r="Q81" i="1"/>
  <c r="R81" i="1" s="1"/>
  <c r="Q877" i="1"/>
  <c r="R877" i="1" s="1"/>
  <c r="Q807" i="1"/>
  <c r="R807" i="1" s="1"/>
  <c r="Q141" i="1"/>
  <c r="R141" i="1" s="1"/>
  <c r="Q937" i="1"/>
  <c r="R937" i="1" s="1"/>
  <c r="Q161" i="1"/>
  <c r="R161" i="1" s="1"/>
  <c r="Q314" i="1"/>
  <c r="R314" i="1" s="1"/>
  <c r="Q630" i="1"/>
  <c r="R630" i="1" s="1"/>
  <c r="Q568" i="1"/>
  <c r="R568" i="1" s="1"/>
  <c r="Q299" i="1"/>
  <c r="R299" i="1" s="1"/>
  <c r="Q879" i="1"/>
  <c r="R879" i="1" s="1"/>
  <c r="Q864" i="1"/>
  <c r="R864" i="1" s="1"/>
  <c r="Q570" i="1"/>
  <c r="R570" i="1" s="1"/>
  <c r="Q887" i="1"/>
  <c r="R887" i="1" s="1"/>
  <c r="Q941" i="1"/>
  <c r="R941" i="1" s="1"/>
  <c r="Q628" i="1"/>
  <c r="R628" i="1" s="1"/>
  <c r="Q48" i="1"/>
  <c r="R48" i="1" s="1"/>
  <c r="Q846" i="1"/>
  <c r="R846" i="1" s="1"/>
  <c r="Q569" i="1"/>
  <c r="R569" i="1" s="1"/>
  <c r="Q645" i="1"/>
  <c r="R645" i="1" s="1"/>
  <c r="Q635" i="1"/>
  <c r="R635" i="1" s="1"/>
  <c r="Q218" i="1"/>
  <c r="R218" i="1" s="1"/>
  <c r="Q513" i="1"/>
  <c r="R513" i="1" s="1"/>
  <c r="Q76" i="1"/>
  <c r="R76" i="1" s="1"/>
  <c r="Q535" i="1"/>
  <c r="R535" i="1" s="1"/>
  <c r="Q616" i="1"/>
  <c r="R616" i="1" s="1"/>
  <c r="Q845" i="1"/>
  <c r="R845" i="1" s="1"/>
  <c r="Q29" i="1"/>
  <c r="R29" i="1" s="1"/>
  <c r="Q678" i="1"/>
  <c r="R678" i="1" s="1"/>
  <c r="Q356" i="1"/>
  <c r="R356" i="1" s="1"/>
  <c r="Q527" i="1"/>
  <c r="R527" i="1" s="1"/>
  <c r="Q408" i="1"/>
  <c r="R408" i="1" s="1"/>
  <c r="Q119" i="1"/>
  <c r="R119" i="1" s="1"/>
  <c r="Q406" i="1"/>
  <c r="R406" i="1" s="1"/>
  <c r="Q429" i="1"/>
  <c r="R429" i="1" s="1"/>
  <c r="Q266" i="1"/>
  <c r="R266" i="1" s="1"/>
  <c r="Q426" i="1"/>
  <c r="R426" i="1" s="1"/>
  <c r="Q786" i="1"/>
  <c r="R786" i="1" s="1"/>
  <c r="Q748" i="1"/>
  <c r="R748" i="1" s="1"/>
  <c r="Q526" i="1"/>
  <c r="R526" i="1" s="1"/>
  <c r="Q383" i="1"/>
  <c r="R383" i="1" s="1"/>
  <c r="Q60" i="1"/>
  <c r="R60" i="1" s="1"/>
  <c r="Q800" i="1"/>
  <c r="R800" i="1" s="1"/>
  <c r="Q38" i="1"/>
  <c r="R38" i="1" s="1"/>
  <c r="Q760" i="1"/>
  <c r="R760" i="1" s="1"/>
  <c r="Q598" i="1"/>
  <c r="R598" i="1" s="1"/>
  <c r="Q916" i="1"/>
  <c r="R916" i="1" s="1"/>
  <c r="Q336" i="1"/>
  <c r="R336" i="1" s="1"/>
  <c r="Q477" i="1"/>
  <c r="R477" i="1" s="1"/>
  <c r="Q482" i="1"/>
  <c r="R482" i="1" s="1"/>
  <c r="Q365" i="1"/>
  <c r="R365" i="1" s="1"/>
  <c r="Q644" i="1"/>
  <c r="R644" i="1" s="1"/>
  <c r="Q909" i="1"/>
  <c r="R909" i="1" s="1"/>
  <c r="Q105" i="1"/>
  <c r="R105" i="1" s="1"/>
  <c r="Q930" i="1"/>
  <c r="R930" i="1" s="1"/>
  <c r="Q244" i="1"/>
  <c r="R244" i="1" s="1"/>
  <c r="Q897" i="1"/>
  <c r="R897" i="1" s="1"/>
  <c r="Q558" i="1"/>
  <c r="R558" i="1" s="1"/>
  <c r="Q460" i="1"/>
  <c r="R460" i="1" s="1"/>
  <c r="Q320" i="1"/>
  <c r="R320" i="1" s="1"/>
  <c r="Q174" i="1"/>
  <c r="R174" i="1" s="1"/>
  <c r="Q305" i="1"/>
  <c r="R305" i="1" s="1"/>
  <c r="Q164" i="1"/>
  <c r="R164" i="1" s="1"/>
  <c r="Q344" i="1"/>
  <c r="R344" i="1" s="1"/>
  <c r="Q555" i="1"/>
  <c r="R555" i="1" s="1"/>
  <c r="Q728" i="1"/>
  <c r="R728" i="1" s="1"/>
  <c r="Q479" i="1"/>
  <c r="R479" i="1" s="1"/>
  <c r="Q810" i="1"/>
  <c r="R810" i="1" s="1"/>
  <c r="Q529" i="1"/>
  <c r="R529" i="1" s="1"/>
  <c r="Q934" i="1"/>
  <c r="R934" i="1" s="1"/>
  <c r="Q584" i="1"/>
  <c r="R584" i="1" s="1"/>
  <c r="Q543" i="1"/>
  <c r="R543" i="1" s="1"/>
  <c r="Q563" i="1"/>
  <c r="R563" i="1" s="1"/>
  <c r="Q159" i="1"/>
  <c r="R159" i="1" s="1"/>
  <c r="Q154" i="1"/>
  <c r="R154" i="1" s="1"/>
  <c r="Q72" i="1"/>
  <c r="R72" i="1" s="1"/>
  <c r="Q132" i="1"/>
  <c r="R132" i="1" s="1"/>
  <c r="Q919" i="1"/>
  <c r="R919" i="1" s="1"/>
  <c r="Q152" i="1"/>
  <c r="R152" i="1" s="1"/>
  <c r="Q857" i="1"/>
  <c r="R857" i="1" s="1"/>
  <c r="Q680" i="1"/>
  <c r="R680" i="1" s="1"/>
  <c r="Q298" i="1"/>
  <c r="R298" i="1" s="1"/>
  <c r="Q927" i="1"/>
  <c r="R927" i="1" s="1"/>
  <c r="Q554" i="1"/>
  <c r="R554" i="1" s="1"/>
  <c r="Q719" i="1"/>
  <c r="R719" i="1" s="1"/>
  <c r="Q385" i="1"/>
  <c r="R385" i="1" s="1"/>
  <c r="Q239" i="1"/>
  <c r="R239" i="1" s="1"/>
  <c r="Q378" i="1"/>
  <c r="R378" i="1" s="1"/>
  <c r="Q270" i="1"/>
  <c r="R270" i="1" s="1"/>
  <c r="Q179" i="1"/>
  <c r="R179" i="1" s="1"/>
  <c r="Q33" i="1"/>
  <c r="R33" i="1" s="1"/>
  <c r="Q8" i="1"/>
  <c r="R8" i="1" s="1"/>
  <c r="Q391" i="1"/>
  <c r="R391" i="1" s="1"/>
  <c r="Q724" i="1"/>
  <c r="R724" i="1" s="1"/>
  <c r="Q405" i="1"/>
  <c r="R405" i="1" s="1"/>
  <c r="Q675" i="1"/>
  <c r="R675" i="1" s="1"/>
  <c r="Q276" i="1"/>
  <c r="R276" i="1" s="1"/>
  <c r="Q268" i="1"/>
  <c r="R268" i="1" s="1"/>
  <c r="Q914" i="1"/>
  <c r="R914" i="1" s="1"/>
  <c r="Q178" i="1"/>
  <c r="R178" i="1" s="1"/>
  <c r="Q503" i="1"/>
  <c r="R503" i="1" s="1"/>
  <c r="Q693" i="1"/>
  <c r="R693" i="1" s="1"/>
  <c r="Q950" i="1"/>
  <c r="R950" i="1" s="1"/>
  <c r="Q91" i="1"/>
  <c r="R91" i="1" s="1"/>
  <c r="Q949" i="1"/>
  <c r="R949" i="1" s="1"/>
  <c r="Q776" i="1"/>
  <c r="R776" i="1" s="1"/>
  <c r="Q907" i="1"/>
  <c r="R907" i="1" s="1"/>
  <c r="Q111" i="1"/>
  <c r="R111" i="1" s="1"/>
  <c r="Q565" i="1"/>
  <c r="R565" i="1" s="1"/>
  <c r="Q368" i="1"/>
  <c r="R368" i="1" s="1"/>
  <c r="Q904" i="1"/>
  <c r="R904" i="1" s="1"/>
  <c r="Q190" i="1"/>
  <c r="R190" i="1" s="1"/>
  <c r="Q138" i="1"/>
  <c r="R138" i="1" s="1"/>
  <c r="Q713" i="1"/>
  <c r="R713" i="1" s="1"/>
  <c r="Q806" i="1"/>
  <c r="R806" i="1" s="1"/>
  <c r="Q739" i="1"/>
  <c r="R739" i="1" s="1"/>
  <c r="Q394" i="1"/>
  <c r="R394" i="1" s="1"/>
  <c r="Q695" i="1"/>
  <c r="R695" i="1" s="1"/>
  <c r="Q381" i="1"/>
  <c r="R381" i="1" s="1"/>
  <c r="Q126" i="1"/>
  <c r="R126" i="1" s="1"/>
  <c r="S548" i="1"/>
  <c r="S166" i="1"/>
  <c r="S865" i="1"/>
  <c r="S473" i="1"/>
  <c r="S523" i="1"/>
  <c r="S655" i="1"/>
  <c r="S512" i="1"/>
  <c r="S443" i="1"/>
  <c r="S946" i="1"/>
  <c r="S217" i="1"/>
  <c r="S721" i="1"/>
  <c r="S192" i="1"/>
  <c r="S883" i="1"/>
  <c r="S818" i="1"/>
  <c r="S629" i="1"/>
  <c r="S352" i="1"/>
  <c r="S364" i="1"/>
  <c r="S683" i="1"/>
  <c r="S331" i="1"/>
  <c r="S640" i="1"/>
  <c r="S956" i="1"/>
  <c r="S366" i="1"/>
  <c r="S136" i="1"/>
  <c r="S201" i="1"/>
  <c r="S607" i="1"/>
  <c r="S528" i="1"/>
  <c r="S690" i="1"/>
  <c r="S902" i="1"/>
  <c r="S838" i="1"/>
  <c r="S921" i="1"/>
  <c r="S259" i="1"/>
  <c r="S332" i="1"/>
  <c r="S6" i="1"/>
  <c r="S15" i="1"/>
  <c r="S792" i="1"/>
  <c r="S7" i="1"/>
  <c r="S703" i="1"/>
  <c r="S691" i="1"/>
  <c r="S868" i="1"/>
  <c r="S253" i="1"/>
  <c r="S133" i="1"/>
  <c r="S660" i="1"/>
  <c r="S175" i="1"/>
  <c r="S465" i="1"/>
  <c r="S99" i="1"/>
  <c r="S825" i="1"/>
  <c r="S355" i="1"/>
  <c r="S163" i="1"/>
  <c r="S324" i="1"/>
  <c r="S125" i="1"/>
  <c r="S911" i="1"/>
  <c r="S731" i="1"/>
  <c r="S778" i="1"/>
  <c r="S98" i="1"/>
  <c r="S605" i="1"/>
  <c r="S699" i="1"/>
  <c r="S149" i="1"/>
  <c r="S938" i="1"/>
  <c r="S341" i="1"/>
  <c r="S412" i="1"/>
  <c r="S617" i="1"/>
  <c r="S787" i="1"/>
  <c r="S853" i="1"/>
  <c r="S500" i="1"/>
  <c r="S626" i="1"/>
  <c r="S582" i="1"/>
  <c r="S905" i="1"/>
  <c r="S434" i="1"/>
  <c r="S890" i="1"/>
  <c r="S449" i="1"/>
  <c r="S753" i="1"/>
  <c r="S516" i="1"/>
  <c r="S509" i="1"/>
  <c r="S533" i="1"/>
  <c r="S23" i="1"/>
  <c r="S517" i="1"/>
  <c r="S384" i="1"/>
  <c r="S768" i="1"/>
  <c r="S483" i="1"/>
  <c r="S282" i="1"/>
  <c r="S214" i="1"/>
  <c r="S47" i="1"/>
  <c r="S520" i="1"/>
  <c r="S211" i="1"/>
  <c r="S953" i="1"/>
  <c r="S40" i="1"/>
  <c r="S587" i="1"/>
  <c r="S41" i="1"/>
  <c r="S464" i="1"/>
  <c r="S591" i="1"/>
  <c r="S213" i="1"/>
  <c r="S741" i="1"/>
  <c r="S840" i="1"/>
  <c r="S832" i="1"/>
  <c r="S669" i="1"/>
  <c r="S745" i="1"/>
  <c r="S671" i="1"/>
  <c r="S556" i="1"/>
  <c r="S562" i="1"/>
  <c r="S772" i="1"/>
  <c r="S112" i="1"/>
  <c r="S798" i="1"/>
  <c r="S148" i="1"/>
  <c r="S754" i="1"/>
  <c r="S444" i="1"/>
  <c r="S567" i="1"/>
  <c r="S388" i="1"/>
  <c r="S711" i="1"/>
  <c r="S738" i="1"/>
  <c r="S231" i="1"/>
  <c r="S80" i="1"/>
  <c r="S340" i="1"/>
  <c r="S241" i="1"/>
  <c r="S765" i="1"/>
  <c r="S415" i="1"/>
  <c r="S350" i="1"/>
  <c r="S374" i="1"/>
  <c r="S808" i="1"/>
  <c r="S346" i="1"/>
  <c r="S601" i="1"/>
  <c r="S588" i="1"/>
  <c r="S27" i="1"/>
  <c r="S704" i="1"/>
  <c r="S403" i="1"/>
  <c r="S732" i="1"/>
  <c r="S474" i="1"/>
  <c r="S127" i="1"/>
  <c r="S461" i="1"/>
  <c r="S585" i="1"/>
  <c r="S162" i="1"/>
  <c r="S89" i="1"/>
  <c r="S579" i="1"/>
  <c r="S874" i="1"/>
  <c r="S848" i="1"/>
  <c r="S796" i="1"/>
  <c r="S114" i="1"/>
  <c r="S708" i="1"/>
  <c r="S653" i="1"/>
  <c r="S63" i="1"/>
  <c r="S348" i="1"/>
  <c r="S700" i="1"/>
  <c r="S108" i="1"/>
  <c r="S257" i="1"/>
  <c r="S872" i="1"/>
  <c r="S245" i="1"/>
  <c r="S250" i="1"/>
  <c r="S12" i="1"/>
  <c r="S188" i="1"/>
  <c r="S191" i="1"/>
  <c r="S212" i="1"/>
  <c r="S50" i="1"/>
  <c r="S73" i="1"/>
  <c r="S75" i="1"/>
  <c r="S223" i="1"/>
  <c r="S884" i="1"/>
  <c r="S762" i="1"/>
  <c r="S304" i="1"/>
  <c r="S69" i="1"/>
  <c r="S317" i="1"/>
  <c r="S318" i="1"/>
  <c r="S421" i="1"/>
  <c r="S327" i="1"/>
  <c r="S495" i="1"/>
  <c r="S609" i="1"/>
  <c r="S589" i="1"/>
  <c r="S417" i="1"/>
  <c r="S542" i="1"/>
  <c r="S875" i="1"/>
  <c r="S672" i="1"/>
  <c r="S780" i="1"/>
  <c r="S329" i="1"/>
  <c r="S333" i="1"/>
  <c r="S652" i="1"/>
  <c r="S21" i="1"/>
  <c r="S781" i="1"/>
  <c r="S183" i="1"/>
  <c r="S636" i="1"/>
  <c r="S39" i="1"/>
  <c r="S418" i="1"/>
  <c r="S373" i="1"/>
  <c r="S920" i="1"/>
  <c r="S718" i="1"/>
  <c r="S623" i="1"/>
  <c r="S720" i="1"/>
  <c r="S642" i="1"/>
  <c r="S722" i="1"/>
  <c r="S931" i="1"/>
  <c r="S715" i="1"/>
  <c r="S725" i="1"/>
  <c r="S900" i="1"/>
  <c r="S235" i="1"/>
  <c r="S639" i="1"/>
  <c r="S686" i="1"/>
  <c r="S688" i="1"/>
  <c r="S925" i="1"/>
  <c r="S467" i="1"/>
  <c r="S459" i="1"/>
  <c r="S411" i="1"/>
  <c r="S915" i="1"/>
  <c r="S826" i="1"/>
  <c r="S294" i="1"/>
  <c r="S906" i="1"/>
  <c r="S278" i="1"/>
  <c r="S416" i="1"/>
  <c r="S427" i="1"/>
  <c r="S228" i="1"/>
  <c r="S821" i="1"/>
  <c r="S599" i="1"/>
  <c r="S261" i="1"/>
  <c r="S866" i="1"/>
  <c r="S349" i="1"/>
  <c r="S441" i="1"/>
  <c r="S420" i="1"/>
  <c r="S552" i="1"/>
  <c r="S757" i="1"/>
  <c r="S783" i="1"/>
  <c r="S769" i="1"/>
  <c r="S823" i="1"/>
  <c r="S147" i="1"/>
  <c r="S316" i="1"/>
  <c r="S157" i="1"/>
  <c r="S343" i="1"/>
  <c r="S360" i="1"/>
  <c r="S265" i="1"/>
  <c r="S49" i="1"/>
  <c r="S180" i="1"/>
  <c r="S939" i="1"/>
  <c r="S564" i="1"/>
  <c r="S813" i="1"/>
  <c r="S110" i="1"/>
  <c r="S131" i="1"/>
  <c r="S487" i="1"/>
  <c r="S665" i="1"/>
  <c r="S604" i="1"/>
  <c r="S172" i="1"/>
  <c r="S742" i="1"/>
  <c r="S280" i="1"/>
  <c r="S297" i="1"/>
  <c r="S472" i="1"/>
  <c r="S539" i="1"/>
  <c r="S785" i="1"/>
  <c r="S458" i="1"/>
  <c r="S869" i="1"/>
  <c r="S481" i="1"/>
  <c r="S176" i="1"/>
  <c r="S423" i="1"/>
  <c r="S390" i="1"/>
  <c r="S867" i="1"/>
  <c r="S182" i="1"/>
  <c r="S195" i="1"/>
  <c r="S524" i="1"/>
  <c r="S156" i="1"/>
  <c r="S310" i="1"/>
  <c r="S698" i="1"/>
  <c r="S10" i="1"/>
  <c r="S389" i="1"/>
  <c r="S375" i="1"/>
  <c r="S634" i="1"/>
  <c r="S376" i="1"/>
  <c r="S574" i="1"/>
  <c r="S559" i="1"/>
  <c r="S77" i="1"/>
  <c r="S204" i="1"/>
  <c r="S898" i="1"/>
  <c r="S532" i="1"/>
  <c r="S947" i="1"/>
  <c r="S561" i="1"/>
  <c r="S135" i="1"/>
  <c r="S122" i="1"/>
  <c r="S101" i="1"/>
  <c r="S614" i="1"/>
  <c r="S733" i="1"/>
  <c r="S484" i="1"/>
  <c r="S836" i="1"/>
  <c r="S651" i="1"/>
  <c r="S553" i="1"/>
  <c r="S267" i="1"/>
  <c r="S893" i="1"/>
  <c r="S354" i="1"/>
  <c r="S292" i="1"/>
  <c r="S648" i="1"/>
  <c r="S220" i="1"/>
  <c r="S647" i="1"/>
  <c r="S530" i="1"/>
  <c r="S485" i="1"/>
  <c r="S767" i="1"/>
  <c r="S759" i="1"/>
  <c r="S489" i="1"/>
  <c r="S795" i="1"/>
  <c r="S70" i="1"/>
  <c r="S843" i="1"/>
  <c r="S210" i="1"/>
  <c r="S515" i="1"/>
  <c r="S254" i="1"/>
  <c r="S854" i="1"/>
  <c r="S71" i="1"/>
  <c r="S656" i="1"/>
  <c r="S597" i="1"/>
  <c r="S177" i="1"/>
  <c r="S608" i="1"/>
  <c r="S196" i="1"/>
  <c r="S612" i="1"/>
  <c r="S51" i="1"/>
  <c r="S26" i="1"/>
  <c r="S230" i="1"/>
  <c r="S714" i="1"/>
  <c r="S723" i="1"/>
  <c r="S903" i="1"/>
  <c r="S952" i="1"/>
  <c r="S300" i="1"/>
  <c r="S619" i="1"/>
  <c r="S237" i="1"/>
  <c r="S782" i="1"/>
  <c r="S160" i="1"/>
  <c r="S289" i="1"/>
  <c r="S401" i="1"/>
  <c r="S650" i="1"/>
  <c r="S82" i="1"/>
  <c r="S910" i="1"/>
  <c r="S755" i="1"/>
  <c r="S167" i="1"/>
  <c r="S881" i="1"/>
  <c r="S933" i="1"/>
  <c r="S187" i="1"/>
  <c r="S325" i="1"/>
  <c r="S794" i="1"/>
  <c r="S124" i="1"/>
  <c r="S502" i="1"/>
  <c r="S9" i="1"/>
  <c r="S861" i="1"/>
  <c r="S362" i="1"/>
  <c r="S618" i="1"/>
  <c r="S661" i="1"/>
  <c r="S696" i="1"/>
  <c r="S788" i="1"/>
  <c r="S258" i="1"/>
  <c r="S438" i="1"/>
  <c r="S150" i="1"/>
  <c r="S186" i="1"/>
  <c r="S142" i="1"/>
  <c r="S357" i="1"/>
  <c r="S321" i="1"/>
  <c r="S309" i="1"/>
  <c r="S445" i="1"/>
  <c r="S891" i="1"/>
  <c r="S492" i="1"/>
  <c r="S307" i="1"/>
  <c r="S613" i="1"/>
  <c r="S507" i="1"/>
  <c r="S522" i="1"/>
  <c r="S702" i="1"/>
  <c r="S602" i="1"/>
  <c r="S264" i="1"/>
  <c r="S306" i="1"/>
  <c r="S275" i="1"/>
  <c r="S20" i="1"/>
  <c r="S293" i="1"/>
  <c r="S424" i="1"/>
  <c r="S194" i="1"/>
  <c r="S659" i="1"/>
  <c r="S674" i="1"/>
  <c r="S870" i="1"/>
  <c r="S545" i="1"/>
  <c r="S153" i="1"/>
  <c r="S751" i="1"/>
  <c r="S791" i="1"/>
  <c r="S107" i="1"/>
  <c r="S93" i="1"/>
  <c r="S433" i="1"/>
  <c r="S859" i="1"/>
  <c r="S144" i="1"/>
  <c r="S283" i="1"/>
  <c r="S858" i="1"/>
  <c r="S631" i="1"/>
  <c r="S494" i="1"/>
  <c r="S490" i="1"/>
  <c r="S583" i="1"/>
  <c r="S94" i="1"/>
  <c r="S824" i="1"/>
  <c r="S888" i="1"/>
  <c r="S657" i="1"/>
  <c r="S804" i="1"/>
  <c r="S328" i="1"/>
  <c r="S435" i="1"/>
  <c r="S546" i="1"/>
  <c r="S600" i="1"/>
  <c r="S117" i="1"/>
  <c r="S766" i="1"/>
  <c r="S752" i="1"/>
  <c r="S326" i="1"/>
  <c r="S285" i="1"/>
  <c r="S397" i="1"/>
  <c r="S92" i="1"/>
  <c r="S820" i="1"/>
  <c r="S712" i="1"/>
  <c r="S771" i="1"/>
  <c r="S361" i="1"/>
  <c r="S123" i="1"/>
  <c r="O123" i="1" s="1"/>
  <c r="S637" i="1"/>
  <c r="S395" i="1"/>
  <c r="S28" i="1"/>
  <c r="S86" i="1"/>
  <c r="S168" i="1"/>
  <c r="S284" i="1"/>
  <c r="S380" i="1"/>
  <c r="S88" i="1"/>
  <c r="S323" i="1"/>
  <c r="S770" i="1"/>
  <c r="S295" i="1"/>
  <c r="S439" i="1"/>
  <c r="S3" i="1"/>
  <c r="S488" i="1"/>
  <c r="S65" i="1"/>
  <c r="S841" i="1"/>
  <c r="S822" i="1"/>
  <c r="S291" i="1"/>
  <c r="S413" i="1"/>
  <c r="S594" i="1"/>
  <c r="S761" i="1"/>
  <c r="S750" i="1"/>
  <c r="S215" i="1"/>
  <c r="S457" i="1"/>
  <c r="S707" i="1"/>
  <c r="S450" i="1"/>
  <c r="S611" i="1"/>
  <c r="S16" i="1"/>
  <c r="S871" i="1"/>
  <c r="S536" i="1"/>
  <c r="S849" i="1"/>
  <c r="S726" i="1"/>
  <c r="S737" i="1"/>
  <c r="S208" i="1"/>
  <c r="S687" i="1"/>
  <c r="S827" i="1"/>
  <c r="S498" i="1"/>
  <c r="S641" i="1"/>
  <c r="S922" i="1"/>
  <c r="S466" i="1"/>
  <c r="S852" i="1"/>
  <c r="S104" i="1"/>
  <c r="S654" i="1"/>
  <c r="S205" i="1"/>
  <c r="S151" i="1"/>
  <c r="S834" i="1"/>
  <c r="S842" i="1"/>
  <c r="S143" i="1"/>
  <c r="S951" i="1"/>
  <c r="S649" i="1"/>
  <c r="S534" i="1"/>
  <c r="S256" i="1"/>
  <c r="S79" i="1"/>
  <c r="S351" i="1"/>
  <c r="S335" i="1"/>
  <c r="S171" i="1"/>
  <c r="S717" i="1"/>
  <c r="S540" i="1"/>
  <c r="S885" i="1"/>
  <c r="S575" i="1"/>
  <c r="S100" i="1"/>
  <c r="S372" i="1"/>
  <c r="S948" i="1"/>
  <c r="S505" i="1"/>
  <c r="S701" i="1"/>
  <c r="S682" i="1"/>
  <c r="S42" i="1"/>
  <c r="S236" i="1"/>
  <c r="S404" i="1"/>
  <c r="S774" i="1"/>
  <c r="S892" i="1"/>
  <c r="S676" i="1"/>
  <c r="S248" i="1"/>
  <c r="S784" i="1"/>
  <c r="S940" i="1"/>
  <c r="S436" i="1"/>
  <c r="S116" i="1"/>
  <c r="S393" i="1"/>
  <c r="S470" i="1"/>
  <c r="S301" i="1"/>
  <c r="S319" i="1"/>
  <c r="S860" i="1"/>
  <c r="S566" i="1"/>
  <c r="S234" i="1"/>
  <c r="S240" i="1"/>
  <c r="S620" i="1"/>
  <c r="S802" i="1"/>
  <c r="S576" i="1"/>
  <c r="S928" i="1"/>
  <c r="S803" i="1"/>
  <c r="S508" i="1"/>
  <c r="S954" i="1"/>
  <c r="S453" i="1"/>
  <c r="S227" i="1"/>
  <c r="S685" i="1"/>
  <c r="S705" i="1"/>
  <c r="S886" i="1"/>
  <c r="S115" i="1"/>
  <c r="S663" i="1"/>
  <c r="S592" i="1"/>
  <c r="S290" i="1"/>
  <c r="S476" i="1"/>
  <c r="S226" i="1"/>
  <c r="S809" i="1"/>
  <c r="S835" i="1"/>
  <c r="S44" i="1"/>
  <c r="S775" i="1"/>
  <c r="S410" i="1"/>
  <c r="S844" i="1"/>
  <c r="S471" i="1"/>
  <c r="S209" i="1"/>
  <c r="S469" i="1"/>
  <c r="S501" i="1"/>
  <c r="S113" i="1"/>
  <c r="S899" i="1"/>
  <c r="S409" i="1"/>
  <c r="S828" i="1"/>
  <c r="S96" i="1"/>
  <c r="S130" i="1"/>
  <c r="S296" i="1"/>
  <c r="S519" i="1"/>
  <c r="S847" i="1"/>
  <c r="S632" i="1"/>
  <c r="S538" i="1"/>
  <c r="S876" i="1"/>
  <c r="S679" i="1"/>
  <c r="S137" i="1"/>
  <c r="S662" i="1"/>
  <c r="S462" i="1"/>
  <c r="S735" i="1"/>
  <c r="S345" i="1"/>
  <c r="S347" i="1"/>
  <c r="S622" i="1"/>
  <c r="S590" i="1"/>
  <c r="S681" i="1"/>
  <c r="S850" i="1"/>
  <c r="S586" i="1"/>
  <c r="S145" i="1"/>
  <c r="S185" i="1"/>
  <c r="S697" i="1"/>
  <c r="S935" i="1"/>
  <c r="S249" i="1"/>
  <c r="S370" i="1"/>
  <c r="S747" i="1"/>
  <c r="S85" i="1"/>
  <c r="S710" i="1"/>
  <c r="S442" i="1"/>
  <c r="S932" i="1"/>
  <c r="S666" i="1"/>
  <c r="S232" i="1"/>
  <c r="S4" i="1"/>
  <c r="S353" i="1"/>
  <c r="S425" i="1"/>
  <c r="S814" i="1"/>
  <c r="S34" i="1"/>
  <c r="S493" i="1"/>
  <c r="S32" i="1"/>
  <c r="S387" i="1"/>
  <c r="S799" i="1"/>
  <c r="S506" i="1"/>
  <c r="S35" i="1"/>
  <c r="S896" i="1"/>
  <c r="S491" i="1"/>
  <c r="S749" i="1"/>
  <c r="S734" i="1"/>
  <c r="S624" i="1"/>
  <c r="S386" i="1"/>
  <c r="S155" i="1"/>
  <c r="S525" i="1"/>
  <c r="S379" i="1"/>
  <c r="S817" i="1"/>
  <c r="S873" i="1"/>
  <c r="S102" i="1"/>
  <c r="S480" i="1"/>
  <c r="S158" i="1"/>
  <c r="S170" i="1"/>
  <c r="S302" i="1"/>
  <c r="S926" i="1"/>
  <c r="S312" i="1"/>
  <c r="S233" i="1"/>
  <c r="S578" i="1"/>
  <c r="S338" i="1"/>
  <c r="S334" i="1"/>
  <c r="S544" i="1"/>
  <c r="S638" i="1"/>
  <c r="S764" i="1"/>
  <c r="S128" i="1"/>
  <c r="S263" i="1"/>
  <c r="S805" i="1"/>
  <c r="S448" i="1"/>
  <c r="S851" i="1"/>
  <c r="S793" i="1"/>
  <c r="S120" i="1"/>
  <c r="S499" i="1"/>
  <c r="S882" i="1"/>
  <c r="S610" i="1"/>
  <c r="S447" i="1"/>
  <c r="S36" i="1"/>
  <c r="S14" i="1"/>
  <c r="S67" i="1"/>
  <c r="S889" i="1"/>
  <c r="S330" i="1"/>
  <c r="S830" i="1"/>
  <c r="S727" i="1"/>
  <c r="S432" i="1"/>
  <c r="S422" i="1"/>
  <c r="S521" i="1"/>
  <c r="S53" i="1"/>
  <c r="S779" i="1"/>
  <c r="S912" i="1"/>
  <c r="S736" i="1"/>
  <c r="S573" i="1"/>
  <c r="S790" i="1"/>
  <c r="S358" i="1"/>
  <c r="S55" i="1"/>
  <c r="S709" i="1"/>
  <c r="S24" i="1"/>
  <c r="S437" i="1"/>
  <c r="S550" i="1"/>
  <c r="S308" i="1"/>
  <c r="S643" i="1"/>
  <c r="S322" i="1"/>
  <c r="S90" i="1"/>
  <c r="S621" i="1"/>
  <c r="S56" i="1"/>
  <c r="S13" i="1"/>
  <c r="S812" i="1"/>
  <c r="S606" i="1"/>
  <c r="S54" i="1"/>
  <c r="S225" i="1"/>
  <c r="S831" i="1"/>
  <c r="S819" i="1"/>
  <c r="S19" i="1"/>
  <c r="S200" i="1"/>
  <c r="S287" i="1"/>
  <c r="S146" i="1"/>
  <c r="S303" i="1"/>
  <c r="S252" i="1"/>
  <c r="S337" i="1"/>
  <c r="S59" i="1"/>
  <c r="S816" i="1"/>
  <c r="S627" i="1"/>
  <c r="S486" i="1"/>
  <c r="S399" i="1"/>
  <c r="S894" i="1"/>
  <c r="S242" i="1"/>
  <c r="S251" i="1"/>
  <c r="S936" i="1"/>
  <c r="S17" i="1"/>
  <c r="S58" i="1"/>
  <c r="S706" i="1"/>
  <c r="S917" i="1"/>
  <c r="S311" i="1"/>
  <c r="S456" i="1"/>
  <c r="S777" i="1"/>
  <c r="S797" i="1"/>
  <c r="S255" i="1"/>
  <c r="S139" i="1"/>
  <c r="S269" i="1"/>
  <c r="S901" i="1"/>
  <c r="S407" i="1"/>
  <c r="S25" i="1"/>
  <c r="S625" i="1"/>
  <c r="S207" i="1"/>
  <c r="S64" i="1"/>
  <c r="S222" i="1"/>
  <c r="S744" i="1"/>
  <c r="S658" i="1"/>
  <c r="S193" i="1"/>
  <c r="S633" i="1"/>
  <c r="S684" i="1"/>
  <c r="S743" i="1"/>
  <c r="S615" i="1"/>
  <c r="S446" i="1"/>
  <c r="S43" i="1"/>
  <c r="S510" i="1"/>
  <c r="S279" i="1"/>
  <c r="S746" i="1"/>
  <c r="S339" i="1"/>
  <c r="S581" i="1"/>
  <c r="S955" i="1"/>
  <c r="S224" i="1"/>
  <c r="S668" i="1"/>
  <c r="S129" i="1"/>
  <c r="S5" i="1"/>
  <c r="S789" i="1"/>
  <c r="S109" i="1"/>
  <c r="S74" i="1"/>
  <c r="S272" i="1"/>
  <c r="S943" i="1"/>
  <c r="S197" i="1"/>
  <c r="S66" i="1"/>
  <c r="S511" i="1"/>
  <c r="S833" i="1"/>
  <c r="S431" i="1"/>
  <c r="S402" i="1"/>
  <c r="S134" i="1"/>
  <c r="S596" i="1"/>
  <c r="S667" i="1"/>
  <c r="S45" i="1"/>
  <c r="S716" i="1"/>
  <c r="S22" i="1"/>
  <c r="S57" i="1"/>
  <c r="S121" i="1"/>
  <c r="S377" i="1"/>
  <c r="S87" i="1"/>
  <c r="S863" i="1"/>
  <c r="S908" i="1"/>
  <c r="S247" i="1"/>
  <c r="S918" i="1"/>
  <c r="S286" i="1"/>
  <c r="S839" i="1"/>
  <c r="S78" i="1"/>
  <c r="S203" i="1"/>
  <c r="S369" i="1"/>
  <c r="S692" i="1"/>
  <c r="S229" i="1"/>
  <c r="S730" i="1"/>
  <c r="S2" i="1"/>
  <c r="S673" i="1"/>
  <c r="S428" i="1"/>
  <c r="S273" i="1"/>
  <c r="S382" i="1"/>
  <c r="S169" i="1"/>
  <c r="S531" i="1"/>
  <c r="S274" i="1"/>
  <c r="S740" i="1"/>
  <c r="S271" i="1"/>
  <c r="S313" i="1"/>
  <c r="S392" i="1"/>
  <c r="S52" i="1"/>
  <c r="S815" i="1"/>
  <c r="S238" i="1"/>
  <c r="S878" i="1"/>
  <c r="S537" i="1"/>
  <c r="S452" i="1"/>
  <c r="S646" i="1"/>
  <c r="S880" i="1"/>
  <c r="S595" i="1"/>
  <c r="S61" i="1"/>
  <c r="S371" i="1"/>
  <c r="S478" i="1"/>
  <c r="S414" i="1"/>
  <c r="S31" i="1"/>
  <c r="S560" i="1"/>
  <c r="S260" i="1"/>
  <c r="S18" i="1"/>
  <c r="S398" i="1"/>
  <c r="S243" i="1"/>
  <c r="S551" i="1"/>
  <c r="S694" i="1"/>
  <c r="S763" i="1"/>
  <c r="S288" i="1"/>
  <c r="S677" i="1"/>
  <c r="S758" i="1"/>
  <c r="S497" i="1"/>
  <c r="S811" i="1"/>
  <c r="S342" i="1"/>
  <c r="S944" i="1"/>
  <c r="S246" i="1"/>
  <c r="S97" i="1"/>
  <c r="S913" i="1"/>
  <c r="S689" i="1"/>
  <c r="S942" i="1"/>
  <c r="S37" i="1"/>
  <c r="S198" i="1"/>
  <c r="S396" i="1"/>
  <c r="S773" i="1"/>
  <c r="S30" i="1"/>
  <c r="S856" i="1"/>
  <c r="S580" i="1"/>
  <c r="S571" i="1"/>
  <c r="S199" i="1"/>
  <c r="S184" i="1"/>
  <c r="S140" i="1"/>
  <c r="S468" i="1"/>
  <c r="S664" i="1"/>
  <c r="S430" i="1"/>
  <c r="S367" i="1"/>
  <c r="S440" i="1"/>
  <c r="S363" i="1"/>
  <c r="S496" i="1"/>
  <c r="S62" i="1"/>
  <c r="S189" i="1"/>
  <c r="S463" i="1"/>
  <c r="S221" i="1"/>
  <c r="S118" i="1"/>
  <c r="S46" i="1"/>
  <c r="S945" i="1"/>
  <c r="S593" i="1"/>
  <c r="S923" i="1"/>
  <c r="S557" i="1"/>
  <c r="S95" i="1"/>
  <c r="S855" i="1"/>
  <c r="S315" i="1"/>
  <c r="S173" i="1"/>
  <c r="S504" i="1"/>
  <c r="S929" i="1"/>
  <c r="S837" i="1"/>
  <c r="S455" i="1"/>
  <c r="S572" i="1"/>
  <c r="S829" i="1"/>
  <c r="S206" i="1"/>
  <c r="S603" i="1"/>
  <c r="S68" i="1"/>
  <c r="S262" i="1"/>
  <c r="S577" i="1"/>
  <c r="S756" i="1"/>
  <c r="S165" i="1"/>
  <c r="S670" i="1"/>
  <c r="S801" i="1"/>
  <c r="S11" i="1"/>
  <c r="S84" i="1"/>
  <c r="S419" i="1"/>
  <c r="S862" i="1"/>
  <c r="S202" i="1"/>
  <c r="S729" i="1"/>
  <c r="S547" i="1"/>
  <c r="S106" i="1"/>
  <c r="S400" i="1"/>
  <c r="S277" i="1"/>
  <c r="S541" i="1"/>
  <c r="S895" i="1"/>
  <c r="S518" i="1"/>
  <c r="S514" i="1"/>
  <c r="S475" i="1"/>
  <c r="S83" i="1"/>
  <c r="S103" i="1"/>
  <c r="S216" i="1"/>
  <c r="S549" i="1"/>
  <c r="S281" i="1"/>
  <c r="S451" i="1"/>
  <c r="S454" i="1"/>
  <c r="S81" i="1"/>
  <c r="S877" i="1"/>
  <c r="S807" i="1"/>
  <c r="S141" i="1"/>
  <c r="S937" i="1"/>
  <c r="S161" i="1"/>
  <c r="S314" i="1"/>
  <c r="S630" i="1"/>
  <c r="S568" i="1"/>
  <c r="S299" i="1"/>
  <c r="S879" i="1"/>
  <c r="S864" i="1"/>
  <c r="S570" i="1"/>
  <c r="S887" i="1"/>
  <c r="S941" i="1"/>
  <c r="S628" i="1"/>
  <c r="S48" i="1"/>
  <c r="S846" i="1"/>
  <c r="S569" i="1"/>
  <c r="S645" i="1"/>
  <c r="S635" i="1"/>
  <c r="S218" i="1"/>
  <c r="S513" i="1"/>
  <c r="S76" i="1"/>
  <c r="S535" i="1"/>
  <c r="S616" i="1"/>
  <c r="S845" i="1"/>
  <c r="S29" i="1"/>
  <c r="S678" i="1"/>
  <c r="S356" i="1"/>
  <c r="S527" i="1"/>
  <c r="S408" i="1"/>
  <c r="S119" i="1"/>
  <c r="S406" i="1"/>
  <c r="S429" i="1"/>
  <c r="S266" i="1"/>
  <c r="S426" i="1"/>
  <c r="S786" i="1"/>
  <c r="S748" i="1"/>
  <c r="S526" i="1"/>
  <c r="S383" i="1"/>
  <c r="S60" i="1"/>
  <c r="S800" i="1"/>
  <c r="S38" i="1"/>
  <c r="S760" i="1"/>
  <c r="S598" i="1"/>
  <c r="S916" i="1"/>
  <c r="S336" i="1"/>
  <c r="S477" i="1"/>
  <c r="S482" i="1"/>
  <c r="S365" i="1"/>
  <c r="S644" i="1"/>
  <c r="S909" i="1"/>
  <c r="S105" i="1"/>
  <c r="S930" i="1"/>
  <c r="S244" i="1"/>
  <c r="S897" i="1"/>
  <c r="S558" i="1"/>
  <c r="S460" i="1"/>
  <c r="S320" i="1"/>
  <c r="S174" i="1"/>
  <c r="S305" i="1"/>
  <c r="S164" i="1"/>
  <c r="S344" i="1"/>
  <c r="S555" i="1"/>
  <c r="S728" i="1"/>
  <c r="S479" i="1"/>
  <c r="S810" i="1"/>
  <c r="S529" i="1"/>
  <c r="S934" i="1"/>
  <c r="S584" i="1"/>
  <c r="S543" i="1"/>
  <c r="S563" i="1"/>
  <c r="S159" i="1"/>
  <c r="S154" i="1"/>
  <c r="S72" i="1"/>
  <c r="S132" i="1"/>
  <c r="S919" i="1"/>
  <c r="S152" i="1"/>
  <c r="S857" i="1"/>
  <c r="S680" i="1"/>
  <c r="S298" i="1"/>
  <c r="S927" i="1"/>
  <c r="S554" i="1"/>
  <c r="S719" i="1"/>
  <c r="S385" i="1"/>
  <c r="S239" i="1"/>
  <c r="S378" i="1"/>
  <c r="S270" i="1"/>
  <c r="S179" i="1"/>
  <c r="S33" i="1"/>
  <c r="S8" i="1"/>
  <c r="S391" i="1"/>
  <c r="S724" i="1"/>
  <c r="S405" i="1"/>
  <c r="S675" i="1"/>
  <c r="S276" i="1"/>
  <c r="S268" i="1"/>
  <c r="S914" i="1"/>
  <c r="S178" i="1"/>
  <c r="S503" i="1"/>
  <c r="S693" i="1"/>
  <c r="S950" i="1"/>
  <c r="S91" i="1"/>
  <c r="S949" i="1"/>
  <c r="S776" i="1"/>
  <c r="S907" i="1"/>
  <c r="S111" i="1"/>
  <c r="S565" i="1"/>
  <c r="S368" i="1"/>
  <c r="S904" i="1"/>
  <c r="S190" i="1"/>
  <c r="S138" i="1"/>
  <c r="S713" i="1"/>
  <c r="S806" i="1"/>
  <c r="S739" i="1"/>
  <c r="S394" i="1"/>
  <c r="S695" i="1"/>
  <c r="S381" i="1"/>
  <c r="S126" i="1"/>
  <c r="E43" i="9" l="1"/>
  <c r="K19" i="5"/>
  <c r="L19" i="5"/>
  <c r="M19" i="5"/>
  <c r="N19" i="5"/>
  <c r="O19" i="5"/>
  <c r="M25" i="5"/>
  <c r="N23" i="5"/>
  <c r="O29" i="5"/>
  <c r="O30" i="5"/>
  <c r="M33" i="5"/>
  <c r="L28" i="5"/>
  <c r="K26" i="5"/>
  <c r="N24" i="5"/>
  <c r="N34" i="5"/>
  <c r="K23" i="5"/>
  <c r="L26" i="5"/>
  <c r="M28" i="5"/>
  <c r="L31" i="5"/>
  <c r="N33" i="5"/>
  <c r="M31" i="5"/>
  <c r="M24" i="5"/>
  <c r="K27" i="5"/>
  <c r="O25" i="5"/>
  <c r="N32" i="5"/>
  <c r="K28" i="5"/>
  <c r="M26" i="5"/>
  <c r="L32" i="5"/>
  <c r="N27" i="5"/>
  <c r="N26" i="5"/>
  <c r="N30" i="5"/>
  <c r="O34" i="5"/>
  <c r="M29" i="5"/>
  <c r="L29" i="5"/>
  <c r="M34" i="5"/>
  <c r="K33" i="5"/>
  <c r="O33" i="5"/>
  <c r="M30" i="5"/>
  <c r="N29" i="5"/>
  <c r="L23" i="5"/>
  <c r="K25" i="5"/>
  <c r="K32" i="5"/>
  <c r="N25" i="5"/>
  <c r="O23" i="5"/>
  <c r="L33" i="5"/>
  <c r="N28" i="5"/>
  <c r="L30" i="5"/>
  <c r="L27" i="5"/>
  <c r="L24" i="5"/>
  <c r="K34" i="5"/>
  <c r="M27" i="5"/>
  <c r="O31" i="5"/>
  <c r="K31" i="5"/>
  <c r="L34" i="5"/>
  <c r="M32" i="5"/>
  <c r="O32" i="5"/>
  <c r="O24" i="5"/>
  <c r="O28" i="5"/>
  <c r="O27" i="5"/>
  <c r="O26" i="5"/>
  <c r="K30" i="5"/>
  <c r="K29" i="5"/>
  <c r="K24" i="5"/>
  <c r="M23" i="5"/>
  <c r="N31" i="5"/>
  <c r="L25" i="5"/>
  <c r="N42" i="5" l="1"/>
  <c r="L47" i="5"/>
  <c r="N45" i="5"/>
  <c r="K44" i="5"/>
  <c r="M42" i="5"/>
  <c r="O40" i="5"/>
  <c r="L35" i="5"/>
  <c r="L39" i="5"/>
  <c r="N50" i="5"/>
  <c r="O45" i="5"/>
  <c r="M50" i="5"/>
  <c r="L50" i="5"/>
  <c r="N48" i="5"/>
  <c r="K47" i="5"/>
  <c r="M45" i="5"/>
  <c r="O43" i="5"/>
  <c r="L42" i="5"/>
  <c r="N40" i="5"/>
  <c r="K35" i="5"/>
  <c r="K39" i="5"/>
  <c r="M47" i="5"/>
  <c r="K50" i="5"/>
  <c r="M48" i="5"/>
  <c r="O46" i="5"/>
  <c r="L45" i="5"/>
  <c r="N43" i="5"/>
  <c r="K42" i="5"/>
  <c r="M40" i="5"/>
  <c r="K49" i="5"/>
  <c r="O48" i="5"/>
  <c r="O49" i="5"/>
  <c r="L48" i="5"/>
  <c r="N46" i="5"/>
  <c r="K45" i="5"/>
  <c r="M43" i="5"/>
  <c r="O41" i="5"/>
  <c r="L40" i="5"/>
  <c r="K41" i="5"/>
  <c r="N49" i="5"/>
  <c r="K48" i="5"/>
  <c r="M46" i="5"/>
  <c r="O44" i="5"/>
  <c r="L43" i="5"/>
  <c r="N41" i="5"/>
  <c r="K40" i="5"/>
  <c r="L44" i="5"/>
  <c r="M49" i="5"/>
  <c r="O47" i="5"/>
  <c r="L46" i="5"/>
  <c r="N44" i="5"/>
  <c r="K43" i="5"/>
  <c r="M41" i="5"/>
  <c r="O39" i="5"/>
  <c r="O35" i="5"/>
  <c r="M39" i="5"/>
  <c r="M35" i="5"/>
  <c r="O50" i="5"/>
  <c r="L49" i="5"/>
  <c r="N47" i="5"/>
  <c r="K46" i="5"/>
  <c r="M44" i="5"/>
  <c r="O42" i="5"/>
  <c r="L41" i="5"/>
  <c r="N39" i="5"/>
  <c r="N35" i="5"/>
  <c r="C8" i="9"/>
  <c r="C7" i="9"/>
  <c r="C6" i="9"/>
  <c r="K51" i="5" l="1"/>
  <c r="N51" i="5"/>
  <c r="M51" i="5"/>
  <c r="L51" i="5"/>
  <c r="O51" i="5"/>
  <c r="N204" i="1"/>
  <c r="N898" i="1"/>
  <c r="N257" i="1"/>
  <c r="N758" i="1"/>
  <c r="N950" i="1"/>
  <c r="N25" i="1"/>
  <c r="N118" i="1"/>
  <c r="N493" i="1"/>
  <c r="N705" i="1"/>
  <c r="N116" i="1"/>
  <c r="N63" i="1"/>
  <c r="N778" i="1"/>
  <c r="N101" i="1"/>
  <c r="N276" i="1"/>
  <c r="N905" i="1"/>
  <c r="N598" i="1"/>
  <c r="N256" i="1"/>
  <c r="N939" i="1"/>
  <c r="N442" i="1"/>
  <c r="N756" i="1"/>
  <c r="N531" i="1"/>
  <c r="N126" i="1"/>
  <c r="N803" i="1"/>
  <c r="N637" i="1"/>
  <c r="N66" i="1"/>
  <c r="N930" i="1"/>
  <c r="N4" i="1"/>
  <c r="N775" i="1"/>
  <c r="N503" i="1"/>
  <c r="N566" i="1"/>
  <c r="N350" i="1"/>
  <c r="N300" i="1"/>
  <c r="N513" i="1"/>
  <c r="N853" i="1"/>
  <c r="N757" i="1"/>
  <c r="N870" i="1"/>
  <c r="N918" i="1"/>
  <c r="N919" i="1"/>
  <c r="N510" i="1"/>
  <c r="N147" i="1"/>
  <c r="N882" i="1"/>
  <c r="N253" i="1"/>
  <c r="N379" i="1"/>
  <c r="N152" i="1"/>
  <c r="N814" i="1"/>
  <c r="N338" i="1"/>
  <c r="N663" i="1"/>
  <c r="N62" i="1"/>
  <c r="N174" i="1"/>
  <c r="N603" i="1"/>
  <c r="N56" i="1"/>
  <c r="N903" i="1"/>
  <c r="N289" i="1"/>
  <c r="N452" i="1"/>
  <c r="N940" i="1"/>
  <c r="N532" i="1"/>
  <c r="N445" i="1"/>
  <c r="N434" i="1"/>
  <c r="N371" i="1"/>
  <c r="N459" i="1"/>
  <c r="N883" i="1"/>
  <c r="N409" i="1"/>
  <c r="N795" i="1"/>
  <c r="N619" i="1"/>
  <c r="N347" i="1"/>
  <c r="N336" i="1"/>
  <c r="N39" i="1"/>
  <c r="N206" i="1"/>
  <c r="N546" i="1"/>
  <c r="N439" i="1"/>
  <c r="N138" i="1"/>
  <c r="N478" i="1"/>
  <c r="N497" i="1"/>
  <c r="N593" i="1"/>
  <c r="N304" i="1"/>
  <c r="N638" i="1"/>
  <c r="N643" i="1"/>
  <c r="N591" i="1"/>
  <c r="N285" i="1"/>
  <c r="N884" i="1"/>
  <c r="N481" i="1"/>
  <c r="N570" i="1"/>
  <c r="N729" i="1"/>
  <c r="N391" i="1"/>
  <c r="N5" i="1"/>
  <c r="N179" i="1"/>
  <c r="N454" i="1"/>
  <c r="N449" i="1"/>
  <c r="N908" i="1"/>
  <c r="N123" i="1"/>
  <c r="N23" i="1"/>
  <c r="N947" i="1"/>
  <c r="N839" i="1"/>
  <c r="N136" i="1"/>
  <c r="N849" i="1"/>
  <c r="N774" i="1"/>
  <c r="N105" i="1"/>
  <c r="N691" i="1"/>
  <c r="N748" i="1"/>
  <c r="N590" i="1"/>
  <c r="N334" i="1"/>
  <c r="N34" i="1"/>
  <c r="N311" i="1"/>
  <c r="N521" i="1"/>
  <c r="N915" i="1"/>
  <c r="N330" i="1"/>
  <c r="N823" i="1"/>
  <c r="N672" i="1"/>
  <c r="N825" i="1"/>
  <c r="N288" i="1"/>
  <c r="N58" i="1"/>
  <c r="N284" i="1"/>
  <c r="N580" i="1"/>
  <c r="N315" i="1"/>
  <c r="N768" i="1"/>
  <c r="N867" i="1"/>
  <c r="N76" i="1"/>
  <c r="N753" i="1"/>
  <c r="N94" i="1"/>
  <c r="N594" i="1"/>
  <c r="N851" i="1"/>
  <c r="N864" i="1"/>
  <c r="N13" i="1"/>
  <c r="N627" i="1"/>
  <c r="N723" i="1"/>
  <c r="N482" i="1"/>
  <c r="N154" i="1"/>
  <c r="N8" i="1"/>
  <c r="N85" i="1"/>
  <c r="N490" i="1"/>
  <c r="N251" i="1"/>
  <c r="N683" i="1"/>
  <c r="N765" i="1"/>
  <c r="N801" i="1"/>
  <c r="N213" i="1"/>
  <c r="N810" i="1"/>
  <c r="N415" i="1"/>
  <c r="N527" i="1"/>
  <c r="N934" i="1"/>
  <c r="N223" i="1"/>
  <c r="N71" i="1"/>
  <c r="N326" i="1"/>
  <c r="N673" i="1"/>
  <c r="N687" i="1"/>
  <c r="N690" i="1"/>
  <c r="N818" i="1"/>
  <c r="N698" i="1"/>
  <c r="N524" i="1"/>
  <c r="N577" i="1"/>
  <c r="N773" i="1"/>
  <c r="N480" i="1"/>
  <c r="N604" i="1"/>
  <c r="N91" i="1"/>
  <c r="N912" i="1"/>
  <c r="N193" i="1"/>
  <c r="N780" i="1"/>
  <c r="N894" i="1"/>
  <c r="N51" i="1"/>
  <c r="N389" i="1"/>
  <c r="N432" i="1"/>
  <c r="N250" i="1"/>
  <c r="N789" i="1"/>
  <c r="N913" i="1"/>
  <c r="N458" i="1"/>
  <c r="N880" i="1"/>
  <c r="N850" i="1"/>
  <c r="N949" i="1"/>
  <c r="N199" i="1"/>
  <c r="N645" i="1"/>
  <c r="N274" i="1"/>
  <c r="N495" i="1"/>
  <c r="N241" i="1"/>
  <c r="N272" i="1"/>
  <c r="N677" i="1"/>
  <c r="N48" i="1"/>
  <c r="N514" i="1"/>
  <c r="N312" i="1"/>
  <c r="N218" i="1"/>
  <c r="N49" i="1"/>
  <c r="N904" i="1"/>
  <c r="N46" i="1"/>
  <c r="N431" i="1"/>
  <c r="N501" i="1"/>
  <c r="N809" i="1"/>
  <c r="N781" i="1"/>
  <c r="N552" i="1"/>
  <c r="N242" i="1"/>
  <c r="N191" i="1"/>
  <c r="N519" i="1"/>
  <c r="N192" i="1"/>
  <c r="N258" i="1"/>
  <c r="N730" i="1"/>
  <c r="N422" i="1"/>
  <c r="N383" i="1"/>
  <c r="N228" i="1"/>
  <c r="N112" i="1"/>
  <c r="N560" i="1"/>
  <c r="N621" i="1"/>
  <c r="N111" i="1"/>
  <c r="N822" i="1"/>
  <c r="N779" i="1"/>
  <c r="N421" i="1"/>
  <c r="N945" i="1"/>
  <c r="N215" i="1"/>
  <c r="N37" i="1"/>
  <c r="N160" i="1"/>
  <c r="N786" i="1"/>
  <c r="N221" i="1"/>
  <c r="N331" i="1"/>
  <c r="N681" i="1"/>
  <c r="N854" i="1"/>
  <c r="N113" i="1"/>
  <c r="N679" i="1"/>
  <c r="N281" i="1"/>
  <c r="N654" i="1"/>
  <c r="N866" i="1"/>
  <c r="N802" i="1"/>
  <c r="N324" i="1"/>
  <c r="N127" i="1"/>
  <c r="N369" i="1"/>
  <c r="N310" i="1"/>
  <c r="N587" i="1"/>
  <c r="N702" i="1"/>
  <c r="N620" i="1"/>
  <c r="N237" i="1"/>
  <c r="N376" i="1"/>
  <c r="N496" i="1"/>
  <c r="N618" i="1"/>
  <c r="N306" i="1"/>
  <c r="N162" i="1"/>
  <c r="N420" i="1"/>
  <c r="N20" i="1"/>
  <c r="N202" i="1"/>
  <c r="N504" i="1"/>
  <c r="N707" i="1"/>
  <c r="N733" i="1"/>
  <c r="N323" i="1"/>
  <c r="N356" i="1"/>
  <c r="N770" i="1"/>
  <c r="N695" i="1"/>
  <c r="N900" i="1"/>
  <c r="N141" i="1"/>
  <c r="N406" i="1"/>
  <c r="N411" i="1"/>
  <c r="N74" i="1"/>
  <c r="N54" i="1"/>
  <c r="N307" i="1"/>
  <c r="N921" i="1"/>
  <c r="N397" i="1"/>
  <c r="N534" i="1"/>
  <c r="N297" i="1"/>
  <c r="N299" i="1"/>
  <c r="N79" i="1"/>
  <c r="N936" i="1"/>
  <c r="N845" i="1"/>
  <c r="N840" i="1"/>
  <c r="N399" i="1"/>
  <c r="N24" i="1"/>
  <c r="N325" i="1"/>
  <c r="N198" i="1"/>
  <c r="N320" i="1"/>
  <c r="N12" i="1"/>
  <c r="N187" i="1"/>
  <c r="N143" i="1"/>
  <c r="N161" i="1"/>
  <c r="N535" i="1"/>
  <c r="N119" i="1"/>
  <c r="N135" i="1"/>
  <c r="N640" i="1"/>
  <c r="N341" i="1"/>
  <c r="N717" i="1"/>
  <c r="N104" i="1"/>
  <c r="N956" i="1"/>
  <c r="N914" i="1"/>
  <c r="N886" i="1"/>
  <c r="N462" i="1"/>
  <c r="N227" i="1"/>
  <c r="N73" i="1"/>
  <c r="N873" i="1"/>
  <c r="N943" i="1"/>
  <c r="N520" i="1"/>
  <c r="N550" i="1"/>
  <c r="N239" i="1"/>
  <c r="N641" i="1"/>
  <c r="N916" i="1"/>
  <c r="N658" i="1"/>
  <c r="N17" i="1"/>
  <c r="N662" i="1"/>
  <c r="N881" i="1"/>
  <c r="N404" i="1"/>
  <c r="N357" i="1"/>
  <c r="N271" i="1"/>
  <c r="N22" i="1"/>
  <c r="N467" i="1"/>
  <c r="N230" i="1"/>
  <c r="N477" i="1"/>
  <c r="N911" i="1"/>
  <c r="N744" i="1"/>
  <c r="N548" i="1"/>
  <c r="N660" i="1"/>
  <c r="N60" i="1"/>
  <c r="N108" i="1"/>
  <c r="N576" i="1"/>
  <c r="N435" i="1"/>
  <c r="N327" i="1"/>
  <c r="N476" i="1"/>
  <c r="N222" i="1"/>
  <c r="N173" i="1"/>
  <c r="N635" i="1"/>
  <c r="N151" i="1"/>
  <c r="N505" i="1"/>
  <c r="N155" i="1"/>
  <c r="N474" i="1"/>
  <c r="N771" i="1"/>
  <c r="N392" i="1"/>
  <c r="N115" i="1"/>
  <c r="N309" i="1"/>
  <c r="N114" i="1"/>
  <c r="N561" i="1"/>
  <c r="N716" i="1"/>
  <c r="N601" i="1"/>
  <c r="N559" i="1"/>
  <c r="N329" i="1"/>
  <c r="N33" i="1"/>
  <c r="N542" i="1"/>
  <c r="N639" i="1"/>
  <c r="N175" i="1"/>
  <c r="N178" i="1"/>
  <c r="N210" i="1"/>
  <c r="N41" i="1"/>
  <c r="N488" i="1"/>
  <c r="N317" i="1"/>
  <c r="N32" i="1"/>
  <c r="N82" i="1"/>
  <c r="N953" i="1"/>
  <c r="N59" i="1"/>
  <c r="N525" i="1"/>
  <c r="N466" i="1"/>
  <c r="N512" i="1"/>
  <c r="N558" i="1"/>
  <c r="N544" i="1"/>
  <c r="N617" i="1"/>
  <c r="N555" i="1"/>
  <c r="N125" i="1"/>
  <c r="N200" i="1"/>
  <c r="N295" i="1"/>
  <c r="N405" i="1"/>
  <c r="N167" i="1"/>
  <c r="N596" i="1"/>
  <c r="N57" i="1"/>
  <c r="N766" i="1"/>
  <c r="N429" i="1"/>
  <c r="N364" i="1"/>
  <c r="N565" i="1"/>
  <c r="N796" i="1"/>
  <c r="N373" i="1"/>
  <c r="N762" i="1"/>
  <c r="N838" i="1"/>
  <c r="N254" i="1"/>
  <c r="N106" i="1"/>
  <c r="N446" i="1"/>
  <c r="N344" i="1"/>
  <c r="N871" i="1"/>
  <c r="N240" i="1"/>
  <c r="N319" i="1"/>
  <c r="N666" i="1"/>
  <c r="N9" i="1"/>
  <c r="N283" i="1"/>
  <c r="N463" i="1"/>
  <c r="N515" i="1"/>
  <c r="N472" i="1"/>
  <c r="N841" i="1"/>
  <c r="N234" i="1"/>
  <c r="N772" i="1"/>
  <c r="N891" i="1"/>
  <c r="N214" i="1"/>
  <c r="N464" i="1"/>
  <c r="N3" i="1"/>
  <c r="N694" i="1"/>
  <c r="N578" i="1"/>
  <c r="N278" i="1"/>
  <c r="N735" i="1"/>
  <c r="N848" i="1"/>
  <c r="N65" i="1"/>
  <c r="N877" i="1"/>
  <c r="N676" i="1"/>
  <c r="N858" i="1"/>
  <c r="N129" i="1"/>
  <c r="N148" i="1"/>
  <c r="N837" i="1"/>
  <c r="N860" i="1"/>
  <c r="N110" i="1"/>
  <c r="N203" i="1"/>
  <c r="N602" i="1"/>
  <c r="N417" i="1"/>
  <c r="N246" i="1"/>
  <c r="N699" i="1"/>
  <c r="N933" i="1"/>
  <c r="N172" i="1"/>
  <c r="N842" i="1"/>
  <c r="N649" i="1"/>
  <c r="N805" i="1"/>
  <c r="N624" i="1"/>
  <c r="N233" i="1"/>
  <c r="N398" i="1"/>
  <c r="N55" i="1"/>
  <c r="N438" i="1"/>
  <c r="N354" i="1"/>
  <c r="N615" i="1"/>
  <c r="N644" i="1"/>
  <c r="N385" i="1"/>
  <c r="N294" i="1"/>
  <c r="N21" i="1"/>
  <c r="N95" i="1"/>
  <c r="N102" i="1"/>
  <c r="N220" i="1"/>
  <c r="N670" i="1"/>
  <c r="N177" i="1"/>
  <c r="N793" i="1"/>
  <c r="N216" i="1"/>
  <c r="N652" i="1"/>
  <c r="N830" i="1"/>
  <c r="N98" i="1"/>
  <c r="N844" i="1"/>
  <c r="N423" i="1"/>
  <c r="N763" i="1"/>
  <c r="N395" i="1"/>
  <c r="N90" i="1"/>
  <c r="N857" i="1"/>
  <c r="N290" i="1"/>
  <c r="N166" i="1"/>
  <c r="N139" i="1"/>
  <c r="N859" i="1"/>
  <c r="N752" i="1"/>
  <c r="N52" i="1"/>
  <c r="N584" i="1"/>
  <c r="N700" i="1"/>
  <c r="N556" i="1"/>
  <c r="N157" i="1"/>
  <c r="N133" i="1"/>
  <c r="N910" i="1"/>
  <c r="N648" i="1"/>
  <c r="N692" i="1"/>
  <c r="N190" i="1"/>
  <c r="N275" i="1"/>
  <c r="N6" i="1"/>
  <c r="N255" i="1"/>
  <c r="N888" i="1"/>
  <c r="N487" i="1"/>
  <c r="N189" i="1"/>
  <c r="N831" i="1"/>
  <c r="N352" i="1"/>
  <c r="N491" i="1"/>
  <c r="N430" i="1"/>
  <c r="N492" i="1"/>
  <c r="N787" i="1"/>
  <c r="N401" i="1"/>
  <c r="N868" i="1"/>
  <c r="N769" i="1"/>
  <c r="N197" i="1"/>
  <c r="N626" i="1"/>
  <c r="N361" i="1"/>
  <c r="N226" i="1"/>
  <c r="N142" i="1"/>
  <c r="N777" i="1"/>
  <c r="N807" i="1"/>
  <c r="N754" i="1"/>
  <c r="N159" i="1"/>
  <c r="N847" i="1"/>
  <c r="N419" i="1"/>
  <c r="N874" i="1"/>
  <c r="N720" i="1"/>
  <c r="N526" i="1"/>
  <c r="N370" i="1"/>
  <c r="N436" i="1"/>
  <c r="N682" i="1"/>
  <c r="N332" i="1"/>
  <c r="N212" i="1"/>
  <c r="N697" i="1"/>
  <c r="N811" i="1"/>
  <c r="N337" i="1"/>
  <c r="N489" i="1"/>
  <c r="N469" i="1"/>
  <c r="N468" i="1"/>
  <c r="N335" i="1"/>
  <c r="N938" i="1"/>
  <c r="N616" i="1"/>
  <c r="N741" i="1"/>
  <c r="N595" i="1"/>
  <c r="N377" i="1"/>
  <c r="N828" i="1"/>
  <c r="N656" i="1"/>
  <c r="N308" i="1"/>
  <c r="N684" i="1"/>
  <c r="N150" i="1"/>
  <c r="N349" i="1"/>
  <c r="N479" i="1"/>
  <c r="N547" i="1"/>
  <c r="N790" i="1"/>
  <c r="N28" i="1"/>
  <c r="N390" i="1"/>
  <c r="N475" i="1"/>
  <c r="N812" i="1"/>
  <c r="N951" i="1"/>
  <c r="N301" i="1"/>
  <c r="N77" i="1"/>
  <c r="N305" i="1"/>
  <c r="N661" i="1"/>
  <c r="N614" i="1"/>
  <c r="N889" i="1"/>
  <c r="N808" i="1"/>
  <c r="N719" i="1"/>
  <c r="N440" i="1"/>
  <c r="N628" i="1"/>
  <c r="N829" i="1"/>
  <c r="N353" i="1"/>
  <c r="N732" i="1"/>
  <c r="N345" i="1"/>
  <c r="N948" i="1"/>
  <c r="N456" i="1"/>
  <c r="N755" i="1"/>
  <c r="N806" i="1"/>
  <c r="N72" i="1"/>
  <c r="N533" i="1"/>
  <c r="N508" i="1"/>
  <c r="N50" i="1"/>
  <c r="N751" i="1"/>
  <c r="N137" i="1"/>
  <c r="N819" i="1"/>
  <c r="N585" i="1"/>
  <c r="N473" i="1"/>
  <c r="N896" i="1"/>
  <c r="N280" i="1"/>
  <c r="N97" i="1"/>
  <c r="N776" i="1"/>
  <c r="N268" i="1"/>
  <c r="N265" i="1"/>
  <c r="N382" i="1"/>
  <c r="N745" i="1"/>
  <c r="N708" i="1"/>
  <c r="N201" i="1"/>
  <c r="N40" i="1"/>
  <c r="N581" i="1"/>
  <c r="N321" i="1"/>
  <c r="N69" i="1"/>
  <c r="N465" i="1"/>
  <c r="N955" i="1"/>
  <c r="N586" i="1"/>
  <c r="N292" i="1"/>
  <c r="N322" i="1"/>
  <c r="N182" i="1"/>
  <c r="N579" i="1"/>
  <c r="N418" i="1"/>
  <c r="N562" i="1"/>
  <c r="N238" i="1"/>
  <c r="N592" i="1"/>
  <c r="N650" i="1"/>
  <c r="N248" i="1"/>
  <c r="N44" i="1"/>
  <c r="N783" i="1"/>
  <c r="N636" i="1"/>
  <c r="N348" i="1"/>
  <c r="N569" i="1"/>
  <c r="N946" i="1"/>
  <c r="N163" i="1"/>
  <c r="N259" i="1"/>
  <c r="N564" i="1"/>
  <c r="N386" i="1"/>
  <c r="N7" i="1"/>
  <c r="N35" i="1"/>
  <c r="N318" i="1"/>
  <c r="N680" i="1"/>
  <c r="N671" i="1"/>
  <c r="N907" i="1"/>
  <c r="N667" i="1"/>
  <c r="N506" i="1"/>
  <c r="N791" i="1"/>
  <c r="N92" i="1"/>
  <c r="N538" i="1"/>
  <c r="N183" i="1"/>
  <c r="N42" i="1"/>
  <c r="N554" i="1"/>
  <c r="N164" i="1"/>
  <c r="N909" i="1"/>
  <c r="N494" i="1"/>
  <c r="N18" i="1"/>
  <c r="N728" i="1"/>
  <c r="N613" i="1"/>
  <c r="N380" i="1"/>
  <c r="N600" i="1"/>
  <c r="N378" i="1"/>
  <c r="N843" i="1"/>
  <c r="N367" i="1"/>
  <c r="N83" i="1"/>
  <c r="N267" i="1"/>
  <c r="N701" i="1"/>
  <c r="N362" i="1"/>
  <c r="N800" i="1"/>
  <c r="N792" i="1"/>
  <c r="N451" i="1"/>
  <c r="N856" i="1"/>
  <c r="N333" i="1"/>
  <c r="N146" i="1"/>
  <c r="N433" i="1"/>
  <c r="N109" i="1"/>
  <c r="N721" i="1"/>
  <c r="N262" i="1"/>
  <c r="N355" i="1"/>
  <c r="N935" i="1"/>
  <c r="N589" i="1"/>
  <c r="N363" i="1"/>
  <c r="N351" i="1"/>
  <c r="N229" i="1"/>
  <c r="N846" i="1"/>
  <c r="N706" i="1"/>
  <c r="N302" i="1"/>
  <c r="N630" i="1"/>
  <c r="N516" i="1"/>
  <c r="N629" i="1"/>
  <c r="N539" i="1"/>
  <c r="N131" i="1"/>
  <c r="N365" i="1"/>
  <c r="N339" i="1"/>
  <c r="N236" i="1"/>
  <c r="N184" i="1"/>
  <c r="N346" i="1"/>
  <c r="N269" i="1"/>
  <c r="N797" i="1"/>
  <c r="N384" i="1"/>
  <c r="N360" i="1"/>
  <c r="N343" i="1"/>
  <c r="N502" i="1"/>
  <c r="N316" i="1"/>
  <c r="N928" i="1"/>
  <c r="N834" i="1"/>
  <c r="N518" i="1"/>
  <c r="N243" i="1"/>
  <c r="N507" i="1"/>
  <c r="N414" i="1"/>
  <c r="N61" i="1"/>
  <c r="N81" i="1"/>
  <c r="N426" i="1"/>
  <c r="N185" i="1"/>
  <c r="N413" i="1"/>
  <c r="N273" i="1"/>
  <c r="N917" i="1"/>
  <c r="N906" i="1"/>
  <c r="N511" i="1"/>
  <c r="N529" i="1"/>
  <c r="N16" i="1"/>
  <c r="N855" i="1"/>
  <c r="N410" i="1"/>
  <c r="N120" i="1"/>
  <c r="N314" i="1"/>
  <c r="N67" i="1"/>
  <c r="N93" i="1"/>
  <c r="N188" i="1"/>
  <c r="N724" i="1"/>
  <c r="N588" i="1"/>
  <c r="N176" i="1"/>
  <c r="N549" i="1"/>
  <c r="N523" i="1"/>
  <c r="N400" i="1"/>
  <c r="N746" i="1"/>
  <c r="N612" i="1"/>
  <c r="N929" i="1"/>
  <c r="N926" i="1"/>
  <c r="N78" i="1"/>
  <c r="N396" i="1"/>
  <c r="N38" i="1"/>
  <c r="N287" i="1"/>
  <c r="N455" i="1"/>
  <c r="N100" i="1"/>
  <c r="N443" i="1"/>
  <c r="N715" i="1"/>
  <c r="N484" i="1"/>
  <c r="N713" i="1"/>
  <c r="N750" i="1"/>
  <c r="N128" i="1"/>
  <c r="N68" i="1"/>
  <c r="N712" i="1"/>
  <c r="N485" i="1"/>
  <c r="N358" i="1"/>
  <c r="N313" i="1"/>
  <c r="N794" i="1"/>
  <c r="N19" i="1"/>
  <c r="N387" i="1"/>
  <c r="N892" i="1"/>
  <c r="N571" i="1"/>
  <c r="N447" i="1"/>
  <c r="N205" i="1"/>
  <c r="N53" i="1"/>
  <c r="N403" i="1"/>
  <c r="N937" i="1"/>
  <c r="N402" i="1"/>
  <c r="N611" i="1"/>
  <c r="N944" i="1"/>
  <c r="N872" i="1"/>
  <c r="N784" i="1"/>
  <c r="N375" i="1"/>
  <c r="N725" i="1"/>
  <c r="N740" i="1"/>
  <c r="N582" i="1"/>
  <c r="N279" i="1"/>
  <c r="N567" i="1"/>
  <c r="N124" i="1"/>
  <c r="N27" i="1"/>
  <c r="N655" i="1"/>
  <c r="N291" i="1"/>
  <c r="N693" i="1"/>
  <c r="N103" i="1"/>
  <c r="N922" i="1"/>
  <c r="N788" i="1"/>
  <c r="N893" i="1"/>
  <c r="N149" i="1"/>
  <c r="N31" i="1"/>
  <c r="N209" i="1"/>
  <c r="N642" i="1"/>
  <c r="N158" i="1"/>
  <c r="N499" i="1"/>
  <c r="N424" i="1"/>
  <c r="N817" i="1"/>
  <c r="N80" i="1"/>
  <c r="N107" i="1"/>
  <c r="N668" i="1"/>
  <c r="N277" i="1"/>
  <c r="N261" i="1"/>
  <c r="N328" i="1"/>
  <c r="N10" i="1"/>
  <c r="N540" i="1"/>
  <c r="N942" i="1"/>
  <c r="N87" i="1"/>
  <c r="N865" i="1"/>
  <c r="N703" i="1"/>
  <c r="N739" i="1"/>
  <c r="N231" i="1"/>
  <c r="N145" i="1"/>
  <c r="N64" i="1"/>
  <c r="N714" i="1"/>
  <c r="N799" i="1"/>
  <c r="N573" i="1"/>
  <c r="N232" i="1"/>
  <c r="N180" i="1"/>
  <c r="N43" i="1"/>
  <c r="N821" i="1"/>
  <c r="N342" i="1"/>
  <c r="N381" i="1"/>
  <c r="N816" i="1"/>
  <c r="N156" i="1"/>
  <c r="N710" i="1"/>
  <c r="N885" i="1"/>
  <c r="N895" i="1"/>
  <c r="N225" i="1"/>
  <c r="N736" i="1"/>
  <c r="N876" i="1"/>
  <c r="N88" i="1"/>
  <c r="N498" i="1"/>
  <c r="N121" i="1"/>
  <c r="N89" i="1"/>
  <c r="N599" i="1"/>
  <c r="N130" i="1"/>
  <c r="N887" i="1"/>
  <c r="N412" i="1"/>
  <c r="N862" i="1"/>
  <c r="N718" i="1"/>
  <c r="N813" i="1"/>
  <c r="N952" i="1"/>
  <c r="N171" i="1"/>
  <c r="N70" i="1"/>
  <c r="N208" i="1"/>
  <c r="N927" i="1"/>
  <c r="N224" i="1"/>
  <c r="N747" i="1"/>
  <c r="N282" i="1"/>
  <c r="N450" i="1"/>
  <c r="N247" i="1"/>
  <c r="N2" i="1"/>
  <c r="N623" i="1"/>
  <c r="N749" i="1"/>
  <c r="N920" i="1"/>
  <c r="N686" i="1"/>
  <c r="N543" i="1"/>
  <c r="N169" i="1"/>
  <c r="N711" i="1"/>
  <c r="N470" i="1"/>
  <c r="N709" i="1"/>
  <c r="N597" i="1"/>
  <c r="N861" i="1"/>
  <c r="N726" i="1"/>
  <c r="N428" i="1"/>
  <c r="N286" i="1"/>
  <c r="N36" i="1"/>
  <c r="N264" i="1"/>
  <c r="N437" i="1"/>
  <c r="N563" i="1"/>
  <c r="N84" i="1"/>
  <c r="N263" i="1"/>
  <c r="N441" i="1"/>
  <c r="N761" i="1"/>
  <c r="N605" i="1"/>
  <c r="N575" i="1"/>
  <c r="N931" i="1"/>
  <c r="N47" i="1"/>
  <c r="N890" i="1"/>
  <c r="N196" i="1"/>
  <c r="N340" i="1"/>
  <c r="N742" i="1"/>
  <c r="N45" i="1"/>
  <c r="N759" i="1"/>
  <c r="N15" i="1"/>
  <c r="N461" i="1"/>
  <c r="N270" i="1"/>
  <c r="N460" i="1"/>
  <c r="N669" i="1"/>
  <c r="N651" i="1"/>
  <c r="N545" i="1"/>
  <c r="N722" i="1"/>
  <c r="N932" i="1"/>
  <c r="N296" i="1"/>
  <c r="N528" i="1"/>
  <c r="N631" i="1"/>
  <c r="N653" i="1"/>
  <c r="N509" i="1"/>
  <c r="N530" i="1"/>
  <c r="N688" i="1"/>
  <c r="N195" i="1"/>
  <c r="N609" i="1"/>
  <c r="N186" i="1"/>
  <c r="N696" i="1"/>
  <c r="N453" i="1"/>
  <c r="N260" i="1"/>
  <c r="N132" i="1"/>
  <c r="N738" i="1"/>
  <c r="N448" i="1"/>
  <c r="N878" i="1"/>
  <c r="N427" i="1"/>
  <c r="N836" i="1"/>
  <c r="N782" i="1"/>
  <c r="N252" i="1"/>
  <c r="N168" i="1"/>
  <c r="N117" i="1"/>
  <c r="N553" i="1"/>
  <c r="N674" i="1"/>
  <c r="N207" i="1"/>
  <c r="N486" i="1"/>
  <c r="N941" i="1"/>
  <c r="N536" i="1"/>
  <c r="N416" i="1"/>
  <c r="N833" i="1"/>
  <c r="N704" i="1"/>
  <c r="N388" i="1"/>
  <c r="N897" i="1"/>
  <c r="N815" i="1"/>
  <c r="N500" i="1"/>
  <c r="N408" i="1"/>
  <c r="N731" i="1"/>
  <c r="N607" i="1"/>
  <c r="N925" i="1"/>
  <c r="N368" i="1"/>
  <c r="N153" i="1"/>
  <c r="N826" i="1"/>
  <c r="N75" i="1"/>
  <c r="N217" i="1"/>
  <c r="N608" i="1"/>
  <c r="N425" i="1"/>
  <c r="N657" i="1"/>
  <c r="N737" i="1"/>
  <c r="N298" i="1"/>
  <c r="N852" i="1"/>
  <c r="N574" i="1"/>
  <c r="N689" i="1"/>
  <c r="N244" i="1"/>
  <c r="N632" i="1"/>
  <c r="N266" i="1"/>
  <c r="N899" i="1"/>
  <c r="N393" i="1"/>
  <c r="N869" i="1"/>
  <c r="N26" i="1"/>
  <c r="N734" i="1"/>
  <c r="N303" i="1"/>
  <c r="N29" i="1"/>
  <c r="N832" i="1"/>
  <c r="N366" i="1"/>
  <c r="N764" i="1"/>
  <c r="N235" i="1"/>
  <c r="N804" i="1"/>
  <c r="N86" i="1"/>
  <c r="N665" i="1"/>
  <c r="N675" i="1"/>
  <c r="N610" i="1"/>
  <c r="N457" i="1"/>
  <c r="N444" i="1"/>
  <c r="N249" i="1"/>
  <c r="N835" i="1"/>
  <c r="N923" i="1"/>
  <c r="N99" i="1"/>
  <c r="N165" i="1"/>
  <c r="N194" i="1"/>
  <c r="N824" i="1"/>
  <c r="N685" i="1"/>
  <c r="N625" i="1"/>
  <c r="N622" i="1"/>
  <c r="N954" i="1"/>
  <c r="N483" i="1"/>
  <c r="N875" i="1"/>
  <c r="N678" i="1"/>
  <c r="N785" i="1"/>
  <c r="N664" i="1"/>
  <c r="N760" i="1"/>
  <c r="N798" i="1"/>
  <c r="N11" i="1"/>
  <c r="N659" i="1"/>
  <c r="N583" i="1"/>
  <c r="N96" i="1"/>
  <c r="N394" i="1"/>
  <c r="N537" i="1"/>
  <c r="N634" i="1"/>
  <c r="N170" i="1"/>
  <c r="N743" i="1"/>
  <c r="N727" i="1"/>
  <c r="N551" i="1"/>
  <c r="N522" i="1"/>
  <c r="N767" i="1"/>
  <c r="N140" i="1"/>
  <c r="N122" i="1"/>
  <c r="N901" i="1"/>
  <c r="N606" i="1"/>
  <c r="N374" i="1"/>
  <c r="N471" i="1"/>
  <c r="N827" i="1"/>
  <c r="N557" i="1"/>
  <c r="N572" i="1"/>
  <c r="N14" i="1"/>
  <c r="N407" i="1"/>
  <c r="N820" i="1"/>
  <c r="N517" i="1"/>
  <c r="N372" i="1"/>
  <c r="N647" i="1"/>
  <c r="N144" i="1"/>
  <c r="N245" i="1"/>
  <c r="N879" i="1"/>
  <c r="N134" i="1"/>
  <c r="N863" i="1"/>
  <c r="N568" i="1"/>
  <c r="N30" i="1"/>
  <c r="N902" i="1"/>
  <c r="N211" i="1"/>
  <c r="N293" i="1"/>
  <c r="N541" i="1"/>
  <c r="N633" i="1"/>
  <c r="N646" i="1"/>
  <c r="M50" i="9" l="1"/>
  <c r="M49" i="9"/>
  <c r="M48" i="9"/>
  <c r="M47" i="9"/>
  <c r="M46" i="9"/>
  <c r="M45" i="9"/>
  <c r="M44" i="9"/>
  <c r="M43" i="9"/>
  <c r="I6" i="9" l="1"/>
  <c r="I7" i="9"/>
  <c r="I8" i="9"/>
  <c r="I5" i="9"/>
  <c r="M37" i="9"/>
  <c r="M36" i="9"/>
  <c r="M35" i="9"/>
  <c r="M34" i="9"/>
  <c r="M33" i="9"/>
  <c r="M32" i="9"/>
  <c r="M31" i="9"/>
  <c r="M30" i="9"/>
  <c r="H6" i="9"/>
  <c r="H7" i="9"/>
  <c r="H8" i="9"/>
  <c r="H5" i="9"/>
  <c r="N19" i="9"/>
  <c r="O19" i="9"/>
  <c r="P19" i="9"/>
  <c r="Q19" i="9"/>
  <c r="R19" i="9"/>
  <c r="S19" i="9"/>
  <c r="T19" i="9"/>
  <c r="N20" i="9"/>
  <c r="O20" i="9"/>
  <c r="P20" i="9"/>
  <c r="Q20" i="9"/>
  <c r="R20" i="9"/>
  <c r="S20" i="9"/>
  <c r="T20" i="9"/>
  <c r="N21" i="9"/>
  <c r="O21" i="9"/>
  <c r="P21" i="9"/>
  <c r="Q21" i="9"/>
  <c r="R21" i="9"/>
  <c r="S21" i="9"/>
  <c r="T21" i="9"/>
  <c r="O18" i="9"/>
  <c r="P18" i="9"/>
  <c r="Q18" i="9"/>
  <c r="R18" i="9"/>
  <c r="S18" i="9"/>
  <c r="T18" i="9"/>
  <c r="N18" i="9"/>
  <c r="M19" i="9"/>
  <c r="M20" i="9"/>
  <c r="M21" i="9"/>
  <c r="M18" i="9"/>
  <c r="C5" i="9"/>
  <c r="F6" i="9" l="1"/>
  <c r="F8" i="9"/>
  <c r="F7" i="9"/>
  <c r="F5" i="9"/>
  <c r="B37" i="9"/>
  <c r="B50" i="9"/>
  <c r="B49" i="9"/>
  <c r="B36" i="9"/>
  <c r="Q19" i="5"/>
  <c r="Q2" i="5" s="1"/>
  <c r="P19" i="5"/>
  <c r="P2" i="5" s="1"/>
  <c r="O2" i="5"/>
  <c r="N2" i="5"/>
  <c r="M2" i="5"/>
  <c r="L2" i="5"/>
  <c r="K2" i="5"/>
  <c r="Q25" i="5"/>
  <c r="Q34" i="5"/>
  <c r="Q33" i="5"/>
  <c r="P25" i="5"/>
  <c r="Q24" i="5"/>
  <c r="R31" i="5"/>
  <c r="Q31" i="5"/>
  <c r="R28" i="5"/>
  <c r="P27" i="5"/>
  <c r="Q23" i="5"/>
  <c r="R27" i="5"/>
  <c r="R24" i="5"/>
  <c r="R23" i="5"/>
  <c r="R30" i="5"/>
  <c r="Q29" i="5"/>
  <c r="R25" i="5"/>
  <c r="R26" i="5"/>
  <c r="P31" i="5"/>
  <c r="R33" i="5"/>
  <c r="P26" i="5"/>
  <c r="Q28" i="5"/>
  <c r="R29" i="5"/>
  <c r="P30" i="5"/>
  <c r="P32" i="5"/>
  <c r="Q30" i="5"/>
  <c r="P23" i="5"/>
  <c r="R32" i="5"/>
  <c r="Q32" i="5"/>
  <c r="P33" i="5"/>
  <c r="P24" i="5"/>
  <c r="P29" i="5"/>
  <c r="P28" i="5"/>
  <c r="P34" i="5"/>
  <c r="Q26" i="5"/>
  <c r="R34" i="5"/>
  <c r="Q27" i="5"/>
  <c r="R41" i="5" l="1"/>
  <c r="P42" i="5"/>
  <c r="R40" i="5"/>
  <c r="P40" i="5"/>
  <c r="R48" i="5"/>
  <c r="Q47" i="5"/>
  <c r="Q48" i="5"/>
  <c r="Q49" i="5"/>
  <c r="Q45" i="5"/>
  <c r="R50" i="5"/>
  <c r="Q44" i="5"/>
  <c r="Q42" i="5"/>
  <c r="R49" i="5"/>
  <c r="Q43" i="5"/>
  <c r="R39" i="5"/>
  <c r="R47" i="5"/>
  <c r="Q41" i="5"/>
  <c r="P44" i="5"/>
  <c r="Q40" i="5"/>
  <c r="R46" i="5"/>
  <c r="R44" i="5"/>
  <c r="P50" i="5"/>
  <c r="P43" i="5"/>
  <c r="P47" i="5"/>
  <c r="R42" i="5"/>
  <c r="Q50" i="5"/>
  <c r="R45" i="5"/>
  <c r="P41" i="5"/>
  <c r="Q46" i="5"/>
  <c r="Q39" i="5"/>
  <c r="P49" i="5"/>
  <c r="P39" i="5"/>
  <c r="P48" i="5"/>
  <c r="P46" i="5"/>
  <c r="P45" i="5"/>
  <c r="R43" i="5"/>
  <c r="P35" i="5"/>
  <c r="Q35" i="5"/>
  <c r="R35" i="5"/>
  <c r="S34" i="5"/>
  <c r="S2" i="5"/>
  <c r="S28" i="5"/>
  <c r="S24" i="5"/>
  <c r="S32" i="5"/>
  <c r="S31" i="5"/>
  <c r="S23" i="5"/>
  <c r="S27" i="5"/>
  <c r="S26" i="5"/>
  <c r="S30" i="5"/>
  <c r="S25" i="5"/>
  <c r="S29" i="5"/>
  <c r="S33" i="5"/>
  <c r="B48" i="8"/>
  <c r="B36" i="8"/>
  <c r="F36" i="8"/>
  <c r="F24" i="8"/>
  <c r="F12" i="8"/>
  <c r="S50" i="5" l="1"/>
  <c r="P51" i="5"/>
  <c r="Q51" i="5"/>
  <c r="R51" i="5"/>
  <c r="S35" i="5"/>
  <c r="T35" i="5" s="1"/>
  <c r="S46" i="5"/>
  <c r="S49" i="5"/>
  <c r="S44" i="5"/>
  <c r="S45" i="5"/>
  <c r="S47" i="5"/>
  <c r="S43" i="5"/>
  <c r="S39" i="5"/>
  <c r="S48" i="5"/>
  <c r="S42" i="5"/>
  <c r="S40" i="5"/>
  <c r="S41" i="5"/>
  <c r="S51" i="5" l="1"/>
  <c r="I43" i="9" l="1"/>
  <c r="I45" i="9"/>
  <c r="I47" i="9"/>
  <c r="I49" i="9"/>
  <c r="J47" i="9"/>
  <c r="F48" i="9"/>
  <c r="H48" i="9"/>
  <c r="J43" i="9"/>
  <c r="J45" i="9"/>
  <c r="E46" i="9"/>
  <c r="E51" i="9" s="1"/>
  <c r="E44" i="9"/>
  <c r="E50" i="9"/>
  <c r="F44" i="9"/>
  <c r="F46" i="9"/>
  <c r="F51" i="9" s="1"/>
  <c r="G44" i="9"/>
  <c r="G46" i="9"/>
  <c r="G51" i="9" s="1"/>
  <c r="G50" i="9"/>
  <c r="H44" i="9"/>
  <c r="H46" i="9"/>
  <c r="H51" i="9" s="1"/>
  <c r="I44" i="9"/>
  <c r="I46" i="9"/>
  <c r="I48" i="9"/>
  <c r="I50" i="9"/>
  <c r="J49" i="9"/>
  <c r="D50" i="9"/>
  <c r="H50" i="9"/>
  <c r="J44" i="9"/>
  <c r="J46" i="9"/>
  <c r="J48" i="9"/>
  <c r="J50" i="9"/>
  <c r="E45" i="9"/>
  <c r="E47" i="9"/>
  <c r="E49" i="9"/>
  <c r="D44" i="9"/>
  <c r="F43" i="9"/>
  <c r="F45" i="9"/>
  <c r="F49" i="9"/>
  <c r="D45" i="9"/>
  <c r="G48" i="9"/>
  <c r="F47" i="9"/>
  <c r="D48" i="9"/>
  <c r="E48" i="9"/>
  <c r="G43" i="9"/>
  <c r="G45" i="9"/>
  <c r="G47" i="9"/>
  <c r="G49" i="9"/>
  <c r="D46" i="9"/>
  <c r="D51" i="9" s="1"/>
  <c r="H43" i="9"/>
  <c r="H45" i="9"/>
  <c r="H47" i="9"/>
  <c r="H49" i="9"/>
  <c r="D47" i="9"/>
  <c r="D49" i="9"/>
  <c r="F50" i="9"/>
  <c r="D30" i="9"/>
  <c r="I30" i="9"/>
  <c r="I32" i="9"/>
  <c r="I34" i="9"/>
  <c r="I36" i="9"/>
  <c r="D31" i="9"/>
  <c r="J30" i="9"/>
  <c r="J32" i="9"/>
  <c r="J34" i="9"/>
  <c r="J36" i="9"/>
  <c r="D32" i="9"/>
  <c r="E31" i="9"/>
  <c r="E33" i="9"/>
  <c r="E35" i="9"/>
  <c r="E37" i="9"/>
  <c r="D33" i="9"/>
  <c r="F31" i="9"/>
  <c r="F33" i="9"/>
  <c r="F35" i="9"/>
  <c r="F37" i="9"/>
  <c r="D34" i="9"/>
  <c r="G31" i="9"/>
  <c r="G33" i="9"/>
  <c r="G35" i="9"/>
  <c r="G37" i="9"/>
  <c r="D35" i="9"/>
  <c r="H31" i="9"/>
  <c r="H33" i="9"/>
  <c r="H35" i="9"/>
  <c r="H37" i="9"/>
  <c r="D36" i="9"/>
  <c r="I31" i="9"/>
  <c r="I33" i="9"/>
  <c r="I35" i="9"/>
  <c r="I37" i="9"/>
  <c r="D37" i="9"/>
  <c r="J31" i="9"/>
  <c r="J33" i="9"/>
  <c r="J35" i="9"/>
  <c r="J37" i="9"/>
  <c r="F32" i="9"/>
  <c r="F36" i="9"/>
  <c r="H36" i="9"/>
  <c r="E30" i="9"/>
  <c r="E32" i="9"/>
  <c r="E34" i="9"/>
  <c r="E36" i="9"/>
  <c r="F30" i="9"/>
  <c r="F34" i="9"/>
  <c r="G30" i="9"/>
  <c r="G32" i="9"/>
  <c r="G34" i="9"/>
  <c r="G36" i="9"/>
  <c r="H30" i="9"/>
  <c r="H32" i="9"/>
  <c r="H34" i="9"/>
  <c r="M66" i="1"/>
  <c r="M176" i="1"/>
  <c r="M585" i="1"/>
  <c r="M295" i="1"/>
  <c r="M403" i="1"/>
  <c r="M792" i="1"/>
  <c r="M292" i="1"/>
  <c r="M290" i="1"/>
  <c r="M539" i="1"/>
  <c r="M435" i="1"/>
  <c r="M265" i="1"/>
  <c r="M524" i="1"/>
  <c r="M238" i="1"/>
  <c r="M733" i="1"/>
  <c r="M740" i="1"/>
  <c r="M933" i="1"/>
  <c r="M616" i="1"/>
  <c r="M744" i="1"/>
  <c r="M58" i="1"/>
  <c r="M788" i="1"/>
  <c r="M715" i="1"/>
  <c r="M445" i="1"/>
  <c r="M386" i="1"/>
  <c r="M523" i="1"/>
  <c r="M944" i="1"/>
  <c r="M877" i="1"/>
  <c r="M104" i="1"/>
  <c r="M848" i="1"/>
  <c r="M330" i="1"/>
  <c r="M282" i="1"/>
  <c r="M659" i="1"/>
  <c r="M796" i="1"/>
  <c r="M480" i="1"/>
  <c r="M302" i="1"/>
  <c r="M259" i="1"/>
  <c r="M427" i="1"/>
  <c r="M586" i="1"/>
  <c r="M730" i="1"/>
  <c r="M555" i="1"/>
  <c r="M947" i="1"/>
  <c r="M179" i="1"/>
  <c r="M522" i="1"/>
  <c r="M321" i="1"/>
  <c r="M595" i="1"/>
  <c r="M10" i="1"/>
  <c r="M762" i="1"/>
  <c r="M37" i="1"/>
  <c r="M550" i="1"/>
  <c r="M484" i="1"/>
  <c r="M25" i="1"/>
  <c r="M646" i="1"/>
  <c r="M521" i="1"/>
  <c r="M497" i="1"/>
  <c r="M538" i="1"/>
  <c r="M350" i="1"/>
  <c r="M198" i="1"/>
  <c r="M397" i="1"/>
  <c r="M390" i="1"/>
  <c r="M286" i="1"/>
  <c r="M787" i="1"/>
  <c r="M206" i="1"/>
  <c r="M708" i="1"/>
  <c r="M103" i="1"/>
  <c r="M880" i="1"/>
  <c r="M114" i="1"/>
  <c r="M453" i="1"/>
  <c r="M654" i="1"/>
  <c r="M437" i="1"/>
  <c r="M80" i="1"/>
  <c r="M536" i="1"/>
  <c r="M239" i="1"/>
  <c r="M185" i="1"/>
  <c r="M373" i="1"/>
  <c r="M473" i="1"/>
  <c r="M463" i="1"/>
  <c r="M633" i="1"/>
  <c r="M663" i="1"/>
  <c r="M675" i="1"/>
  <c r="M364" i="1"/>
  <c r="M425" i="1"/>
  <c r="M455" i="1"/>
  <c r="M56" i="1"/>
  <c r="M16" i="1"/>
  <c r="M673" i="1"/>
  <c r="M149" i="1"/>
  <c r="M937" i="1"/>
  <c r="M900" i="1"/>
  <c r="M831" i="1"/>
  <c r="M233" i="1"/>
  <c r="M911" i="1"/>
  <c r="M349" i="1"/>
  <c r="M757" i="1"/>
  <c r="M620" i="1"/>
  <c r="M928" i="1"/>
  <c r="M863" i="1"/>
  <c r="M629" i="1"/>
  <c r="M70" i="1"/>
  <c r="M721" i="1"/>
  <c r="M142" i="1"/>
  <c r="M684" i="1"/>
  <c r="M148" i="1"/>
  <c r="M476" i="1"/>
  <c r="M235" i="1"/>
  <c r="M44" i="1"/>
  <c r="M404" i="1"/>
  <c r="M938" i="1"/>
  <c r="M881" i="1"/>
  <c r="M572" i="1"/>
  <c r="M956" i="1"/>
  <c r="M918" i="1"/>
  <c r="M248" i="1"/>
  <c r="M894" i="1"/>
  <c r="M541" i="1"/>
  <c r="M154" i="1"/>
  <c r="M416" i="1"/>
  <c r="M910" i="1"/>
  <c r="M776" i="1"/>
  <c r="M408" i="1"/>
  <c r="M718" i="1"/>
  <c r="M764" i="1"/>
  <c r="M535" i="1"/>
  <c r="M943" i="1"/>
  <c r="M251" i="1"/>
  <c r="M859" i="1"/>
  <c r="M28" i="1"/>
  <c r="M90" i="1"/>
  <c r="M182" i="1"/>
  <c r="M322" i="1"/>
  <c r="M325" i="1"/>
  <c r="M857" i="1"/>
  <c r="M351" i="1"/>
  <c r="M925" i="1"/>
  <c r="M482" i="1"/>
  <c r="M245" i="1"/>
  <c r="M383" i="1"/>
  <c r="M5" i="1"/>
  <c r="M936" i="1"/>
  <c r="M399" i="1"/>
  <c r="M722" i="1"/>
  <c r="M621" i="1"/>
  <c r="M331" i="1"/>
  <c r="M211" i="1"/>
  <c r="M832" i="1"/>
  <c r="M100" i="1"/>
  <c r="M319" i="1"/>
  <c r="M824" i="1"/>
  <c r="M167" i="1"/>
  <c r="M341" i="1"/>
  <c r="M268" i="1"/>
  <c r="M217" i="1"/>
  <c r="M697" i="1"/>
  <c r="M617" i="1"/>
  <c r="M358" i="1"/>
  <c r="M131" i="1"/>
  <c r="M915" i="1"/>
  <c r="M777" i="1"/>
  <c r="M220" i="1"/>
  <c r="M704" i="1"/>
  <c r="M496" i="1"/>
  <c r="M768" i="1"/>
  <c r="M737" i="1"/>
  <c r="M860" i="1"/>
  <c r="M122" i="1"/>
  <c r="M168" i="1"/>
  <c r="M604" i="1"/>
  <c r="M872" i="1"/>
  <c r="M99" i="1"/>
  <c r="M141" i="1"/>
  <c r="M807" i="1"/>
  <c r="M485" i="1"/>
  <c r="M565" i="1"/>
  <c r="M667" i="1"/>
  <c r="M808" i="1"/>
  <c r="M784" i="1"/>
  <c r="M297" i="1"/>
  <c r="M339" i="1"/>
  <c r="M618" i="1"/>
  <c r="M326" i="1"/>
  <c r="M840" i="1"/>
  <c r="M644" i="1"/>
  <c r="M79" i="1"/>
  <c r="M829" i="1"/>
  <c r="M171" i="1"/>
  <c r="M191" i="1"/>
  <c r="M814" i="1"/>
  <c r="M152" i="1"/>
  <c r="M228" i="1"/>
  <c r="M723" i="1"/>
  <c r="M562" i="1"/>
  <c r="M891" i="1"/>
  <c r="M818" i="1"/>
  <c r="M63" i="1"/>
  <c r="M823" i="1"/>
  <c r="M510" i="1"/>
  <c r="M841" i="1"/>
  <c r="M105" i="1"/>
  <c r="M432" i="1"/>
  <c r="M136" i="1"/>
  <c r="M353" i="1"/>
  <c r="M112" i="1"/>
  <c r="M580" i="1"/>
  <c r="M194" i="1"/>
  <c r="M240" i="1"/>
  <c r="M139" i="1"/>
  <c r="M138" i="1"/>
  <c r="M229" i="1"/>
  <c r="M939" i="1"/>
  <c r="M193" i="1"/>
  <c r="M196" i="1"/>
  <c r="M305" i="1"/>
  <c r="M422" i="1"/>
  <c r="M201" i="1"/>
  <c r="M158" i="1"/>
  <c r="M873" i="1"/>
  <c r="M173" i="1"/>
  <c r="M42" i="1"/>
  <c r="M283" i="1"/>
  <c r="M452" i="1"/>
  <c r="M706" i="1"/>
  <c r="M696" i="1"/>
  <c r="M632" i="1"/>
  <c r="M396" i="1"/>
  <c r="M72" i="1"/>
  <c r="M608" i="1"/>
  <c r="M75" i="1"/>
  <c r="M465" i="1"/>
  <c r="M738" i="1"/>
  <c r="M88" i="1"/>
  <c r="M481" i="1"/>
  <c r="M29" i="1"/>
  <c r="M172" i="1"/>
  <c r="M420" i="1"/>
  <c r="M367" i="1"/>
  <c r="M40" i="1"/>
  <c r="M361" i="1"/>
  <c r="M699" i="1"/>
  <c r="M761" i="1"/>
  <c r="M514" i="1"/>
  <c r="M123" i="1"/>
  <c r="M189" i="1"/>
  <c r="M285" i="1"/>
  <c r="M260" i="1"/>
  <c r="M475" i="1"/>
  <c r="M118" i="1"/>
  <c r="M310" i="1"/>
  <c r="M203" i="1"/>
  <c r="M316" i="1"/>
  <c r="M378" i="1"/>
  <c r="M2" i="1"/>
  <c r="M779" i="1"/>
  <c r="M817" i="1"/>
  <c r="M301" i="1"/>
  <c r="M631" i="1"/>
  <c r="M749" i="1"/>
  <c r="M599" i="1"/>
  <c r="M93" i="1"/>
  <c r="M165" i="1"/>
  <c r="M155" i="1"/>
  <c r="M687" i="1"/>
  <c r="M921" i="1"/>
  <c r="M150" i="1"/>
  <c r="M459" i="1"/>
  <c r="M174" i="1"/>
  <c r="M506" i="1"/>
  <c r="M472" i="1"/>
  <c r="M821" i="1"/>
  <c r="M922" i="1"/>
  <c r="M665" i="1"/>
  <c r="M862" i="1"/>
  <c r="M323" i="1"/>
  <c r="M458" i="1"/>
  <c r="M531" i="1"/>
  <c r="M314" i="1"/>
  <c r="M916" i="1"/>
  <c r="M742" i="1"/>
  <c r="M281" i="1"/>
  <c r="M669" i="1"/>
  <c r="M904" i="1"/>
  <c r="M78" i="1"/>
  <c r="M478" i="1"/>
  <c r="M567" i="1"/>
  <c r="M242" i="1"/>
  <c r="M836" i="1"/>
  <c r="M52" i="1"/>
  <c r="M57" i="1"/>
  <c r="M115" i="1"/>
  <c r="M498" i="1"/>
  <c r="M693" i="1"/>
  <c r="M773" i="1"/>
  <c r="M837" i="1"/>
  <c r="M21" i="1"/>
  <c r="M436" i="1"/>
  <c r="M439" i="1"/>
  <c r="M346" i="1"/>
  <c r="M694" i="1"/>
  <c r="M930" i="1"/>
  <c r="M64" i="1"/>
  <c r="M886" i="1"/>
  <c r="M851" i="1"/>
  <c r="M294" i="1"/>
  <c r="M946" i="1"/>
  <c r="M236" i="1"/>
  <c r="M183" i="1"/>
  <c r="M736" i="1"/>
  <c r="M376" i="1"/>
  <c r="M54" i="1"/>
  <c r="M735" i="1"/>
  <c r="M913" i="1"/>
  <c r="M303" i="1"/>
  <c r="M166" i="1"/>
  <c r="M664" i="1"/>
  <c r="M48" i="1"/>
  <c r="M885" i="1"/>
  <c r="M160" i="1"/>
  <c r="M49" i="1"/>
  <c r="M161" i="1"/>
  <c r="M624" i="1"/>
  <c r="M384" i="1"/>
  <c r="M400" i="1"/>
  <c r="M87" i="1"/>
  <c r="M754" i="1"/>
  <c r="M674" i="1"/>
  <c r="M588" i="1"/>
  <c r="M680" i="1"/>
  <c r="M366" i="1"/>
  <c r="M311" i="1"/>
  <c r="M121" i="1"/>
  <c r="M681" i="1"/>
  <c r="M253" i="1"/>
  <c r="M9" i="1"/>
  <c r="M622" i="1"/>
  <c r="M820" i="1"/>
  <c r="M953" i="1"/>
  <c r="M746" i="1"/>
  <c r="M929" i="1"/>
  <c r="M146" i="1"/>
  <c r="M712" i="1"/>
  <c r="M151" i="1"/>
  <c r="M816" i="1"/>
  <c r="M760" i="1"/>
  <c r="M589" i="1"/>
  <c r="M713" i="1"/>
  <c r="M264" i="1"/>
  <c r="M806" i="1"/>
  <c r="M254" i="1"/>
  <c r="M164" i="1"/>
  <c r="M101" i="1"/>
  <c r="M866" i="1"/>
  <c r="M38" i="1"/>
  <c r="M887" i="1"/>
  <c r="M650" i="1"/>
  <c r="M362" i="1"/>
  <c r="M755" i="1"/>
  <c r="M853" i="1"/>
  <c r="M447" i="1"/>
  <c r="M729" i="1"/>
  <c r="M879" i="1"/>
  <c r="M935" i="1"/>
  <c r="M39" i="1"/>
  <c r="M797" i="1"/>
  <c r="M157" i="1"/>
  <c r="M517" i="1"/>
  <c r="M641" i="1"/>
  <c r="M780" i="1"/>
  <c r="M794" i="1"/>
  <c r="M868" i="1"/>
  <c r="M741" i="1"/>
  <c r="M108" i="1"/>
  <c r="M540" i="1"/>
  <c r="M683" i="1"/>
  <c r="M307" i="1"/>
  <c r="M462" i="1"/>
  <c r="M405" i="1"/>
  <c r="M747" i="1"/>
  <c r="M630" i="1"/>
  <c r="M557" i="1"/>
  <c r="M449" i="1"/>
  <c r="M802" i="1"/>
  <c r="M775" i="1"/>
  <c r="M518" i="1"/>
  <c r="M914" i="1"/>
  <c r="M207" i="1"/>
  <c r="M446" i="1"/>
  <c r="M214" i="1"/>
  <c r="M651" i="1"/>
  <c r="M213" i="1"/>
  <c r="M284" i="1"/>
  <c r="M312" i="1"/>
  <c r="M17" i="1"/>
  <c r="M897" i="1"/>
  <c r="M469" i="1"/>
  <c r="M443" i="1"/>
  <c r="M552" i="1"/>
  <c r="M515" i="1"/>
  <c r="M917" i="1"/>
  <c r="M703" i="1"/>
  <c r="M640" i="1"/>
  <c r="M109" i="1"/>
  <c r="M685" i="1"/>
  <c r="M548" i="1"/>
  <c r="M385" i="1"/>
  <c r="M222" i="1"/>
  <c r="M107" i="1"/>
  <c r="M433" i="1"/>
  <c r="M466" i="1"/>
  <c r="M280" i="1"/>
  <c r="M826" i="1"/>
  <c r="M690" i="1"/>
  <c r="M719" i="1"/>
  <c r="M375" i="1"/>
  <c r="M205" i="1"/>
  <c r="M474" i="1"/>
  <c r="M494" i="1"/>
  <c r="M950" i="1"/>
  <c r="M395" i="1"/>
  <c r="M234" i="1"/>
  <c r="M553" i="1"/>
  <c r="M613" i="1"/>
  <c r="M342" i="1"/>
  <c r="M178" i="1"/>
  <c r="M300" i="1"/>
  <c r="M65" i="1"/>
  <c r="M243" i="1"/>
  <c r="M743" i="1"/>
  <c r="M210" i="1"/>
  <c r="M247" i="1"/>
  <c r="M315" i="1"/>
  <c r="M92" i="1"/>
  <c r="M379" i="1"/>
  <c r="M293" i="1"/>
  <c r="M869" i="1"/>
  <c r="M276" i="1"/>
  <c r="M587" i="1"/>
  <c r="M912" i="1"/>
  <c r="M410" i="1"/>
  <c r="M137" i="1"/>
  <c r="M888" i="1"/>
  <c r="M153" i="1"/>
  <c r="M955" i="1"/>
  <c r="M725" i="1"/>
  <c r="M901" i="1"/>
  <c r="M577" i="1"/>
  <c r="M20" i="1"/>
  <c r="M769" i="1"/>
  <c r="M745" i="1"/>
  <c r="M844" i="1"/>
  <c r="M519" i="1"/>
  <c r="M926" i="1"/>
  <c r="M95" i="1"/>
  <c r="M941" i="1"/>
  <c r="M509" i="1"/>
  <c r="M898" i="1"/>
  <c r="M896" i="1"/>
  <c r="M186" i="1"/>
  <c r="M672" i="1"/>
  <c r="M111" i="1"/>
  <c r="M945" i="1"/>
  <c r="M224" i="1"/>
  <c r="M468" i="1"/>
  <c r="M369" i="1"/>
  <c r="M627" i="1"/>
  <c r="M889" i="1"/>
  <c r="M801" i="1"/>
  <c r="M732" i="1"/>
  <c r="M554" i="1"/>
  <c r="M184" i="1"/>
  <c r="M942" i="1"/>
  <c r="M793" i="1"/>
  <c r="M225" i="1"/>
  <c r="M67" i="1"/>
  <c r="M77" i="1"/>
  <c r="M882" i="1"/>
  <c r="M660" i="1"/>
  <c r="M678" i="1"/>
  <c r="M491" i="1"/>
  <c r="M448" i="1"/>
  <c r="M876" i="1"/>
  <c r="M920" i="1"/>
  <c r="M766" i="1"/>
  <c r="M750" i="1"/>
  <c r="M647" i="1"/>
  <c r="M940" i="1"/>
  <c r="M199" i="1"/>
  <c r="M668" i="1"/>
  <c r="M677" i="1"/>
  <c r="M162" i="1"/>
  <c r="M261" i="1"/>
  <c r="M124" i="1"/>
  <c r="M357" i="1"/>
  <c r="M340" i="1"/>
  <c r="M610" i="1"/>
  <c r="M579" i="1"/>
  <c r="M499" i="1"/>
  <c r="M22" i="1"/>
  <c r="M934" i="1"/>
  <c r="M277" i="1"/>
  <c r="M545" i="1"/>
  <c r="M720" i="1"/>
  <c r="M24" i="1"/>
  <c r="M895" i="1"/>
  <c r="M273" i="1"/>
  <c r="M126" i="1"/>
  <c r="M716" i="1"/>
  <c r="M89" i="1"/>
  <c r="M575" i="1"/>
  <c r="M893" i="1"/>
  <c r="M380" i="1"/>
  <c r="M611" i="1"/>
  <c r="M195" i="1"/>
  <c r="M504" i="1"/>
  <c r="M256" i="1"/>
  <c r="M822" i="1"/>
  <c r="M296" i="1"/>
  <c r="M460" i="1"/>
  <c r="M798" i="1"/>
  <c r="M94" i="1"/>
  <c r="M46" i="1"/>
  <c r="M615" i="1"/>
  <c r="M313" i="1"/>
  <c r="M309" i="1"/>
  <c r="M527" i="1"/>
  <c r="M252" i="1"/>
  <c r="M347" i="1"/>
  <c r="M143" i="1"/>
  <c r="M795" i="1"/>
  <c r="M76" i="1"/>
  <c r="M187" i="1"/>
  <c r="M32" i="1"/>
  <c r="M770" i="1"/>
  <c r="M263" i="1"/>
  <c r="M393" i="1"/>
  <c r="M477" i="1"/>
  <c r="M328" i="1"/>
  <c r="M227" i="1"/>
  <c r="M702" i="1"/>
  <c r="M461" i="1"/>
  <c r="M709" i="1"/>
  <c r="M451" i="1"/>
  <c r="M170" i="1"/>
  <c r="M204" i="1"/>
  <c r="M401" i="1"/>
  <c r="M842" i="1"/>
  <c r="M275" i="1"/>
  <c r="M246" i="1"/>
  <c r="M902" i="1"/>
  <c r="M266" i="1"/>
  <c r="M593" i="1"/>
  <c r="M324" i="1"/>
  <c r="M883" i="1"/>
  <c r="M602" i="1"/>
  <c r="M551" i="1"/>
  <c r="M363" i="1"/>
  <c r="M370" i="1"/>
  <c r="M558" i="1"/>
  <c r="M825" i="1"/>
  <c r="M249" i="1"/>
  <c r="M23" i="1"/>
  <c r="M549" i="1"/>
  <c r="M394" i="1"/>
  <c r="M271" i="1"/>
  <c r="M594" i="1"/>
  <c r="M576" i="1"/>
  <c r="M279" i="1"/>
  <c r="M819" i="1"/>
  <c r="M846" i="1"/>
  <c r="M907" i="1"/>
  <c r="M329" i="1"/>
  <c r="M306" i="1"/>
  <c r="M804" i="1"/>
  <c r="M908" i="1"/>
  <c r="M30" i="1"/>
  <c r="M492" i="1"/>
  <c r="M82" i="1"/>
  <c r="M951" i="1"/>
  <c r="M626" i="1"/>
  <c r="M197" i="1"/>
  <c r="M752" i="1"/>
  <c r="M923" i="1"/>
  <c r="M526" i="1"/>
  <c r="M47" i="1"/>
  <c r="M381" i="1"/>
  <c r="M127" i="1"/>
  <c r="M691" i="1"/>
  <c r="M298" i="1"/>
  <c r="M800" i="1"/>
  <c r="M653" i="1"/>
  <c r="M781" i="1"/>
  <c r="M530" i="1"/>
  <c r="M125" i="1"/>
  <c r="M501" i="1"/>
  <c r="M584" i="1"/>
  <c r="M628" i="1"/>
  <c r="M727" i="1"/>
  <c r="M434" i="1"/>
  <c r="M45" i="1"/>
  <c r="M850" i="1"/>
  <c r="M774" i="1"/>
  <c r="M438" i="1"/>
  <c r="M581" i="1"/>
  <c r="M343" i="1"/>
  <c r="M188" i="1"/>
  <c r="M221" i="1"/>
  <c r="M919" i="1"/>
  <c r="M830" i="1"/>
  <c r="M931" i="1"/>
  <c r="M711" i="1"/>
  <c r="M51" i="1"/>
  <c r="M927" i="1"/>
  <c r="M783" i="1"/>
  <c r="M62" i="1"/>
  <c r="M417" i="1"/>
  <c r="M661" i="1"/>
  <c r="M291" i="1"/>
  <c r="M35" i="1"/>
  <c r="M33" i="1"/>
  <c r="M909" i="1"/>
  <c r="M512" i="1"/>
  <c r="M532" i="1"/>
  <c r="M133" i="1"/>
  <c r="M607" i="1"/>
  <c r="M156" i="1"/>
  <c r="M805" i="1"/>
  <c r="M701" i="1"/>
  <c r="M728" i="1"/>
  <c r="M41" i="1"/>
  <c r="M241" i="1"/>
  <c r="M662" i="1"/>
  <c r="M14" i="1"/>
  <c r="M649" i="1"/>
  <c r="M493" i="1"/>
  <c r="M11" i="1"/>
  <c r="M871" i="1"/>
  <c r="M698" i="1"/>
  <c r="M847" i="1"/>
  <c r="M26" i="1"/>
  <c r="M645" i="1"/>
  <c r="M835" i="1"/>
  <c r="M573" i="1"/>
  <c r="M508" i="1"/>
  <c r="M202" i="1"/>
  <c r="M429" i="1"/>
  <c r="M318" i="1"/>
  <c r="M598" i="1"/>
  <c r="M418" i="1"/>
  <c r="M612" i="1"/>
  <c r="M639" i="1"/>
  <c r="M237" i="1"/>
  <c r="M34" i="1"/>
  <c r="M382" i="1"/>
  <c r="M175" i="1"/>
  <c r="M582" i="1"/>
  <c r="M145" i="1"/>
  <c r="M84" i="1"/>
  <c r="M15" i="1"/>
  <c r="M949" i="1"/>
  <c r="M338" i="1"/>
  <c r="M487" i="1"/>
  <c r="M299" i="1"/>
  <c r="M864" i="1"/>
  <c r="M717" i="1"/>
  <c r="M226" i="1"/>
  <c r="M441" i="1"/>
  <c r="M500" i="1"/>
  <c r="M333" i="1"/>
  <c r="M507" i="1"/>
  <c r="M903" i="1"/>
  <c r="M884" i="1"/>
  <c r="M544" i="1"/>
  <c r="M262" i="1"/>
  <c r="M337" i="1"/>
  <c r="M952" i="1"/>
  <c r="M180" i="1"/>
  <c r="M603" i="1"/>
  <c r="M765" i="1"/>
  <c r="M163" i="1"/>
  <c r="M140" i="1"/>
  <c r="M86" i="1"/>
  <c r="M759" i="1"/>
  <c r="M707" i="1"/>
  <c r="M415" i="1"/>
  <c r="M748" i="1"/>
  <c r="M658" i="1"/>
  <c r="M488" i="1"/>
  <c r="M838" i="1"/>
  <c r="M190" i="1"/>
  <c r="M714" i="1"/>
  <c r="M505" i="1"/>
  <c r="M763" i="1"/>
  <c r="M414" i="1"/>
  <c r="M874" i="1"/>
  <c r="M457" i="1"/>
  <c r="M692" i="1"/>
  <c r="M317" i="1"/>
  <c r="M652" i="1"/>
  <c r="M878" i="1"/>
  <c r="M354" i="1"/>
  <c r="M97" i="1"/>
  <c r="M129" i="1"/>
  <c r="M724" i="1"/>
  <c r="M348" i="1"/>
  <c r="M700" i="1"/>
  <c r="M625" i="1"/>
  <c r="M69" i="1"/>
  <c r="M113" i="1"/>
  <c r="M560" i="1"/>
  <c r="M308" i="1"/>
  <c r="M255" i="1"/>
  <c r="M636" i="1"/>
  <c r="M892" i="1"/>
  <c r="M407" i="1"/>
  <c r="M845" i="1"/>
  <c r="M534" i="1"/>
  <c r="M791" i="1"/>
  <c r="M68" i="1"/>
  <c r="M513" i="1"/>
  <c r="M529" i="1"/>
  <c r="M734" i="1"/>
  <c r="M177" i="1"/>
  <c r="M428" i="1"/>
  <c r="M574" i="1"/>
  <c r="M374" i="1"/>
  <c r="M3" i="1"/>
  <c r="M192" i="1"/>
  <c r="M503" i="1"/>
  <c r="M739" i="1"/>
  <c r="M85" i="1"/>
  <c r="M409" i="1"/>
  <c r="M785" i="1"/>
  <c r="M753" i="1"/>
  <c r="M861" i="1"/>
  <c r="M413" i="1"/>
  <c r="M411" i="1"/>
  <c r="M689" i="1"/>
  <c r="M231" i="1"/>
  <c r="M55" i="1"/>
  <c r="M442" i="1"/>
  <c r="M623" i="1"/>
  <c r="M19" i="1"/>
  <c r="M843" i="1"/>
  <c r="M758" i="1"/>
  <c r="M789" i="1"/>
  <c r="M269" i="1"/>
  <c r="M454" i="1"/>
  <c r="M543" i="1"/>
  <c r="M812" i="1"/>
  <c r="M809" i="1"/>
  <c r="M533" i="1"/>
  <c r="M144" i="1"/>
  <c r="M606" i="1"/>
  <c r="M596" i="1"/>
  <c r="M406" i="1"/>
  <c r="M705" i="1"/>
  <c r="M778" i="1"/>
  <c r="M232" i="1"/>
  <c r="M50" i="1"/>
  <c r="M116" i="1"/>
  <c r="M278" i="1"/>
  <c r="M688" i="1"/>
  <c r="M899" i="1"/>
  <c r="M440" i="1"/>
  <c r="M528" i="1"/>
  <c r="M564" i="1"/>
  <c r="M710" i="1"/>
  <c r="M423" i="1"/>
  <c r="M790" i="1"/>
  <c r="M666" i="1"/>
  <c r="M546" i="1"/>
  <c r="M223" i="1"/>
  <c r="M450" i="1"/>
  <c r="M6" i="1"/>
  <c r="M258" i="1"/>
  <c r="M619" i="1"/>
  <c r="M679" i="1"/>
  <c r="M799" i="1"/>
  <c r="M117" i="1"/>
  <c r="M7" i="1"/>
  <c r="M4" i="1"/>
  <c r="M356" i="1"/>
  <c r="M592" i="1"/>
  <c r="M767" i="1"/>
  <c r="M36" i="1"/>
  <c r="M954" i="1"/>
  <c r="M267" i="1"/>
  <c r="M344" i="1"/>
  <c r="M811" i="1"/>
  <c r="M642" i="1"/>
  <c r="M244" i="1"/>
  <c r="M132" i="1"/>
  <c r="M119" i="1"/>
  <c r="M601" i="1"/>
  <c r="M419" i="1"/>
  <c r="M289" i="1"/>
  <c r="M13" i="1"/>
  <c r="M287" i="1"/>
  <c r="M726" i="1"/>
  <c r="M786" i="1"/>
  <c r="M102" i="1"/>
  <c r="M905" i="1"/>
  <c r="M412" i="1"/>
  <c r="M635" i="1"/>
  <c r="M638" i="1"/>
  <c r="M71" i="1"/>
  <c r="M467" i="1"/>
  <c r="M803" i="1"/>
  <c r="M489" i="1"/>
  <c r="M320" i="1"/>
  <c r="M334" i="1"/>
  <c r="M327" i="1"/>
  <c r="M495" i="1"/>
  <c r="M372" i="1"/>
  <c r="M568" i="1"/>
  <c r="M537" i="1"/>
  <c r="M890" i="1"/>
  <c r="M352" i="1"/>
  <c r="M542" i="1"/>
  <c r="M597" i="1"/>
  <c r="M365" i="1"/>
  <c r="M471" i="1"/>
  <c r="M421" i="1"/>
  <c r="M368" i="1"/>
  <c r="M335" i="1"/>
  <c r="M570" i="1"/>
  <c r="M502" i="1"/>
  <c r="M591" i="1"/>
  <c r="M810" i="1"/>
  <c r="M870" i="1"/>
  <c r="M813" i="1"/>
  <c r="M8" i="1"/>
  <c r="M655" i="1"/>
  <c r="M839" i="1"/>
  <c r="M135" i="1"/>
  <c r="M398" i="1"/>
  <c r="M643" i="1"/>
  <c r="M948" i="1"/>
  <c r="M852" i="1"/>
  <c r="M345" i="1"/>
  <c r="M388" i="1"/>
  <c r="M490" i="1"/>
  <c r="M430" i="1"/>
  <c r="M483" i="1"/>
  <c r="M771" i="1"/>
  <c r="M828" i="1"/>
  <c r="M91" i="1"/>
  <c r="M520" i="1"/>
  <c r="M875" i="1"/>
  <c r="M336" i="1"/>
  <c r="M110" i="1"/>
  <c r="M634" i="1"/>
  <c r="M849" i="1"/>
  <c r="M61" i="1"/>
  <c r="M98" i="1"/>
  <c r="M682" i="1"/>
  <c r="M756" i="1"/>
  <c r="M671" i="1"/>
  <c r="M486" i="1"/>
  <c r="M431" i="1"/>
  <c r="M134" i="1"/>
  <c r="M389" i="1"/>
  <c r="M731" i="1"/>
  <c r="M128" i="1"/>
  <c r="M657" i="1"/>
  <c r="M18" i="1"/>
  <c r="M426" i="1"/>
  <c r="M270" i="1"/>
  <c r="M27" i="1"/>
  <c r="M456" i="1"/>
  <c r="M377" i="1"/>
  <c r="M566" i="1"/>
  <c r="M159" i="1"/>
  <c r="M833" i="1"/>
  <c r="M147" i="1"/>
  <c r="M59" i="1"/>
  <c r="M43" i="1"/>
  <c r="M74" i="1"/>
  <c r="M470" i="1"/>
  <c r="M815" i="1"/>
  <c r="M656" i="1"/>
  <c r="M391" i="1"/>
  <c r="M525" i="1"/>
  <c r="M96" i="1"/>
  <c r="M614" i="1"/>
  <c r="M130" i="1"/>
  <c r="M387" i="1"/>
  <c r="M332" i="1"/>
  <c r="M605" i="1"/>
  <c r="M479" i="1"/>
  <c r="M676" i="1"/>
  <c r="M571" i="1"/>
  <c r="M12" i="1"/>
  <c r="M561" i="1"/>
  <c r="M371" i="1"/>
  <c r="M304" i="1"/>
  <c r="M257" i="1"/>
  <c r="M511" i="1"/>
  <c r="M590" i="1"/>
  <c r="M355" i="1"/>
  <c r="M827" i="1"/>
  <c r="M569" i="1"/>
  <c r="M169" i="1"/>
  <c r="M73" i="1"/>
  <c r="M424" i="1"/>
  <c r="M230" i="1"/>
  <c r="M60" i="1"/>
  <c r="M578" i="1"/>
  <c r="M547" i="1"/>
  <c r="M648" i="1"/>
  <c r="M274" i="1"/>
  <c r="M854" i="1"/>
  <c r="M834" i="1"/>
  <c r="M751" i="1"/>
  <c r="M637" i="1"/>
  <c r="M250" i="1"/>
  <c r="M600" i="1"/>
  <c r="M31" i="1"/>
  <c r="M782" i="1"/>
  <c r="M906" i="1"/>
  <c r="M867" i="1"/>
  <c r="M53" i="1"/>
  <c r="M444" i="1"/>
  <c r="M556" i="1"/>
  <c r="M670" i="1"/>
  <c r="M392" i="1"/>
  <c r="M559" i="1"/>
  <c r="M932" i="1"/>
  <c r="M288" i="1"/>
  <c r="M858" i="1"/>
  <c r="M216" i="1"/>
  <c r="M583" i="1"/>
  <c r="M200" i="1"/>
  <c r="M609" i="1"/>
  <c r="M856" i="1"/>
  <c r="M272" i="1"/>
  <c r="M83" i="1"/>
  <c r="M695" i="1"/>
  <c r="M218" i="1"/>
  <c r="M865" i="1"/>
  <c r="M772" i="1"/>
  <c r="M360" i="1"/>
  <c r="M464" i="1"/>
  <c r="M208" i="1"/>
  <c r="M106" i="1"/>
  <c r="M686" i="1"/>
  <c r="M516" i="1"/>
  <c r="M120" i="1"/>
  <c r="M855" i="1"/>
  <c r="M402" i="1"/>
  <c r="M215" i="1"/>
  <c r="M563" i="1"/>
  <c r="E7" i="9" l="1"/>
  <c r="E6" i="9"/>
  <c r="E8" i="9"/>
  <c r="S44" i="9"/>
  <c r="P44" i="9"/>
  <c r="Q44" i="9"/>
  <c r="R44" i="9"/>
  <c r="O44" i="9"/>
  <c r="N44" i="9"/>
  <c r="T44" i="9"/>
  <c r="G6" i="9" s="1"/>
  <c r="T43" i="9"/>
  <c r="G5" i="9" s="1"/>
  <c r="Q43" i="9"/>
  <c r="S43" i="9"/>
  <c r="N43" i="9"/>
  <c r="O43" i="9"/>
  <c r="R43" i="9"/>
  <c r="P43" i="9"/>
  <c r="O49" i="9"/>
  <c r="Q49" i="9"/>
  <c r="T49" i="9"/>
  <c r="R49" i="9"/>
  <c r="P49" i="9"/>
  <c r="N49" i="9"/>
  <c r="S49" i="9"/>
  <c r="N48" i="9"/>
  <c r="T48" i="9"/>
  <c r="R48" i="9"/>
  <c r="P48" i="9"/>
  <c r="S48" i="9"/>
  <c r="Q48" i="9"/>
  <c r="O48" i="9"/>
  <c r="T47" i="9"/>
  <c r="S47" i="9"/>
  <c r="N47" i="9"/>
  <c r="Q47" i="9"/>
  <c r="O47" i="9"/>
  <c r="R47" i="9"/>
  <c r="P47" i="9"/>
  <c r="T45" i="9"/>
  <c r="G7" i="9" s="1"/>
  <c r="P45" i="9"/>
  <c r="N45" i="9"/>
  <c r="R45" i="9"/>
  <c r="S45" i="9"/>
  <c r="O45" i="9"/>
  <c r="Q45" i="9"/>
  <c r="O50" i="9"/>
  <c r="P50" i="9"/>
  <c r="N50" i="9"/>
  <c r="Q50" i="9"/>
  <c r="S50" i="9"/>
  <c r="R50" i="9"/>
  <c r="T50" i="9"/>
  <c r="T46" i="9"/>
  <c r="G8" i="9" s="1"/>
  <c r="R46" i="9"/>
  <c r="N46" i="9"/>
  <c r="O46" i="9"/>
  <c r="S46" i="9"/>
  <c r="P46" i="9"/>
  <c r="Q46" i="9"/>
  <c r="S30" i="9"/>
  <c r="T30" i="9"/>
  <c r="O30" i="9"/>
  <c r="P30" i="9"/>
  <c r="N30" i="9"/>
  <c r="Q30" i="9"/>
  <c r="R30" i="9"/>
  <c r="R37" i="9"/>
  <c r="O37" i="9"/>
  <c r="P37" i="9"/>
  <c r="S37" i="9"/>
  <c r="N37" i="9"/>
  <c r="T37" i="9"/>
  <c r="Q37" i="9"/>
  <c r="N36" i="9"/>
  <c r="O36" i="9"/>
  <c r="S36" i="9"/>
  <c r="Q36" i="9"/>
  <c r="R36" i="9"/>
  <c r="T36" i="9"/>
  <c r="P36" i="9"/>
  <c r="R35" i="9"/>
  <c r="Q35" i="9"/>
  <c r="P35" i="9"/>
  <c r="T35" i="9"/>
  <c r="N35" i="9"/>
  <c r="O35" i="9"/>
  <c r="S35" i="9"/>
  <c r="R34" i="9"/>
  <c r="S34" i="9"/>
  <c r="Q34" i="9"/>
  <c r="O34" i="9"/>
  <c r="P34" i="9"/>
  <c r="T34" i="9"/>
  <c r="N34" i="9"/>
  <c r="N33" i="9"/>
  <c r="S33" i="9"/>
  <c r="Q33" i="9"/>
  <c r="T33" i="9"/>
  <c r="P33" i="9"/>
  <c r="R33" i="9"/>
  <c r="O33" i="9"/>
  <c r="R32" i="9"/>
  <c r="Q32" i="9"/>
  <c r="N32" i="9"/>
  <c r="P32" i="9"/>
  <c r="S32" i="9"/>
  <c r="O32" i="9"/>
  <c r="T32" i="9"/>
  <c r="R31" i="9"/>
  <c r="Q31" i="9"/>
  <c r="N31" i="9"/>
  <c r="S31" i="9"/>
  <c r="O31" i="9"/>
  <c r="T31" i="9"/>
  <c r="P31" i="9"/>
  <c r="P165" i="1" l="1"/>
  <c r="T165" i="1"/>
  <c r="O192" i="1"/>
  <c r="T192" i="1"/>
  <c r="P144" i="1"/>
  <c r="T144" i="1"/>
  <c r="P720" i="1"/>
  <c r="T720" i="1"/>
  <c r="P913" i="1"/>
  <c r="T913" i="1"/>
  <c r="O292" i="1"/>
  <c r="T292" i="1"/>
  <c r="P116" i="1"/>
  <c r="T116" i="1"/>
  <c r="T632" i="1"/>
  <c r="P907" i="1"/>
  <c r="T907" i="1"/>
  <c r="O338" i="1"/>
  <c r="T338" i="1"/>
  <c r="P731" i="1"/>
  <c r="T731" i="1"/>
  <c r="P774" i="1"/>
  <c r="T774" i="1"/>
  <c r="P115" i="1"/>
  <c r="T115" i="1"/>
  <c r="O528" i="1"/>
  <c r="T528" i="1"/>
  <c r="P230" i="1"/>
  <c r="T230" i="1"/>
  <c r="T94" i="1"/>
  <c r="P906" i="1"/>
  <c r="T906" i="1"/>
  <c r="O697" i="1"/>
  <c r="T697" i="1"/>
  <c r="P61" i="1"/>
  <c r="T61" i="1"/>
  <c r="P585" i="1"/>
  <c r="T585" i="1"/>
  <c r="P478" i="1"/>
  <c r="T478" i="1"/>
  <c r="O320" i="1"/>
  <c r="T320" i="1"/>
  <c r="P450" i="1"/>
  <c r="T450" i="1"/>
  <c r="T122" i="1"/>
  <c r="P457" i="1"/>
  <c r="T457" i="1"/>
  <c r="O863" i="1"/>
  <c r="T863" i="1"/>
  <c r="O52" i="1"/>
  <c r="T52" i="1"/>
  <c r="O191" i="1"/>
  <c r="T191" i="1"/>
  <c r="O171" i="1"/>
  <c r="T171" i="1"/>
  <c r="O208" i="1"/>
  <c r="T208" i="1"/>
  <c r="P556" i="1"/>
  <c r="T556" i="1"/>
  <c r="T110" i="1"/>
  <c r="P634" i="1"/>
  <c r="T634" i="1"/>
  <c r="O124" i="1"/>
  <c r="T124" i="1"/>
  <c r="P828" i="1"/>
  <c r="T828" i="1"/>
  <c r="P583" i="1"/>
  <c r="T583" i="1"/>
  <c r="P849" i="1"/>
  <c r="T849" i="1"/>
  <c r="O736" i="1"/>
  <c r="T736" i="1"/>
  <c r="P326" i="1"/>
  <c r="T326" i="1"/>
  <c r="T106" i="1"/>
  <c r="P209" i="1"/>
  <c r="T209" i="1"/>
  <c r="O323" i="1"/>
  <c r="T323" i="1"/>
  <c r="P437" i="1"/>
  <c r="T437" i="1"/>
  <c r="P934" i="1"/>
  <c r="T934" i="1"/>
  <c r="P690" i="1"/>
  <c r="T690" i="1"/>
  <c r="O862" i="1"/>
  <c r="T862" i="1"/>
  <c r="P123" i="1"/>
  <c r="T123" i="1"/>
  <c r="T366" i="1"/>
  <c r="P739" i="1"/>
  <c r="T739" i="1"/>
  <c r="O703" i="1"/>
  <c r="T703" i="1"/>
  <c r="P362" i="1"/>
  <c r="T362" i="1"/>
  <c r="P466" i="1"/>
  <c r="T466" i="1"/>
  <c r="P104" i="1"/>
  <c r="T104" i="1"/>
  <c r="O388" i="1"/>
  <c r="T388" i="1"/>
  <c r="P467" i="1"/>
  <c r="T467" i="1"/>
  <c r="T852" i="1"/>
  <c r="P493" i="1"/>
  <c r="T493" i="1"/>
  <c r="O577" i="1"/>
  <c r="T577" i="1"/>
  <c r="P189" i="1"/>
  <c r="T189" i="1"/>
  <c r="P278" i="1"/>
  <c r="T278" i="1"/>
  <c r="P564" i="1"/>
  <c r="T564" i="1"/>
  <c r="O303" i="1"/>
  <c r="T303" i="1"/>
  <c r="P529" i="1"/>
  <c r="T529" i="1"/>
  <c r="T58" i="1"/>
  <c r="P490" i="1"/>
  <c r="T490" i="1"/>
  <c r="O496" i="1"/>
  <c r="T496" i="1"/>
  <c r="P630" i="1"/>
  <c r="T630" i="1"/>
  <c r="P544" i="1"/>
  <c r="T544" i="1"/>
  <c r="P660" i="1"/>
  <c r="T660" i="1"/>
  <c r="O664" i="1"/>
  <c r="T664" i="1"/>
  <c r="P452" i="1"/>
  <c r="T452" i="1"/>
  <c r="T806" i="1"/>
  <c r="P279" i="1"/>
  <c r="T279" i="1"/>
  <c r="O715" i="1"/>
  <c r="T715" i="1"/>
  <c r="O495" i="1"/>
  <c r="T495" i="1"/>
  <c r="O439" i="1"/>
  <c r="T439" i="1"/>
  <c r="O609" i="1"/>
  <c r="T609" i="1"/>
  <c r="O96" i="1"/>
  <c r="T96" i="1"/>
  <c r="P844" i="1"/>
  <c r="T844" i="1"/>
  <c r="T822" i="1"/>
  <c r="P310" i="1"/>
  <c r="T310" i="1"/>
  <c r="O266" i="1"/>
  <c r="T266" i="1"/>
  <c r="O170" i="1"/>
  <c r="T170" i="1"/>
  <c r="O459" i="1"/>
  <c r="T459" i="1"/>
  <c r="O267" i="1"/>
  <c r="T267" i="1"/>
  <c r="O298" i="1"/>
  <c r="T298" i="1"/>
  <c r="P207" i="1"/>
  <c r="T207" i="1"/>
  <c r="T417" i="1"/>
  <c r="P300" i="1"/>
  <c r="T300" i="1"/>
  <c r="O187" i="1"/>
  <c r="T187" i="1"/>
  <c r="P956" i="1"/>
  <c r="T956" i="1"/>
  <c r="P169" i="1"/>
  <c r="T169" i="1"/>
  <c r="P545" i="1"/>
  <c r="T545" i="1"/>
  <c r="O297" i="1"/>
  <c r="T297" i="1"/>
  <c r="P622" i="1"/>
  <c r="T622" i="1"/>
  <c r="T587" i="1"/>
  <c r="P619" i="1"/>
  <c r="T619" i="1"/>
  <c r="O425" i="1"/>
  <c r="T425" i="1"/>
  <c r="P45" i="1"/>
  <c r="T45" i="1"/>
  <c r="P101" i="1"/>
  <c r="T101" i="1"/>
  <c r="P915" i="1"/>
  <c r="T915" i="1"/>
  <c r="O700" i="1"/>
  <c r="T700" i="1"/>
  <c r="P32" i="1"/>
  <c r="T32" i="1"/>
  <c r="T768" i="1"/>
  <c r="P693" i="1"/>
  <c r="T693" i="1"/>
  <c r="O394" i="1"/>
  <c r="T394" i="1"/>
  <c r="O412" i="1"/>
  <c r="T412" i="1"/>
  <c r="P547" i="1"/>
  <c r="T547" i="1"/>
  <c r="P855" i="1"/>
  <c r="T855" i="1"/>
  <c r="O498" i="1"/>
  <c r="T498" i="1"/>
  <c r="P377" i="1"/>
  <c r="T377" i="1"/>
  <c r="T723" i="1"/>
  <c r="P3" i="1"/>
  <c r="T3" i="1"/>
  <c r="O905" i="1"/>
  <c r="T905" i="1"/>
  <c r="P329" i="1"/>
  <c r="T329" i="1"/>
  <c r="P185" i="1"/>
  <c r="T185" i="1"/>
  <c r="P875" i="1"/>
  <c r="T875" i="1"/>
  <c r="O336" i="1"/>
  <c r="T336" i="1"/>
  <c r="P903" i="1"/>
  <c r="T903" i="1"/>
  <c r="T520" i="1"/>
  <c r="P750" i="1"/>
  <c r="T750" i="1"/>
  <c r="O516" i="1"/>
  <c r="T516" i="1"/>
  <c r="P685" i="1"/>
  <c r="T685" i="1"/>
  <c r="P264" i="1"/>
  <c r="T264" i="1"/>
  <c r="P776" i="1"/>
  <c r="T776" i="1"/>
  <c r="O67" i="1"/>
  <c r="T67" i="1"/>
  <c r="P805" i="1"/>
  <c r="T805" i="1"/>
  <c r="T446" i="1"/>
  <c r="P817" i="1"/>
  <c r="T817" i="1"/>
  <c r="O669" i="1"/>
  <c r="T669" i="1"/>
  <c r="P599" i="1"/>
  <c r="T599" i="1"/>
  <c r="P615" i="1"/>
  <c r="T615" i="1"/>
  <c r="P289" i="1"/>
  <c r="T289" i="1"/>
  <c r="O949" i="1"/>
  <c r="T949" i="1"/>
  <c r="P28" i="1"/>
  <c r="T28" i="1"/>
  <c r="T277" i="1"/>
  <c r="P771" i="1"/>
  <c r="T771" i="1"/>
  <c r="O80" i="1"/>
  <c r="T80" i="1"/>
  <c r="O269" i="1"/>
  <c r="T269" i="1"/>
  <c r="O709" i="1"/>
  <c r="T709" i="1"/>
  <c r="O301" i="1"/>
  <c r="T301" i="1"/>
  <c r="O718" i="1"/>
  <c r="T718" i="1"/>
  <c r="P321" i="1"/>
  <c r="T321" i="1"/>
  <c r="T40" i="1"/>
  <c r="P939" i="1"/>
  <c r="T939" i="1"/>
  <c r="O613" i="1"/>
  <c r="T613" i="1"/>
  <c r="P755" i="1"/>
  <c r="T755" i="1"/>
  <c r="P825" i="1"/>
  <c r="T825" i="1"/>
  <c r="P98" i="1"/>
  <c r="T98" i="1"/>
  <c r="O671" i="1"/>
  <c r="T671" i="1"/>
  <c r="P270" i="1"/>
  <c r="T270" i="1"/>
  <c r="T95" i="1"/>
  <c r="P82" i="1"/>
  <c r="T82" i="1"/>
  <c r="O120" i="1"/>
  <c r="T120" i="1"/>
  <c r="O539" i="1"/>
  <c r="T539" i="1"/>
  <c r="O265" i="1"/>
  <c r="T265" i="1"/>
  <c r="O679" i="1"/>
  <c r="T679" i="1"/>
  <c r="O606" i="1"/>
  <c r="T606" i="1"/>
  <c r="P12" i="1"/>
  <c r="T12" i="1"/>
  <c r="T346" i="1"/>
  <c r="P518" i="1"/>
  <c r="T518" i="1"/>
  <c r="O571" i="1"/>
  <c r="T571" i="1"/>
  <c r="P416" i="1"/>
  <c r="T416" i="1"/>
  <c r="P200" i="1"/>
  <c r="T200" i="1"/>
  <c r="P18" i="1"/>
  <c r="T18" i="1"/>
  <c r="O917" i="1"/>
  <c r="T917" i="1"/>
  <c r="P540" i="1"/>
  <c r="T540" i="1"/>
  <c r="T596" i="1"/>
  <c r="P661" i="1"/>
  <c r="T661" i="1"/>
  <c r="O182" i="1"/>
  <c r="T182" i="1"/>
  <c r="P489" i="1"/>
  <c r="T489" i="1"/>
  <c r="P137" i="1"/>
  <c r="T137" i="1"/>
  <c r="P506" i="1"/>
  <c r="T506" i="1"/>
  <c r="O145" i="1"/>
  <c r="T145" i="1"/>
  <c r="P668" i="1"/>
  <c r="T668" i="1"/>
  <c r="T870" i="1"/>
  <c r="P865" i="1"/>
  <c r="T865" i="1"/>
  <c r="O598" i="1"/>
  <c r="T598" i="1"/>
  <c r="O513" i="1"/>
  <c r="T513" i="1"/>
  <c r="P188" i="1"/>
  <c r="T188" i="1"/>
  <c r="P315" i="1"/>
  <c r="T315" i="1"/>
  <c r="O721" i="1"/>
  <c r="T721" i="1"/>
  <c r="P651" i="1"/>
  <c r="T651" i="1"/>
  <c r="T746" i="1"/>
  <c r="P689" i="1"/>
  <c r="T689" i="1"/>
  <c r="O814" i="1"/>
  <c r="T814" i="1"/>
  <c r="P838" i="1"/>
  <c r="T838" i="1"/>
  <c r="P356" i="1"/>
  <c r="T356" i="1"/>
  <c r="P463" i="1"/>
  <c r="T463" i="1"/>
  <c r="O364" i="1"/>
  <c r="T364" i="1"/>
  <c r="P524" i="1"/>
  <c r="T524" i="1"/>
  <c r="T471" i="1"/>
  <c r="P684" i="1"/>
  <c r="T684" i="1"/>
  <c r="O642" i="1"/>
  <c r="T642" i="1"/>
  <c r="P48" i="1"/>
  <c r="T48" i="1"/>
  <c r="O897" i="1"/>
  <c r="T897" i="1"/>
  <c r="O885" i="1"/>
  <c r="T885" i="1"/>
  <c r="O253" i="1"/>
  <c r="T253" i="1"/>
  <c r="P27" i="1"/>
  <c r="T27" i="1"/>
  <c r="T611" i="1"/>
  <c r="P203" i="1"/>
  <c r="T203" i="1"/>
  <c r="O851" i="1"/>
  <c r="T851" i="1"/>
  <c r="P592" i="1"/>
  <c r="T592" i="1"/>
  <c r="P802" i="1"/>
  <c r="T802" i="1"/>
  <c r="P502" i="1"/>
  <c r="T502" i="1"/>
  <c r="O582" i="1"/>
  <c r="T582" i="1"/>
  <c r="T663" i="1"/>
  <c r="T812" i="1"/>
  <c r="P737" i="1"/>
  <c r="T737" i="1"/>
  <c r="P517" i="1"/>
  <c r="T517" i="1"/>
  <c r="O380" i="1"/>
  <c r="T380" i="1"/>
  <c r="O635" i="1"/>
  <c r="T635" i="1"/>
  <c r="P352" i="1"/>
  <c r="T352" i="1"/>
  <c r="O17" i="1"/>
  <c r="T17" i="1"/>
  <c r="T542" i="1"/>
  <c r="T914" i="1"/>
  <c r="P646" i="1"/>
  <c r="T646" i="1"/>
  <c r="P217" i="1"/>
  <c r="T217" i="1"/>
  <c r="P775" i="1"/>
  <c r="T775" i="1"/>
  <c r="P530" i="1"/>
  <c r="T530" i="1"/>
  <c r="P70" i="1"/>
  <c r="T70" i="1"/>
  <c r="O507" i="1"/>
  <c r="T507" i="1"/>
  <c r="P579" i="1"/>
  <c r="T579" i="1"/>
  <c r="O780" i="1"/>
  <c r="T780" i="1"/>
  <c r="P423" i="1"/>
  <c r="T423" i="1"/>
  <c r="O376" i="1"/>
  <c r="T376" i="1"/>
  <c r="O118" i="1"/>
  <c r="T118" i="1"/>
  <c r="P845" i="1"/>
  <c r="T845" i="1"/>
  <c r="P240" i="1"/>
  <c r="T240" i="1"/>
  <c r="O149" i="1"/>
  <c r="T149" i="1"/>
  <c r="P616" i="1"/>
  <c r="T616" i="1"/>
  <c r="P804" i="1"/>
  <c r="T804" i="1"/>
  <c r="O719" i="1"/>
  <c r="T719" i="1"/>
  <c r="O413" i="1"/>
  <c r="T413" i="1"/>
  <c r="O368" i="1"/>
  <c r="T368" i="1"/>
  <c r="O706" i="1"/>
  <c r="T706" i="1"/>
  <c r="P451" i="1"/>
  <c r="T451" i="1"/>
  <c r="O656" i="1"/>
  <c r="T656" i="1"/>
  <c r="P593" i="1"/>
  <c r="T593" i="1"/>
  <c r="P810" i="1"/>
  <c r="T810" i="1"/>
  <c r="P371" i="1"/>
  <c r="T371" i="1"/>
  <c r="P390" i="1"/>
  <c r="T390" i="1"/>
  <c r="O935" i="1"/>
  <c r="T935" i="1"/>
  <c r="P574" i="1"/>
  <c r="T574" i="1"/>
  <c r="O875" i="1" l="1"/>
  <c r="P170" i="1"/>
  <c r="P376" i="1"/>
  <c r="P412" i="1"/>
  <c r="O329" i="1"/>
  <c r="P171" i="1"/>
  <c r="O547" i="1"/>
  <c r="P191" i="1"/>
  <c r="O185" i="1"/>
  <c r="O855" i="1"/>
  <c r="O423" i="1"/>
  <c r="P459" i="1"/>
  <c r="O660" i="1"/>
  <c r="O544" i="1"/>
  <c r="O630" i="1"/>
  <c r="P265" i="1"/>
  <c r="O845" i="1"/>
  <c r="P118" i="1"/>
  <c r="O564" i="1"/>
  <c r="O278" i="1"/>
  <c r="O189" i="1"/>
  <c r="O390" i="1"/>
  <c r="O689" i="1"/>
  <c r="P679" i="1"/>
  <c r="P495" i="1"/>
  <c r="O457" i="1"/>
  <c r="P706" i="1"/>
  <c r="O463" i="1"/>
  <c r="P439" i="1"/>
  <c r="P863" i="1"/>
  <c r="P719" i="1"/>
  <c r="P267" i="1"/>
  <c r="P413" i="1"/>
  <c r="P539" i="1"/>
  <c r="P120" i="1"/>
  <c r="O82" i="1"/>
  <c r="P577" i="1"/>
  <c r="O493" i="1"/>
  <c r="O574" i="1"/>
  <c r="P897" i="1"/>
  <c r="O48" i="1"/>
  <c r="O356" i="1"/>
  <c r="O838" i="1"/>
  <c r="P814" i="1"/>
  <c r="P885" i="1"/>
  <c r="P364" i="1"/>
  <c r="P609" i="1"/>
  <c r="P52" i="1"/>
  <c r="P935" i="1"/>
  <c r="O352" i="1"/>
  <c r="O98" i="1"/>
  <c r="O825" i="1"/>
  <c r="O755" i="1"/>
  <c r="O915" i="1"/>
  <c r="O101" i="1"/>
  <c r="P303" i="1"/>
  <c r="O478" i="1"/>
  <c r="O585" i="1"/>
  <c r="O61" i="1"/>
  <c r="O115" i="1"/>
  <c r="O774" i="1"/>
  <c r="O731" i="1"/>
  <c r="O315" i="1"/>
  <c r="O188" i="1"/>
  <c r="P709" i="1"/>
  <c r="P700" i="1"/>
  <c r="O45" i="1"/>
  <c r="O619" i="1"/>
  <c r="O289" i="1"/>
  <c r="O615" i="1"/>
  <c r="O545" i="1"/>
  <c r="O169" i="1"/>
  <c r="O956" i="1"/>
  <c r="O104" i="1"/>
  <c r="O466" i="1"/>
  <c r="O362" i="1"/>
  <c r="O690" i="1"/>
  <c r="O934" i="1"/>
  <c r="O810" i="1"/>
  <c r="P635" i="1"/>
  <c r="O737" i="1"/>
  <c r="O506" i="1"/>
  <c r="O137" i="1"/>
  <c r="O70" i="1"/>
  <c r="O530" i="1"/>
  <c r="O502" i="1"/>
  <c r="O802" i="1"/>
  <c r="P513" i="1"/>
  <c r="O489" i="1"/>
  <c r="O18" i="1"/>
  <c r="O200" i="1"/>
  <c r="O599" i="1"/>
  <c r="O776" i="1"/>
  <c r="O264" i="1"/>
  <c r="O685" i="1"/>
  <c r="P187" i="1"/>
  <c r="O300" i="1"/>
  <c r="O437" i="1"/>
  <c r="O849" i="1"/>
  <c r="O583" i="1"/>
  <c r="O913" i="1"/>
  <c r="O720" i="1"/>
  <c r="O144" i="1"/>
  <c r="O371" i="1"/>
  <c r="P380" i="1"/>
  <c r="O517" i="1"/>
  <c r="P301" i="1"/>
  <c r="P269" i="1"/>
  <c r="P80" i="1"/>
  <c r="O771" i="1"/>
  <c r="P425" i="1"/>
  <c r="P338" i="1"/>
  <c r="O907" i="1"/>
  <c r="P507" i="1"/>
  <c r="O775" i="1"/>
  <c r="O592" i="1"/>
  <c r="P851" i="1"/>
  <c r="O203" i="1"/>
  <c r="P67" i="1"/>
  <c r="P516" i="1"/>
  <c r="O750" i="1"/>
  <c r="P736" i="1"/>
  <c r="O828" i="1"/>
  <c r="P124" i="1"/>
  <c r="O634" i="1"/>
  <c r="P292" i="1"/>
  <c r="O217" i="1"/>
  <c r="P917" i="1"/>
  <c r="O416" i="1"/>
  <c r="P571" i="1"/>
  <c r="O518" i="1"/>
  <c r="P368" i="1"/>
  <c r="O804" i="1"/>
  <c r="P780" i="1"/>
  <c r="O579" i="1"/>
  <c r="O646" i="1"/>
  <c r="P715" i="1"/>
  <c r="O279" i="1"/>
  <c r="P471" i="1"/>
  <c r="O471" i="1"/>
  <c r="P298" i="1"/>
  <c r="P58" i="1"/>
  <c r="O58" i="1"/>
  <c r="P320" i="1"/>
  <c r="O593" i="1"/>
  <c r="O616" i="1"/>
  <c r="P145" i="1"/>
  <c r="P95" i="1"/>
  <c r="O95" i="1"/>
  <c r="P613" i="1"/>
  <c r="O939" i="1"/>
  <c r="P498" i="1"/>
  <c r="P417" i="1"/>
  <c r="O417" i="1"/>
  <c r="P266" i="1"/>
  <c r="O310" i="1"/>
  <c r="P862" i="1"/>
  <c r="P122" i="1"/>
  <c r="O122" i="1"/>
  <c r="P697" i="1"/>
  <c r="O906" i="1"/>
  <c r="P94" i="1"/>
  <c r="O94" i="1"/>
  <c r="P596" i="1"/>
  <c r="O596" i="1"/>
  <c r="P870" i="1"/>
  <c r="O870" i="1"/>
  <c r="P182" i="1"/>
  <c r="O661" i="1"/>
  <c r="P723" i="1"/>
  <c r="O723" i="1"/>
  <c r="P394" i="1"/>
  <c r="O693" i="1"/>
  <c r="P366" i="1"/>
  <c r="O366" i="1"/>
  <c r="P323" i="1"/>
  <c r="O209" i="1"/>
  <c r="P656" i="1"/>
  <c r="O451" i="1"/>
  <c r="P149" i="1"/>
  <c r="O240" i="1"/>
  <c r="P663" i="1"/>
  <c r="O663" i="1"/>
  <c r="P611" i="1"/>
  <c r="O611" i="1"/>
  <c r="P642" i="1"/>
  <c r="O684" i="1"/>
  <c r="P606" i="1"/>
  <c r="P277" i="1"/>
  <c r="O277" i="1"/>
  <c r="P669" i="1"/>
  <c r="O817" i="1"/>
  <c r="P297" i="1"/>
  <c r="P806" i="1"/>
  <c r="O806" i="1"/>
  <c r="P496" i="1"/>
  <c r="O490" i="1"/>
  <c r="P208" i="1"/>
  <c r="P632" i="1"/>
  <c r="O632" i="1"/>
  <c r="P192" i="1"/>
  <c r="O165" i="1"/>
  <c r="P768" i="1"/>
  <c r="O768" i="1"/>
  <c r="P106" i="1"/>
  <c r="O106" i="1"/>
  <c r="P542" i="1"/>
  <c r="O542" i="1"/>
  <c r="P812" i="1"/>
  <c r="O812" i="1"/>
  <c r="P582" i="1"/>
  <c r="P721" i="1"/>
  <c r="P346" i="1"/>
  <c r="O346" i="1"/>
  <c r="P336" i="1"/>
  <c r="P587" i="1"/>
  <c r="O587" i="1"/>
  <c r="P388" i="1"/>
  <c r="P110" i="1"/>
  <c r="O110" i="1"/>
  <c r="P40" i="1"/>
  <c r="O40" i="1"/>
  <c r="P822" i="1"/>
  <c r="O822" i="1"/>
  <c r="P671" i="1"/>
  <c r="P446" i="1"/>
  <c r="O446" i="1"/>
  <c r="P253" i="1"/>
  <c r="P949" i="1"/>
  <c r="P664" i="1"/>
  <c r="P914" i="1"/>
  <c r="O914" i="1"/>
  <c r="P17" i="1"/>
  <c r="P746" i="1"/>
  <c r="O746" i="1"/>
  <c r="P598" i="1"/>
  <c r="O865" i="1"/>
  <c r="P718" i="1"/>
  <c r="P520" i="1"/>
  <c r="O520" i="1"/>
  <c r="P905" i="1"/>
  <c r="O3" i="1"/>
  <c r="P96" i="1"/>
  <c r="P852" i="1"/>
  <c r="O852" i="1"/>
  <c r="P703" i="1"/>
  <c r="O739" i="1"/>
  <c r="P528" i="1"/>
  <c r="O27" i="1"/>
  <c r="O524" i="1"/>
  <c r="O651" i="1"/>
  <c r="O668" i="1"/>
  <c r="O540" i="1"/>
  <c r="O12" i="1"/>
  <c r="O270" i="1"/>
  <c r="O321" i="1"/>
  <c r="O28" i="1"/>
  <c r="O805" i="1"/>
  <c r="O903" i="1"/>
  <c r="O377" i="1"/>
  <c r="O32" i="1"/>
  <c r="O622" i="1"/>
  <c r="O207" i="1"/>
  <c r="O844" i="1"/>
  <c r="O452" i="1"/>
  <c r="O529" i="1"/>
  <c r="O467" i="1"/>
  <c r="O326" i="1"/>
  <c r="O556" i="1"/>
  <c r="O450" i="1"/>
  <c r="O230" i="1"/>
  <c r="O116" i="1"/>
  <c r="P943" i="1"/>
  <c r="T943" i="1"/>
  <c r="P505" i="1"/>
  <c r="T505" i="1"/>
  <c r="O610" i="1"/>
  <c r="T610" i="1"/>
  <c r="T876" i="1"/>
  <c r="T319" i="1"/>
  <c r="O391" i="1"/>
  <c r="T391" i="1"/>
  <c r="P740" i="1"/>
  <c r="T740" i="1"/>
  <c r="P501" i="1"/>
  <c r="T501" i="1"/>
  <c r="P268" i="1"/>
  <c r="T268" i="1"/>
  <c r="P475" i="1"/>
  <c r="T475" i="1"/>
  <c r="T409" i="1"/>
  <c r="T272" i="1"/>
  <c r="T745" i="1"/>
  <c r="O639" i="1"/>
  <c r="T639" i="1"/>
  <c r="P447" i="1"/>
  <c r="T447" i="1"/>
  <c r="P807" i="1"/>
  <c r="T807" i="1"/>
  <c r="P942" i="1"/>
  <c r="T942" i="1"/>
  <c r="P931" i="1"/>
  <c r="T931" i="1"/>
  <c r="T252" i="1"/>
  <c r="T673" i="1"/>
  <c r="O691" i="1"/>
  <c r="T691" i="1"/>
  <c r="P419" i="1"/>
  <c r="T419" i="1"/>
  <c r="P24" i="1"/>
  <c r="T24" i="1"/>
  <c r="P260" i="1"/>
  <c r="T260" i="1"/>
  <c r="T68" i="1"/>
  <c r="T469" i="1"/>
  <c r="O5" i="1"/>
  <c r="T5" i="1"/>
  <c r="P552" i="1"/>
  <c r="T552" i="1"/>
  <c r="P809" i="1"/>
  <c r="T809" i="1"/>
  <c r="P537" i="1"/>
  <c r="T537" i="1"/>
  <c r="P375" i="1"/>
  <c r="T375" i="1"/>
  <c r="O815" i="1"/>
  <c r="T815" i="1"/>
  <c r="T222" i="1"/>
  <c r="O142" i="1"/>
  <c r="T142" i="1"/>
  <c r="O644" i="1"/>
  <c r="T644" i="1"/>
  <c r="P617" i="1"/>
  <c r="T617" i="1"/>
  <c r="P743" i="1"/>
  <c r="T743" i="1"/>
  <c r="P339" i="1"/>
  <c r="T339" i="1"/>
  <c r="P247" i="1"/>
  <c r="T247" i="1"/>
  <c r="T392" i="1"/>
  <c r="P707" i="1"/>
  <c r="T707" i="1"/>
  <c r="T794" i="1"/>
  <c r="P50" i="1"/>
  <c r="T50" i="1"/>
  <c r="P97" i="1"/>
  <c r="T97" i="1"/>
  <c r="P601" i="1"/>
  <c r="T601" i="1"/>
  <c r="P831" i="1"/>
  <c r="T831" i="1"/>
  <c r="P108" i="1"/>
  <c r="T108" i="1"/>
  <c r="O155" i="1"/>
  <c r="T155" i="1"/>
  <c r="T290" i="1"/>
  <c r="O754" i="1"/>
  <c r="T754" i="1"/>
  <c r="P429" i="1"/>
  <c r="T429" i="1"/>
  <c r="O161" i="1"/>
  <c r="T161" i="1"/>
  <c r="P888" i="1"/>
  <c r="T888" i="1"/>
  <c r="P357" i="1"/>
  <c r="T357" i="1"/>
  <c r="O902" i="1"/>
  <c r="T902" i="1"/>
  <c r="O937" i="1"/>
  <c r="T937" i="1"/>
  <c r="T411" i="1"/>
  <c r="T294" i="1"/>
  <c r="P698" i="1"/>
  <c r="T698" i="1"/>
  <c r="P891" i="1"/>
  <c r="T891" i="1"/>
  <c r="P538" i="1"/>
  <c r="T538" i="1"/>
  <c r="P69" i="1"/>
  <c r="T69" i="1"/>
  <c r="P779" i="1"/>
  <c r="T779" i="1"/>
  <c r="T666" i="1"/>
  <c r="T952" i="1"/>
  <c r="T444" i="1"/>
  <c r="P396" i="1"/>
  <c r="T396" i="1"/>
  <c r="P766" i="1"/>
  <c r="T766" i="1"/>
  <c r="P533" i="1"/>
  <c r="T533" i="1"/>
  <c r="P918" i="1"/>
  <c r="T918" i="1"/>
  <c r="P367" i="1"/>
  <c r="T367" i="1"/>
  <c r="O884" i="1"/>
  <c r="T884" i="1"/>
  <c r="O398" i="1"/>
  <c r="T398" i="1"/>
  <c r="O232" i="1"/>
  <c r="T232" i="1"/>
  <c r="P600" i="1"/>
  <c r="T600" i="1"/>
  <c r="P197" i="1"/>
  <c r="T197" i="1"/>
  <c r="P349" i="1"/>
  <c r="T349" i="1"/>
  <c r="T643" i="1"/>
  <c r="O127" i="1"/>
  <c r="T127" i="1"/>
  <c r="P534" i="1"/>
  <c r="T534" i="1"/>
  <c r="T519" i="1"/>
  <c r="T948" i="1"/>
  <c r="T193" i="1"/>
  <c r="O652" i="1"/>
  <c r="T652" i="1"/>
  <c r="T749" i="1"/>
  <c r="T432" i="1"/>
  <c r="O485" i="1"/>
  <c r="T485" i="1"/>
  <c r="O839" i="1"/>
  <c r="T839" i="1"/>
  <c r="T847" i="1"/>
  <c r="T813" i="1"/>
  <c r="T331" i="1"/>
  <c r="O694" i="1"/>
  <c r="T694" i="1"/>
  <c r="T869" i="1"/>
  <c r="O858" i="1"/>
  <c r="T858" i="1"/>
  <c r="T901" i="1"/>
  <c r="O727" i="1"/>
  <c r="T727" i="1"/>
  <c r="T231" i="1"/>
  <c r="T792" i="1"/>
  <c r="T16" i="1"/>
  <c r="O76" i="1"/>
  <c r="T76" i="1"/>
  <c r="T504" i="1"/>
  <c r="O911" i="1"/>
  <c r="T911" i="1"/>
  <c r="T314" i="1"/>
  <c r="T923" i="1"/>
  <c r="T827" i="1"/>
  <c r="O873" i="1"/>
  <c r="T873" i="1"/>
  <c r="T379" i="1"/>
  <c r="T424" i="1"/>
  <c r="O892" i="1"/>
  <c r="T892" i="1"/>
  <c r="O210" i="1"/>
  <c r="T210" i="1"/>
  <c r="T275" i="1"/>
  <c r="T119" i="1"/>
  <c r="O681" i="1"/>
  <c r="T681" i="1"/>
  <c r="O772" i="1"/>
  <c r="T772" i="1"/>
  <c r="T626" i="1"/>
  <c r="T54" i="1"/>
  <c r="O464" i="1"/>
  <c r="T464" i="1"/>
  <c r="T361" i="1"/>
  <c r="T136" i="1"/>
  <c r="O383" i="1"/>
  <c r="T383" i="1"/>
  <c r="O889" i="1"/>
  <c r="T889" i="1"/>
  <c r="T8" i="1"/>
  <c r="O696" i="1"/>
  <c r="T696" i="1"/>
  <c r="O500" i="1"/>
  <c r="T500" i="1"/>
  <c r="T954" i="1"/>
  <c r="T573" i="1"/>
  <c r="T603" i="1"/>
  <c r="O42" i="1"/>
  <c r="T42" i="1"/>
  <c r="O623" i="1"/>
  <c r="T623" i="1"/>
  <c r="T215" i="1"/>
  <c r="O221" i="1"/>
  <c r="T221" i="1"/>
  <c r="T648" i="1"/>
  <c r="O305" i="1"/>
  <c r="T305" i="1"/>
  <c r="T90" i="1"/>
  <c r="T604" i="1"/>
  <c r="O461" i="1"/>
  <c r="T461" i="1"/>
  <c r="O882" i="1"/>
  <c r="T882" i="1"/>
  <c r="T581" i="1"/>
  <c r="O699" i="1"/>
  <c r="T699" i="1"/>
  <c r="O783" i="1"/>
  <c r="T783" i="1"/>
  <c r="T753" i="1"/>
  <c r="O285" i="1"/>
  <c r="T285" i="1"/>
  <c r="T313" i="1"/>
  <c r="O744" i="1"/>
  <c r="T744" i="1"/>
  <c r="O468" i="1"/>
  <c r="T468" i="1"/>
  <c r="T515" i="1"/>
  <c r="T400" i="1"/>
  <c r="T299" i="1"/>
  <c r="T486" i="1"/>
  <c r="O909" i="1"/>
  <c r="T909" i="1"/>
  <c r="O22" i="1"/>
  <c r="T22" i="1"/>
  <c r="O580" i="1"/>
  <c r="T580" i="1"/>
  <c r="O503" i="1"/>
  <c r="T503" i="1"/>
  <c r="O841" i="1"/>
  <c r="T841" i="1"/>
  <c r="O559" i="1"/>
  <c r="T559" i="1"/>
  <c r="T26" i="1"/>
  <c r="T414" i="1"/>
  <c r="O37" i="1"/>
  <c r="T37" i="1"/>
  <c r="O629" i="1"/>
  <c r="T629" i="1"/>
  <c r="T428" i="1"/>
  <c r="T704" i="1"/>
  <c r="P435" i="1"/>
  <c r="T435" i="1"/>
  <c r="O853" i="1"/>
  <c r="T853" i="1"/>
  <c r="T384" i="1"/>
  <c r="O75" i="1"/>
  <c r="T75" i="1"/>
  <c r="P86" i="1"/>
  <c r="T86" i="1"/>
  <c r="O880" i="1"/>
  <c r="T880" i="1"/>
  <c r="P672" i="1"/>
  <c r="T672" i="1"/>
  <c r="P206" i="1"/>
  <c r="T206" i="1"/>
  <c r="P280" i="1"/>
  <c r="T280" i="1"/>
  <c r="O438" i="1"/>
  <c r="T438" i="1"/>
  <c r="P372" i="1"/>
  <c r="T372" i="1"/>
  <c r="O570" i="1"/>
  <c r="T570" i="1"/>
  <c r="P403" i="1"/>
  <c r="T403" i="1"/>
  <c r="T77" i="1"/>
  <c r="P176" i="1"/>
  <c r="T176" i="1"/>
  <c r="P21" i="1"/>
  <c r="T21" i="1"/>
  <c r="P908" i="1"/>
  <c r="T908" i="1"/>
  <c r="O554" i="1"/>
  <c r="T554" i="1"/>
  <c r="P236" i="1"/>
  <c r="T236" i="1"/>
  <c r="O117" i="1"/>
  <c r="T117" i="1"/>
  <c r="P650" i="1"/>
  <c r="T650" i="1"/>
  <c r="T927" i="1"/>
  <c r="O256" i="1"/>
  <c r="T256" i="1"/>
  <c r="P33" i="1"/>
  <c r="T33" i="1"/>
  <c r="P675" i="1"/>
  <c r="T675" i="1"/>
  <c r="T734" i="1"/>
  <c r="P765" i="1"/>
  <c r="T765" i="1"/>
  <c r="O174" i="1"/>
  <c r="T174" i="1"/>
  <c r="P667" i="1"/>
  <c r="T667" i="1"/>
  <c r="O683" i="1"/>
  <c r="T683" i="1"/>
  <c r="P125" i="1"/>
  <c r="T125" i="1"/>
  <c r="P678" i="1"/>
  <c r="T678" i="1"/>
  <c r="P850" i="1"/>
  <c r="T850" i="1"/>
  <c r="O773" i="1"/>
  <c r="T773" i="1"/>
  <c r="P567" i="1"/>
  <c r="T567" i="1"/>
  <c r="O846" i="1"/>
  <c r="T846" i="1"/>
  <c r="T770" i="1"/>
  <c r="O728" i="1"/>
  <c r="T728" i="1"/>
  <c r="P569" i="1"/>
  <c r="T569" i="1"/>
  <c r="O399" i="1"/>
  <c r="T399" i="1"/>
  <c r="T871" i="1"/>
  <c r="P325" i="1"/>
  <c r="T325" i="1"/>
  <c r="P607" i="1"/>
  <c r="T607" i="1"/>
  <c r="O762" i="1"/>
  <c r="T762" i="1"/>
  <c r="T199" i="1"/>
  <c r="O370" i="1"/>
  <c r="T370" i="1"/>
  <c r="O355" i="1"/>
  <c r="T355" i="1"/>
  <c r="T184" i="1"/>
  <c r="P608" i="1"/>
  <c r="T608" i="1"/>
  <c r="P241" i="1"/>
  <c r="T241" i="1"/>
  <c r="P620" i="1"/>
  <c r="T620" i="1"/>
  <c r="O926" i="1"/>
  <c r="T926" i="1"/>
  <c r="T226" i="1"/>
  <c r="O590" i="1"/>
  <c r="T590" i="1"/>
  <c r="P674" i="1"/>
  <c r="T674" i="1"/>
  <c r="P868" i="1"/>
  <c r="T868" i="1"/>
  <c r="T55" i="1"/>
  <c r="P397" i="1"/>
  <c r="T397" i="1"/>
  <c r="P31" i="1"/>
  <c r="T31" i="1"/>
  <c r="P66" i="1"/>
  <c r="T66" i="1"/>
  <c r="P576" i="1"/>
  <c r="T576" i="1"/>
  <c r="P509" i="1"/>
  <c r="T509" i="1"/>
  <c r="P919" i="1"/>
  <c r="T919" i="1"/>
  <c r="P179" i="1"/>
  <c r="T179" i="1"/>
  <c r="P81" i="1"/>
  <c r="T81" i="1"/>
  <c r="P87" i="1"/>
  <c r="T87" i="1"/>
  <c r="P625" i="1"/>
  <c r="T625" i="1"/>
  <c r="P701" i="1"/>
  <c r="T701" i="1"/>
  <c r="P562" i="1"/>
  <c r="T562" i="1"/>
  <c r="P594" i="1"/>
  <c r="T594" i="1"/>
  <c r="P431" i="1"/>
  <c r="T431" i="1"/>
  <c r="T56" i="1"/>
  <c r="P512" i="1"/>
  <c r="T512" i="1"/>
  <c r="P365" i="1"/>
  <c r="T365" i="1"/>
  <c r="P816" i="1"/>
  <c r="T816" i="1"/>
  <c r="P382" i="1"/>
  <c r="T382" i="1"/>
  <c r="P711" i="1"/>
  <c r="T711" i="1"/>
  <c r="P154" i="1"/>
  <c r="T154" i="1"/>
  <c r="P886" i="1"/>
  <c r="T886" i="1"/>
  <c r="T71" i="1"/>
  <c r="P63" i="1"/>
  <c r="T63" i="1"/>
  <c r="P212" i="1"/>
  <c r="T212" i="1"/>
  <c r="P311" i="1"/>
  <c r="T311" i="1"/>
  <c r="P243" i="1"/>
  <c r="T243" i="1"/>
  <c r="P842" i="1"/>
  <c r="T842" i="1"/>
  <c r="P157" i="1"/>
  <c r="T157" i="1"/>
  <c r="P670" i="1"/>
  <c r="T670" i="1"/>
  <c r="T543" i="1"/>
  <c r="P85" i="1"/>
  <c r="T85" i="1"/>
  <c r="P93" i="1"/>
  <c r="T93" i="1"/>
  <c r="P350" i="1"/>
  <c r="T350" i="1"/>
  <c r="P309" i="1"/>
  <c r="T309" i="1"/>
  <c r="P624" i="1"/>
  <c r="T624" i="1"/>
  <c r="P795" i="1"/>
  <c r="T795" i="1"/>
  <c r="P764" i="1"/>
  <c r="T764" i="1"/>
  <c r="T702" i="1"/>
  <c r="T196" i="1"/>
  <c r="P194" i="1"/>
  <c r="T194" i="1"/>
  <c r="P458" i="1"/>
  <c r="T458" i="1"/>
  <c r="P233" i="1"/>
  <c r="T233" i="1"/>
  <c r="P440" i="1"/>
  <c r="T440" i="1"/>
  <c r="P91" i="1"/>
  <c r="T91" i="1"/>
  <c r="P494" i="1"/>
  <c r="T494" i="1"/>
  <c r="P401" i="1"/>
  <c r="T401" i="1"/>
  <c r="P497" i="1"/>
  <c r="T497" i="1"/>
  <c r="T621" i="1"/>
  <c r="P213" i="1"/>
  <c r="T213" i="1"/>
  <c r="T273" i="1"/>
  <c r="P561" i="1"/>
  <c r="T561" i="1"/>
  <c r="P782" i="1"/>
  <c r="T782" i="1"/>
  <c r="P443" i="1"/>
  <c r="T443" i="1"/>
  <c r="T722" i="1"/>
  <c r="T286" i="1"/>
  <c r="O793" i="1"/>
  <c r="T793" i="1"/>
  <c r="O557" i="1"/>
  <c r="T557" i="1"/>
  <c r="O455" i="1"/>
  <c r="T455" i="1"/>
  <c r="O211" i="1"/>
  <c r="T211" i="1"/>
  <c r="O53" i="1"/>
  <c r="T53" i="1"/>
  <c r="T558" i="1"/>
  <c r="T710" i="1"/>
  <c r="O717" i="1"/>
  <c r="T717" i="1"/>
  <c r="O829" i="1"/>
  <c r="T829" i="1"/>
  <c r="O872" i="1"/>
  <c r="T872" i="1"/>
  <c r="O407" i="1"/>
  <c r="T407" i="1"/>
  <c r="O575" i="1"/>
  <c r="T575" i="1"/>
  <c r="O307" i="1"/>
  <c r="T307" i="1"/>
  <c r="T102" i="1"/>
  <c r="T410" i="1"/>
  <c r="O922" i="1"/>
  <c r="T922" i="1"/>
  <c r="O752" i="1"/>
  <c r="T752" i="1"/>
  <c r="O786" i="1"/>
  <c r="T786" i="1"/>
  <c r="O821" i="1"/>
  <c r="T821" i="1"/>
  <c r="O687" i="1"/>
  <c r="T687" i="1"/>
  <c r="O420" i="1"/>
  <c r="T420" i="1"/>
  <c r="T316" i="1"/>
  <c r="T725" i="1"/>
  <c r="O799" i="1"/>
  <c r="T799" i="1"/>
  <c r="O532" i="1"/>
  <c r="T532" i="1"/>
  <c r="O741" i="1"/>
  <c r="T741" i="1"/>
  <c r="T878" i="1"/>
  <c r="T330" i="1"/>
  <c r="O172" i="1"/>
  <c r="T172" i="1"/>
  <c r="O175" i="1"/>
  <c r="T175" i="1"/>
  <c r="T857" i="1"/>
  <c r="O190" i="1"/>
  <c r="T190" i="1"/>
  <c r="O363" i="1"/>
  <c r="T363" i="1"/>
  <c r="O60" i="1"/>
  <c r="T60" i="1"/>
  <c r="O214" i="1"/>
  <c r="T214" i="1"/>
  <c r="O103" i="1"/>
  <c r="T103" i="1"/>
  <c r="T705" i="1"/>
  <c r="O946" i="1"/>
  <c r="T946" i="1"/>
  <c r="O156" i="1"/>
  <c r="T156" i="1"/>
  <c r="O830" i="1"/>
  <c r="T830" i="1"/>
  <c r="O638" i="1"/>
  <c r="T638" i="1"/>
  <c r="O916" i="1"/>
  <c r="T916" i="1"/>
  <c r="O348" i="1"/>
  <c r="T348" i="1"/>
  <c r="T895" i="1"/>
  <c r="T645" i="1"/>
  <c r="O164" i="1"/>
  <c r="T164" i="1"/>
  <c r="O30" i="1"/>
  <c r="T30" i="1"/>
  <c r="P112" i="1"/>
  <c r="T112" i="1"/>
  <c r="O726" i="1"/>
  <c r="T726" i="1"/>
  <c r="P385" i="1"/>
  <c r="T385" i="1"/>
  <c r="P160" i="1"/>
  <c r="T160" i="1"/>
  <c r="P426" i="1"/>
  <c r="T426" i="1"/>
  <c r="P281" i="1"/>
  <c r="T281" i="1"/>
  <c r="P322" i="1"/>
  <c r="T322" i="1"/>
  <c r="P525" i="1"/>
  <c r="T525" i="1"/>
  <c r="P456" i="1"/>
  <c r="T456" i="1"/>
  <c r="P483" i="1"/>
  <c r="T483" i="1"/>
  <c r="P153" i="1"/>
  <c r="T153" i="1"/>
  <c r="P408" i="1"/>
  <c r="T408" i="1"/>
  <c r="P832" i="1"/>
  <c r="T832" i="1"/>
  <c r="P51" i="1"/>
  <c r="T51" i="1"/>
  <c r="P910" i="1"/>
  <c r="T910" i="1"/>
  <c r="P920" i="1"/>
  <c r="T920" i="1"/>
  <c r="O35" i="1"/>
  <c r="T35" i="1"/>
  <c r="P536" i="1"/>
  <c r="T536" i="1"/>
  <c r="P78" i="1"/>
  <c r="T78" i="1"/>
  <c r="P327" i="1"/>
  <c r="T327" i="1"/>
  <c r="P826" i="1"/>
  <c r="T826" i="1"/>
  <c r="P302" i="1"/>
  <c r="T302" i="1"/>
  <c r="P465" i="1"/>
  <c r="T465" i="1"/>
  <c r="P955" i="1"/>
  <c r="T955" i="1"/>
  <c r="P925" i="1"/>
  <c r="T925" i="1"/>
  <c r="P404" i="1"/>
  <c r="T404" i="1"/>
  <c r="P134" i="1"/>
  <c r="T134" i="1"/>
  <c r="P436" i="1"/>
  <c r="T436" i="1"/>
  <c r="P257" i="1"/>
  <c r="T257" i="1"/>
  <c r="P341" i="1"/>
  <c r="T341" i="1"/>
  <c r="P343" i="1"/>
  <c r="T343" i="1"/>
  <c r="O716" i="1"/>
  <c r="T716" i="1"/>
  <c r="P41" i="1"/>
  <c r="T41" i="1"/>
  <c r="P900" i="1"/>
  <c r="T900" i="1"/>
  <c r="P345" i="1"/>
  <c r="T345" i="1"/>
  <c r="P760" i="1"/>
  <c r="T760" i="1"/>
  <c r="P223" i="1"/>
  <c r="T223" i="1"/>
  <c r="O631" i="1"/>
  <c r="T631" i="1"/>
  <c r="P287" i="1"/>
  <c r="T287" i="1"/>
  <c r="P758" i="1"/>
  <c r="T758" i="1"/>
  <c r="O335" i="1"/>
  <c r="T335" i="1"/>
  <c r="P244" i="1"/>
  <c r="T244" i="1"/>
  <c r="P13" i="1"/>
  <c r="T13" i="1"/>
  <c r="P565" i="1"/>
  <c r="T565" i="1"/>
  <c r="P653" i="1"/>
  <c r="T653" i="1"/>
  <c r="P713" i="1"/>
  <c r="T713" i="1"/>
  <c r="P549" i="1"/>
  <c r="T549" i="1"/>
  <c r="O255" i="1"/>
  <c r="T255" i="1"/>
  <c r="O271" i="1"/>
  <c r="T271" i="1"/>
  <c r="P523" i="1"/>
  <c r="T523" i="1"/>
  <c r="P453" i="1"/>
  <c r="T453" i="1"/>
  <c r="P151" i="1"/>
  <c r="T151" i="1"/>
  <c r="O135" i="1"/>
  <c r="T135" i="1"/>
  <c r="P358" i="1"/>
  <c r="T358" i="1"/>
  <c r="O381" i="1"/>
  <c r="T381" i="1"/>
  <c r="P527" i="1"/>
  <c r="T527" i="1"/>
  <c r="P245" i="1"/>
  <c r="T245" i="1"/>
  <c r="P421" i="1"/>
  <c r="T421" i="1"/>
  <c r="P912" i="1"/>
  <c r="T912" i="1"/>
  <c r="P204" i="1"/>
  <c r="T204" i="1"/>
  <c r="P378" i="1"/>
  <c r="T378" i="1"/>
  <c r="P879" i="1"/>
  <c r="T879" i="1"/>
  <c r="P422" i="1"/>
  <c r="T422" i="1"/>
  <c r="O945" i="1"/>
  <c r="T945" i="1"/>
  <c r="P874" i="1"/>
  <c r="T874" i="1"/>
  <c r="O2" i="1"/>
  <c r="T2" i="1"/>
  <c r="P788" i="1"/>
  <c r="T788" i="1"/>
  <c r="O225" i="1"/>
  <c r="T225" i="1"/>
  <c r="P488" i="1"/>
  <c r="T488" i="1"/>
  <c r="P64" i="1"/>
  <c r="T64" i="1"/>
  <c r="O113" i="1"/>
  <c r="T113" i="1"/>
  <c r="P659" i="1"/>
  <c r="T659" i="1"/>
  <c r="O800" i="1"/>
  <c r="T800" i="1"/>
  <c r="P234" i="1"/>
  <c r="T234" i="1"/>
  <c r="P107" i="1"/>
  <c r="T107" i="1"/>
  <c r="P605" i="1"/>
  <c r="T605" i="1"/>
  <c r="P640" i="1"/>
  <c r="T640" i="1"/>
  <c r="P628" i="1"/>
  <c r="T628" i="1"/>
  <c r="P10" i="1"/>
  <c r="T10" i="1"/>
  <c r="P201" i="1"/>
  <c r="T201" i="1"/>
  <c r="P405" i="1"/>
  <c r="T405" i="1"/>
  <c r="P921" i="1"/>
  <c r="T921" i="1"/>
  <c r="P894" i="1"/>
  <c r="T894" i="1"/>
  <c r="P491" i="1"/>
  <c r="T491" i="1"/>
  <c r="P293" i="1"/>
  <c r="T293" i="1"/>
  <c r="P890" i="1"/>
  <c r="T890" i="1"/>
  <c r="P835" i="1"/>
  <c r="T835" i="1"/>
  <c r="P462" i="1"/>
  <c r="T462" i="1"/>
  <c r="P131" i="1"/>
  <c r="T131" i="1"/>
  <c r="P473" i="1"/>
  <c r="T473" i="1"/>
  <c r="O302" i="1" l="1"/>
  <c r="P2" i="1"/>
  <c r="O659" i="1"/>
  <c r="O549" i="1"/>
  <c r="O343" i="1"/>
  <c r="P830" i="1"/>
  <c r="P882" i="1"/>
  <c r="P727" i="1"/>
  <c r="O890" i="1"/>
  <c r="P355" i="1"/>
  <c r="O87" i="1"/>
  <c r="O10" i="1"/>
  <c r="O713" i="1"/>
  <c r="O322" i="1"/>
  <c r="O358" i="1"/>
  <c r="O85" i="1"/>
  <c r="O788" i="1"/>
  <c r="O33" i="1"/>
  <c r="O86" i="1"/>
  <c r="P76" i="1"/>
  <c r="O491" i="1"/>
  <c r="O234" i="1"/>
  <c r="P945" i="1"/>
  <c r="P631" i="1"/>
  <c r="O51" i="1"/>
  <c r="P30" i="1"/>
  <c r="O125" i="1"/>
  <c r="P5" i="1"/>
  <c r="O512" i="1"/>
  <c r="O594" i="1"/>
  <c r="P500" i="1"/>
  <c r="O874" i="1"/>
  <c r="P135" i="1"/>
  <c r="O341" i="1"/>
  <c r="O910" i="1"/>
  <c r="O213" i="1"/>
  <c r="P370" i="1"/>
  <c r="O607" i="1"/>
  <c r="P399" i="1"/>
  <c r="O908" i="1"/>
  <c r="O465" i="1"/>
  <c r="P696" i="1"/>
  <c r="P383" i="1"/>
  <c r="P464" i="1"/>
  <c r="P103" i="1"/>
  <c r="O473" i="1"/>
  <c r="O405" i="1"/>
  <c r="P113" i="1"/>
  <c r="O281" i="1"/>
  <c r="O509" i="1"/>
  <c r="P461" i="1"/>
  <c r="P305" i="1"/>
  <c r="P800" i="1"/>
  <c r="P683" i="1"/>
  <c r="O287" i="1"/>
  <c r="O453" i="1"/>
  <c r="O565" i="1"/>
  <c r="O760" i="1"/>
  <c r="O436" i="1"/>
  <c r="O327" i="1"/>
  <c r="O408" i="1"/>
  <c r="O160" i="1"/>
  <c r="P407" i="1"/>
  <c r="O795" i="1"/>
  <c r="O93" i="1"/>
  <c r="P728" i="1"/>
  <c r="O567" i="1"/>
  <c r="O236" i="1"/>
  <c r="O176" i="1"/>
  <c r="P880" i="1"/>
  <c r="P580" i="1"/>
  <c r="P754" i="1"/>
  <c r="O653" i="1"/>
  <c r="O223" i="1"/>
  <c r="O826" i="1"/>
  <c r="O426" i="1"/>
  <c r="P156" i="1"/>
  <c r="O401" i="1"/>
  <c r="O458" i="1"/>
  <c r="O31" i="1"/>
  <c r="O868" i="1"/>
  <c r="O21" i="1"/>
  <c r="P570" i="1"/>
  <c r="P744" i="1"/>
  <c r="P127" i="1"/>
  <c r="P142" i="1"/>
  <c r="O151" i="1"/>
  <c r="O257" i="1"/>
  <c r="O832" i="1"/>
  <c r="P741" i="1"/>
  <c r="P575" i="1"/>
  <c r="O81" i="1"/>
  <c r="P256" i="1"/>
  <c r="P117" i="1"/>
  <c r="P503" i="1"/>
  <c r="P694" i="1"/>
  <c r="O293" i="1"/>
  <c r="O201" i="1"/>
  <c r="P307" i="1"/>
  <c r="P485" i="1"/>
  <c r="O525" i="1"/>
  <c r="O620" i="1"/>
  <c r="P438" i="1"/>
  <c r="P468" i="1"/>
  <c r="O527" i="1"/>
  <c r="P381" i="1"/>
  <c r="O41" i="1"/>
  <c r="P716" i="1"/>
  <c r="P839" i="1"/>
  <c r="P652" i="1"/>
  <c r="O835" i="1"/>
  <c r="O107" i="1"/>
  <c r="O758" i="1"/>
  <c r="O955" i="1"/>
  <c r="O650" i="1"/>
  <c r="O921" i="1"/>
  <c r="O605" i="1"/>
  <c r="O925" i="1"/>
  <c r="O456" i="1"/>
  <c r="O233" i="1"/>
  <c r="O365" i="1"/>
  <c r="P858" i="1"/>
  <c r="O462" i="1"/>
  <c r="O640" i="1"/>
  <c r="O488" i="1"/>
  <c r="P225" i="1"/>
  <c r="O879" i="1"/>
  <c r="O378" i="1"/>
  <c r="O204" i="1"/>
  <c r="O912" i="1"/>
  <c r="O421" i="1"/>
  <c r="O245" i="1"/>
  <c r="P271" i="1"/>
  <c r="O244" i="1"/>
  <c r="P335" i="1"/>
  <c r="O900" i="1"/>
  <c r="O404" i="1"/>
  <c r="O536" i="1"/>
  <c r="P35" i="1"/>
  <c r="O483" i="1"/>
  <c r="O385" i="1"/>
  <c r="P726" i="1"/>
  <c r="P60" i="1"/>
  <c r="P786" i="1"/>
  <c r="P829" i="1"/>
  <c r="O154" i="1"/>
  <c r="O179" i="1"/>
  <c r="O850" i="1"/>
  <c r="P559" i="1"/>
  <c r="P42" i="1"/>
  <c r="P911" i="1"/>
  <c r="P363" i="1"/>
  <c r="P752" i="1"/>
  <c r="P590" i="1"/>
  <c r="P783" i="1"/>
  <c r="O534" i="1"/>
  <c r="P255" i="1"/>
  <c r="P793" i="1"/>
  <c r="P37" i="1"/>
  <c r="P221" i="1"/>
  <c r="P892" i="1"/>
  <c r="P691" i="1"/>
  <c r="O131" i="1"/>
  <c r="O894" i="1"/>
  <c r="O628" i="1"/>
  <c r="O64" i="1"/>
  <c r="O422" i="1"/>
  <c r="O523" i="1"/>
  <c r="O13" i="1"/>
  <c r="O345" i="1"/>
  <c r="O134" i="1"/>
  <c r="O78" i="1"/>
  <c r="O153" i="1"/>
  <c r="P214" i="1"/>
  <c r="P557" i="1"/>
  <c r="O212" i="1"/>
  <c r="O608" i="1"/>
  <c r="O206" i="1"/>
  <c r="P75" i="1"/>
  <c r="O435" i="1"/>
  <c r="P699" i="1"/>
  <c r="P681" i="1"/>
  <c r="P210" i="1"/>
  <c r="P872" i="1"/>
  <c r="O920" i="1"/>
  <c r="O112" i="1"/>
  <c r="O678" i="1"/>
  <c r="P841" i="1"/>
  <c r="P532" i="1"/>
  <c r="O63" i="1"/>
  <c r="P174" i="1"/>
  <c r="P184" i="1"/>
  <c r="O184" i="1"/>
  <c r="P164" i="1"/>
  <c r="P190" i="1"/>
  <c r="O330" i="1"/>
  <c r="P330" i="1"/>
  <c r="P799" i="1"/>
  <c r="O410" i="1"/>
  <c r="P410" i="1"/>
  <c r="P717" i="1"/>
  <c r="O286" i="1"/>
  <c r="P286" i="1"/>
  <c r="O379" i="1"/>
  <c r="P379" i="1"/>
  <c r="O901" i="1"/>
  <c r="P901" i="1"/>
  <c r="O948" i="1"/>
  <c r="P948" i="1"/>
  <c r="P290" i="1"/>
  <c r="O290" i="1"/>
  <c r="P428" i="1"/>
  <c r="O428" i="1"/>
  <c r="O102" i="1"/>
  <c r="P102" i="1"/>
  <c r="P55" i="1"/>
  <c r="O55" i="1"/>
  <c r="P411" i="1"/>
  <c r="O411" i="1"/>
  <c r="P638" i="1"/>
  <c r="P172" i="1"/>
  <c r="P821" i="1"/>
  <c r="O157" i="1"/>
  <c r="O895" i="1"/>
  <c r="P895" i="1"/>
  <c r="P916" i="1"/>
  <c r="O316" i="1"/>
  <c r="P316" i="1"/>
  <c r="P687" i="1"/>
  <c r="O558" i="1"/>
  <c r="P558" i="1"/>
  <c r="P211" i="1"/>
  <c r="O927" i="1"/>
  <c r="P927" i="1"/>
  <c r="O77" i="1"/>
  <c r="P77" i="1"/>
  <c r="O275" i="1"/>
  <c r="P275" i="1"/>
  <c r="O392" i="1"/>
  <c r="P392" i="1"/>
  <c r="P722" i="1"/>
  <c r="O722" i="1"/>
  <c r="P621" i="1"/>
  <c r="O621" i="1"/>
  <c r="O319" i="1"/>
  <c r="P319" i="1"/>
  <c r="O409" i="1"/>
  <c r="P409" i="1"/>
  <c r="P348" i="1"/>
  <c r="P175" i="1"/>
  <c r="P420" i="1"/>
  <c r="P53" i="1"/>
  <c r="P273" i="1"/>
  <c r="O273" i="1"/>
  <c r="P702" i="1"/>
  <c r="O702" i="1"/>
  <c r="P543" i="1"/>
  <c r="O543" i="1"/>
  <c r="O734" i="1"/>
  <c r="P734" i="1"/>
  <c r="P285" i="1"/>
  <c r="O581" i="1"/>
  <c r="P581" i="1"/>
  <c r="O626" i="1"/>
  <c r="P626" i="1"/>
  <c r="P772" i="1"/>
  <c r="P469" i="1"/>
  <c r="O469" i="1"/>
  <c r="P871" i="1"/>
  <c r="O871" i="1"/>
  <c r="O705" i="1"/>
  <c r="P705" i="1"/>
  <c r="O878" i="1"/>
  <c r="P878" i="1"/>
  <c r="P952" i="1"/>
  <c r="O952" i="1"/>
  <c r="P455" i="1"/>
  <c r="O215" i="1"/>
  <c r="P215" i="1"/>
  <c r="O314" i="1"/>
  <c r="P314" i="1"/>
  <c r="O432" i="1"/>
  <c r="P432" i="1"/>
  <c r="O645" i="1"/>
  <c r="P645" i="1"/>
  <c r="P946" i="1"/>
  <c r="O857" i="1"/>
  <c r="P857" i="1"/>
  <c r="O725" i="1"/>
  <c r="P725" i="1"/>
  <c r="P922" i="1"/>
  <c r="O710" i="1"/>
  <c r="P710" i="1"/>
  <c r="P770" i="1"/>
  <c r="O770" i="1"/>
  <c r="O954" i="1"/>
  <c r="P954" i="1"/>
  <c r="P71" i="1"/>
  <c r="O71" i="1"/>
  <c r="P56" i="1"/>
  <c r="O56" i="1"/>
  <c r="O400" i="1"/>
  <c r="P400" i="1"/>
  <c r="O361" i="1"/>
  <c r="P361" i="1"/>
  <c r="O923" i="1"/>
  <c r="P923" i="1"/>
  <c r="P196" i="1"/>
  <c r="O196" i="1"/>
  <c r="P199" i="1"/>
  <c r="O199" i="1"/>
  <c r="P384" i="1"/>
  <c r="O384" i="1"/>
  <c r="P704" i="1"/>
  <c r="O704" i="1"/>
  <c r="O8" i="1"/>
  <c r="P8" i="1"/>
  <c r="P272" i="1"/>
  <c r="O272" i="1"/>
  <c r="P226" i="1"/>
  <c r="O226" i="1"/>
  <c r="O299" i="1"/>
  <c r="P299" i="1"/>
  <c r="P937" i="1"/>
  <c r="O707" i="1"/>
  <c r="P815" i="1"/>
  <c r="P610" i="1"/>
  <c r="O604" i="1"/>
  <c r="P604" i="1"/>
  <c r="O603" i="1"/>
  <c r="P603" i="1"/>
  <c r="O241" i="1"/>
  <c r="P762" i="1"/>
  <c r="P773" i="1"/>
  <c r="O667" i="1"/>
  <c r="O675" i="1"/>
  <c r="O372" i="1"/>
  <c r="P853" i="1"/>
  <c r="O515" i="1"/>
  <c r="P515" i="1"/>
  <c r="O648" i="1"/>
  <c r="P648" i="1"/>
  <c r="O136" i="1"/>
  <c r="P136" i="1"/>
  <c r="P873" i="1"/>
  <c r="P673" i="1"/>
  <c r="O673" i="1"/>
  <c r="O561" i="1"/>
  <c r="O440" i="1"/>
  <c r="O194" i="1"/>
  <c r="O350" i="1"/>
  <c r="O311" i="1"/>
  <c r="O816" i="1"/>
  <c r="O625" i="1"/>
  <c r="O674" i="1"/>
  <c r="O569" i="1"/>
  <c r="O672" i="1"/>
  <c r="O26" i="1"/>
  <c r="P26" i="1"/>
  <c r="P909" i="1"/>
  <c r="P794" i="1"/>
  <c r="O794" i="1"/>
  <c r="P222" i="1"/>
  <c r="O222" i="1"/>
  <c r="O243" i="1"/>
  <c r="O66" i="1"/>
  <c r="O443" i="1"/>
  <c r="O494" i="1"/>
  <c r="O624" i="1"/>
  <c r="O842" i="1"/>
  <c r="O711" i="1"/>
  <c r="O562" i="1"/>
  <c r="O576" i="1"/>
  <c r="O753" i="1"/>
  <c r="P753" i="1"/>
  <c r="O54" i="1"/>
  <c r="P54" i="1"/>
  <c r="O504" i="1"/>
  <c r="P504" i="1"/>
  <c r="O231" i="1"/>
  <c r="P231" i="1"/>
  <c r="O813" i="1"/>
  <c r="P813" i="1"/>
  <c r="O782" i="1"/>
  <c r="O91" i="1"/>
  <c r="O382" i="1"/>
  <c r="O701" i="1"/>
  <c r="O119" i="1"/>
  <c r="P119" i="1"/>
  <c r="O397" i="1"/>
  <c r="P926" i="1"/>
  <c r="O325" i="1"/>
  <c r="P846" i="1"/>
  <c r="O765" i="1"/>
  <c r="P554" i="1"/>
  <c r="O403" i="1"/>
  <c r="O280" i="1"/>
  <c r="O414" i="1"/>
  <c r="P414" i="1"/>
  <c r="O90" i="1"/>
  <c r="P90" i="1"/>
  <c r="O573" i="1"/>
  <c r="P573" i="1"/>
  <c r="O827" i="1"/>
  <c r="P827" i="1"/>
  <c r="O869" i="1"/>
  <c r="P869" i="1"/>
  <c r="O309" i="1"/>
  <c r="O313" i="1"/>
  <c r="P313" i="1"/>
  <c r="O193" i="1"/>
  <c r="P193" i="1"/>
  <c r="O497" i="1"/>
  <c r="O764" i="1"/>
  <c r="O670" i="1"/>
  <c r="O886" i="1"/>
  <c r="O431" i="1"/>
  <c r="O919" i="1"/>
  <c r="O486" i="1"/>
  <c r="P486" i="1"/>
  <c r="O792" i="1"/>
  <c r="P792" i="1"/>
  <c r="O749" i="1"/>
  <c r="P749" i="1"/>
  <c r="O666" i="1"/>
  <c r="P666" i="1"/>
  <c r="O847" i="1"/>
  <c r="P847" i="1"/>
  <c r="O294" i="1"/>
  <c r="P294" i="1"/>
  <c r="P22" i="1"/>
  <c r="P889" i="1"/>
  <c r="O424" i="1"/>
  <c r="P424" i="1"/>
  <c r="O16" i="1"/>
  <c r="P16" i="1"/>
  <c r="O519" i="1"/>
  <c r="P519" i="1"/>
  <c r="P745" i="1"/>
  <c r="O745" i="1"/>
  <c r="P629" i="1"/>
  <c r="P623" i="1"/>
  <c r="O331" i="1"/>
  <c r="P331" i="1"/>
  <c r="O643" i="1"/>
  <c r="P643" i="1"/>
  <c r="O68" i="1"/>
  <c r="P68" i="1"/>
  <c r="O252" i="1"/>
  <c r="P252" i="1"/>
  <c r="P876" i="1"/>
  <c r="O876" i="1"/>
  <c r="P444" i="1"/>
  <c r="O444" i="1"/>
  <c r="P884" i="1"/>
  <c r="P902" i="1"/>
  <c r="P155" i="1"/>
  <c r="O396" i="1"/>
  <c r="O429" i="1"/>
  <c r="O552" i="1"/>
  <c r="O766" i="1"/>
  <c r="O891" i="1"/>
  <c r="O97" i="1"/>
  <c r="O617" i="1"/>
  <c r="P644" i="1"/>
  <c r="O809" i="1"/>
  <c r="O447" i="1"/>
  <c r="P639" i="1"/>
  <c r="O740" i="1"/>
  <c r="P391" i="1"/>
  <c r="O600" i="1"/>
  <c r="P232" i="1"/>
  <c r="O533" i="1"/>
  <c r="O538" i="1"/>
  <c r="O888" i="1"/>
  <c r="P161" i="1"/>
  <c r="O601" i="1"/>
  <c r="O743" i="1"/>
  <c r="O419" i="1"/>
  <c r="O807" i="1"/>
  <c r="O501" i="1"/>
  <c r="O698" i="1"/>
  <c r="P398" i="1"/>
  <c r="O197" i="1"/>
  <c r="O918" i="1"/>
  <c r="O69" i="1"/>
  <c r="O357" i="1"/>
  <c r="O831" i="1"/>
  <c r="O339" i="1"/>
  <c r="O537" i="1"/>
  <c r="O24" i="1"/>
  <c r="O942" i="1"/>
  <c r="O268" i="1"/>
  <c r="O943" i="1"/>
  <c r="O50" i="1"/>
  <c r="O349" i="1"/>
  <c r="O367" i="1"/>
  <c r="O779" i="1"/>
  <c r="O108" i="1"/>
  <c r="O247" i="1"/>
  <c r="O375" i="1"/>
  <c r="O260" i="1"/>
  <c r="O931" i="1"/>
  <c r="O475" i="1"/>
  <c r="O505" i="1"/>
  <c r="P258" i="1" l="1"/>
  <c r="T258" i="1"/>
  <c r="O551" i="1"/>
  <c r="T551" i="1"/>
  <c r="O20" i="1"/>
  <c r="T20" i="1"/>
  <c r="P141" i="1"/>
  <c r="T141" i="1"/>
  <c r="O318" i="1"/>
  <c r="T318" i="1"/>
  <c r="O877" i="1"/>
  <c r="T877" i="1"/>
  <c r="P23" i="1"/>
  <c r="T23" i="1"/>
  <c r="P797" i="1"/>
  <c r="T797" i="1"/>
  <c r="P263" i="1"/>
  <c r="T263" i="1"/>
  <c r="P186" i="1"/>
  <c r="T186" i="1"/>
  <c r="O342" i="1"/>
  <c r="T342" i="1"/>
  <c r="O568" i="1"/>
  <c r="T568" i="1"/>
  <c r="O522" i="1"/>
  <c r="T522" i="1"/>
  <c r="P47" i="1"/>
  <c r="T47" i="1"/>
  <c r="P332" i="1"/>
  <c r="T332" i="1"/>
  <c r="P856" i="1"/>
  <c r="T856" i="1"/>
  <c r="O291" i="1"/>
  <c r="T291" i="1"/>
  <c r="P274" i="1"/>
  <c r="T274" i="1"/>
  <c r="P11" i="1"/>
  <c r="T11" i="1"/>
  <c r="O484" i="1"/>
  <c r="T484" i="1"/>
  <c r="O143" i="1"/>
  <c r="T143" i="1"/>
  <c r="O896" i="1"/>
  <c r="T896" i="1"/>
  <c r="P284" i="1"/>
  <c r="T284" i="1"/>
  <c r="P724" i="1"/>
  <c r="T724" i="1"/>
  <c r="P218" i="1"/>
  <c r="T218" i="1"/>
  <c r="O665" i="1"/>
  <c r="T665" i="1"/>
  <c r="O430" i="1"/>
  <c r="T430" i="1"/>
  <c r="P867" i="1"/>
  <c r="T867" i="1"/>
  <c r="P654" i="1"/>
  <c r="T654" i="1"/>
  <c r="O586" i="1"/>
  <c r="T586" i="1"/>
  <c r="O856" i="1" l="1"/>
  <c r="P430" i="1"/>
  <c r="P665" i="1"/>
  <c r="P291" i="1"/>
  <c r="O186" i="1"/>
  <c r="O263" i="1"/>
  <c r="O797" i="1"/>
  <c r="P342" i="1"/>
  <c r="P896" i="1"/>
  <c r="P143" i="1"/>
  <c r="P484" i="1"/>
  <c r="O11" i="1"/>
  <c r="P522" i="1"/>
  <c r="P20" i="1"/>
  <c r="O141" i="1"/>
  <c r="P318" i="1"/>
  <c r="O332" i="1"/>
  <c r="O23" i="1"/>
  <c r="P586" i="1"/>
  <c r="O654" i="1"/>
  <c r="O218" i="1"/>
  <c r="O258" i="1"/>
  <c r="O724" i="1"/>
  <c r="P568" i="1"/>
  <c r="P877" i="1"/>
  <c r="P551" i="1"/>
  <c r="O867" i="1"/>
  <c r="O284" i="1"/>
  <c r="O274" i="1"/>
  <c r="O47" i="1"/>
  <c r="B24" i="8"/>
  <c r="B12" i="8"/>
  <c r="O351" i="1" l="1"/>
  <c r="T904" i="1" l="1"/>
  <c r="T49" i="1"/>
  <c r="T778" i="1"/>
  <c r="T688" i="1"/>
  <c r="T173" i="1"/>
  <c r="T337" i="1"/>
  <c r="T676" i="1"/>
  <c r="T796" i="1"/>
  <c r="T938" i="1"/>
  <c r="T572" i="1"/>
  <c r="T482" i="1"/>
  <c r="T166" i="1"/>
  <c r="T708" i="1"/>
  <c r="T933" i="1"/>
  <c r="T647" i="1"/>
  <c r="T347" i="1"/>
  <c r="T238" i="1"/>
  <c r="T395" i="1"/>
  <c r="T4" i="1"/>
  <c r="T612" i="1"/>
  <c r="T526" i="1"/>
  <c r="T578" i="1"/>
  <c r="T695" i="1"/>
  <c r="T618" i="1"/>
  <c r="T803" i="1"/>
  <c r="T936" i="1"/>
  <c r="T548" i="1"/>
  <c r="T83" i="1"/>
  <c r="T928" i="1"/>
  <c r="T824" i="1"/>
  <c r="T109" i="1"/>
  <c r="T242" i="1"/>
  <c r="T756" i="1"/>
  <c r="T288" i="1"/>
  <c r="T235" i="1"/>
  <c r="T402" i="1"/>
  <c r="T183" i="1"/>
  <c r="T312" i="1"/>
  <c r="T761" i="1"/>
  <c r="T441" i="1"/>
  <c r="T951" i="1"/>
  <c r="T296" i="1"/>
  <c r="T14" i="1"/>
  <c r="T843" i="1"/>
  <c r="T893" i="1"/>
  <c r="T597" i="1"/>
  <c r="T202" i="1"/>
  <c r="T883" i="1"/>
  <c r="T747" i="1"/>
  <c r="T823" i="1"/>
  <c r="T460" i="1"/>
  <c r="T680" i="1"/>
  <c r="T442" i="1"/>
  <c r="T406" i="1"/>
  <c r="T840" i="1"/>
  <c r="T126" i="1"/>
  <c r="T344" i="1"/>
  <c r="T328" i="1"/>
  <c r="T833" i="1"/>
  <c r="T655" i="1"/>
  <c r="T511" i="1"/>
  <c r="T333" i="1"/>
  <c r="P803" i="1" l="1"/>
  <c r="O803" i="1"/>
  <c r="P49" i="1"/>
  <c r="O49" i="1"/>
  <c r="P511" i="1"/>
  <c r="O511" i="1"/>
  <c r="P328" i="1"/>
  <c r="O328" i="1"/>
  <c r="P406" i="1"/>
  <c r="O406" i="1"/>
  <c r="P460" i="1"/>
  <c r="O460" i="1"/>
  <c r="P242" i="1"/>
  <c r="O242" i="1"/>
  <c r="P936" i="1"/>
  <c r="O936" i="1"/>
  <c r="P695" i="1"/>
  <c r="O695" i="1"/>
  <c r="P647" i="1"/>
  <c r="O647" i="1"/>
  <c r="P778" i="1"/>
  <c r="O778" i="1"/>
  <c r="P893" i="1"/>
  <c r="O893" i="1"/>
  <c r="P951" i="1"/>
  <c r="O951" i="1"/>
  <c r="P402" i="1"/>
  <c r="O402" i="1"/>
  <c r="P928" i="1"/>
  <c r="O928" i="1"/>
  <c r="P526" i="1"/>
  <c r="O526" i="1"/>
  <c r="P4" i="1"/>
  <c r="O4" i="1"/>
  <c r="P166" i="1"/>
  <c r="O166" i="1"/>
  <c r="P482" i="1"/>
  <c r="O482" i="1"/>
  <c r="P933" i="1"/>
  <c r="O933" i="1"/>
  <c r="P655" i="1"/>
  <c r="O655" i="1"/>
  <c r="P883" i="1"/>
  <c r="O883" i="1"/>
  <c r="P333" i="1"/>
  <c r="O333" i="1"/>
  <c r="P126" i="1"/>
  <c r="O126" i="1"/>
  <c r="P442" i="1"/>
  <c r="O442" i="1"/>
  <c r="P747" i="1"/>
  <c r="O747" i="1"/>
  <c r="P83" i="1"/>
  <c r="O83" i="1"/>
  <c r="P395" i="1"/>
  <c r="O395" i="1"/>
  <c r="P202" i="1"/>
  <c r="O202" i="1"/>
  <c r="P14" i="1"/>
  <c r="O14" i="1"/>
  <c r="P183" i="1"/>
  <c r="O183" i="1"/>
  <c r="P676" i="1"/>
  <c r="O676" i="1"/>
  <c r="P833" i="1"/>
  <c r="O833" i="1"/>
  <c r="P823" i="1"/>
  <c r="O823" i="1"/>
  <c r="P441" i="1"/>
  <c r="O441" i="1"/>
  <c r="P235" i="1"/>
  <c r="O235" i="1"/>
  <c r="P572" i="1"/>
  <c r="O572" i="1"/>
  <c r="P337" i="1"/>
  <c r="O337" i="1"/>
  <c r="P840" i="1"/>
  <c r="O840" i="1"/>
  <c r="P680" i="1"/>
  <c r="O680" i="1"/>
  <c r="P312" i="1"/>
  <c r="O312" i="1"/>
  <c r="P756" i="1"/>
  <c r="O756" i="1"/>
  <c r="P548" i="1"/>
  <c r="O548" i="1"/>
  <c r="P612" i="1"/>
  <c r="O612" i="1"/>
  <c r="P238" i="1"/>
  <c r="O238" i="1"/>
  <c r="P796" i="1"/>
  <c r="O796" i="1"/>
  <c r="P688" i="1"/>
  <c r="O688" i="1"/>
  <c r="P344" i="1"/>
  <c r="O344" i="1"/>
  <c r="P109" i="1"/>
  <c r="O109" i="1"/>
  <c r="P597" i="1"/>
  <c r="O597" i="1"/>
  <c r="P296" i="1"/>
  <c r="O296" i="1"/>
  <c r="P824" i="1"/>
  <c r="O824" i="1"/>
  <c r="P618" i="1"/>
  <c r="O618" i="1"/>
  <c r="P578" i="1"/>
  <c r="O578" i="1"/>
  <c r="P708" i="1"/>
  <c r="O708" i="1"/>
  <c r="P904" i="1"/>
  <c r="O904" i="1"/>
  <c r="P843" i="1"/>
  <c r="O843" i="1"/>
  <c r="P761" i="1"/>
  <c r="O761" i="1"/>
  <c r="P288" i="1"/>
  <c r="O288" i="1"/>
  <c r="P347" i="1"/>
  <c r="O347" i="1"/>
  <c r="P938" i="1"/>
  <c r="O938" i="1"/>
  <c r="P173" i="1"/>
  <c r="O173" i="1"/>
  <c r="T941" i="1"/>
  <c r="P941" i="1" l="1"/>
  <c r="O941" i="1"/>
  <c r="T899" i="1"/>
  <c r="T481" i="1"/>
  <c r="T848" i="1"/>
  <c r="T658" i="1"/>
  <c r="T73" i="1"/>
  <c r="T657" i="1"/>
  <c r="T251" i="1"/>
  <c r="T7" i="1"/>
  <c r="T373" i="1"/>
  <c r="T227" i="1"/>
  <c r="T751" i="1"/>
  <c r="T39" i="1"/>
  <c r="T276" i="1"/>
  <c r="T563" i="1"/>
  <c r="T531" i="1"/>
  <c r="T282" i="1"/>
  <c r="T334" i="1"/>
  <c r="T808" i="1"/>
  <c r="T738" i="1"/>
  <c r="T944" i="1"/>
  <c r="T387" i="1"/>
  <c r="T860" i="1"/>
  <c r="T46" i="1"/>
  <c r="T324" i="1"/>
  <c r="T791" i="1"/>
  <c r="T550" i="1"/>
  <c r="T480" i="1"/>
  <c r="T730" i="1"/>
  <c r="T140" i="1"/>
  <c r="T535" i="1"/>
  <c r="T152" i="1"/>
  <c r="T686" i="1"/>
  <c r="T732" i="1"/>
  <c r="T818" i="1"/>
  <c r="T614" i="1"/>
  <c r="T178" i="1"/>
  <c r="P351" i="1"/>
  <c r="T351" i="1"/>
  <c r="T239" i="1"/>
  <c r="T637" i="1"/>
  <c r="T254" i="1"/>
  <c r="T308" i="1"/>
  <c r="T950" i="1"/>
  <c r="T130" i="1"/>
  <c r="T393" i="1"/>
  <c r="T25" i="1"/>
  <c r="T15" i="1"/>
  <c r="T881" i="1"/>
  <c r="T499" i="1"/>
  <c r="T742" i="1"/>
  <c r="T132" i="1"/>
  <c r="T433" i="1"/>
  <c r="T474" i="1"/>
  <c r="T947" i="1"/>
  <c r="T887" i="1"/>
  <c r="T677" i="1"/>
  <c r="T798" i="1"/>
  <c r="T19" i="1"/>
  <c r="T854" i="1"/>
  <c r="T84" i="1"/>
  <c r="T317" i="1"/>
  <c r="T514" i="1"/>
  <c r="T546" i="1"/>
  <c r="T633" i="1"/>
  <c r="T470" i="1"/>
  <c r="T283" i="1"/>
  <c r="T836" i="1"/>
  <c r="T735" i="1"/>
  <c r="T229" i="1"/>
  <c r="T177" i="1"/>
  <c r="T36" i="1"/>
  <c r="T163" i="1"/>
  <c r="T9" i="1"/>
  <c r="T128" i="1"/>
  <c r="T133" i="1"/>
  <c r="T589" i="1"/>
  <c r="T477" i="1"/>
  <c r="T147" i="1"/>
  <c r="T250" i="1"/>
  <c r="T759" i="1"/>
  <c r="T228" i="1"/>
  <c r="T65" i="1"/>
  <c r="T114" i="1"/>
  <c r="T566" i="1"/>
  <c r="T811" i="1"/>
  <c r="T448" i="1"/>
  <c r="T789" i="1"/>
  <c r="T662" i="1"/>
  <c r="T158" i="1"/>
  <c r="T649" i="1"/>
  <c r="T837" i="1"/>
  <c r="T167" i="1"/>
  <c r="T162" i="1"/>
  <c r="T584" i="1"/>
  <c r="T454" i="1"/>
  <c r="T79" i="1"/>
  <c r="T748" i="1"/>
  <c r="T360" i="1"/>
  <c r="T434" i="1"/>
  <c r="T819" i="1"/>
  <c r="T295" i="1"/>
  <c r="T168" i="1"/>
  <c r="T129" i="1"/>
  <c r="T487" i="1"/>
  <c r="T216" i="1"/>
  <c r="T777" i="1"/>
  <c r="T62" i="1"/>
  <c r="T34" i="1"/>
  <c r="T139" i="1"/>
  <c r="T714" i="1"/>
  <c r="T92" i="1"/>
  <c r="T374" i="1"/>
  <c r="T57" i="1"/>
  <c r="T801" i="1"/>
  <c r="T43" i="1"/>
  <c r="T445" i="1"/>
  <c r="T627" i="1"/>
  <c r="T930" i="1"/>
  <c r="T354" i="1"/>
  <c r="T105" i="1"/>
  <c r="T492" i="1"/>
  <c r="T259" i="1"/>
  <c r="T121" i="1"/>
  <c r="T521" i="1"/>
  <c r="T763" i="1"/>
  <c r="T476" i="1"/>
  <c r="T150" i="1"/>
  <c r="T59" i="1"/>
  <c r="T729" i="1"/>
  <c r="T834" i="1"/>
  <c r="T508" i="1"/>
  <c r="T418" i="1"/>
  <c r="T541" i="1"/>
  <c r="T787" i="1"/>
  <c r="T249" i="1"/>
  <c r="T205" i="1"/>
  <c r="T220" i="1"/>
  <c r="T864" i="1"/>
  <c r="T138" i="1"/>
  <c r="T692" i="1"/>
  <c r="T929" i="1"/>
  <c r="T304" i="1"/>
  <c r="T898" i="1"/>
  <c r="T859" i="1"/>
  <c r="T389" i="1"/>
  <c r="T641" i="1"/>
  <c r="T510" i="1"/>
  <c r="T785" i="1"/>
  <c r="T940" i="1"/>
  <c r="T757" i="1"/>
  <c r="T472" i="1"/>
  <c r="T353" i="1"/>
  <c r="T180" i="1"/>
  <c r="T427" i="1"/>
  <c r="T636" i="1"/>
  <c r="T148" i="1"/>
  <c r="T246" i="1"/>
  <c r="T44" i="1"/>
  <c r="T159" i="1"/>
  <c r="T712" i="1"/>
  <c r="T682" i="1"/>
  <c r="T195" i="1"/>
  <c r="T262" i="1"/>
  <c r="T38" i="1"/>
  <c r="T99" i="1"/>
  <c r="T953" i="1"/>
  <c r="T733" i="1"/>
  <c r="T932" i="1"/>
  <c r="T820" i="1"/>
  <c r="T237" i="1"/>
  <c r="T595" i="1"/>
  <c r="T560" i="1"/>
  <c r="T29" i="1"/>
  <c r="T415" i="1"/>
  <c r="T588" i="1"/>
  <c r="T100" i="1"/>
  <c r="T555" i="1"/>
  <c r="T784" i="1"/>
  <c r="T111" i="1"/>
  <c r="T146" i="1"/>
  <c r="T591" i="1"/>
  <c r="T781" i="1"/>
  <c r="T386" i="1"/>
  <c r="T866" i="1"/>
  <c r="T224" i="1"/>
  <c r="T74" i="1"/>
  <c r="T790" i="1"/>
  <c r="T449" i="1"/>
  <c r="T553" i="1"/>
  <c r="T72" i="1"/>
  <c r="T89" i="1"/>
  <c r="T602" i="1"/>
  <c r="T306" i="1"/>
  <c r="T861" i="1"/>
  <c r="T769" i="1"/>
  <c r="T198" i="1"/>
  <c r="T248" i="1"/>
  <c r="T6" i="1"/>
  <c r="T479" i="1"/>
  <c r="T767" i="1"/>
  <c r="T261" i="1"/>
  <c r="T369" i="1"/>
  <c r="T88" i="1"/>
  <c r="T340" i="1"/>
  <c r="P146" i="1" l="1"/>
  <c r="O146" i="1"/>
  <c r="P932" i="1"/>
  <c r="O932" i="1"/>
  <c r="P353" i="1"/>
  <c r="O353" i="1"/>
  <c r="P541" i="1"/>
  <c r="O541" i="1"/>
  <c r="P121" i="1"/>
  <c r="O121" i="1"/>
  <c r="P714" i="1"/>
  <c r="O714" i="1"/>
  <c r="P65" i="1"/>
  <c r="O65" i="1"/>
  <c r="P128" i="1"/>
  <c r="O128" i="1"/>
  <c r="P854" i="1"/>
  <c r="O854" i="1"/>
  <c r="P742" i="1"/>
  <c r="O742" i="1"/>
  <c r="P239" i="1"/>
  <c r="O239" i="1"/>
  <c r="P261" i="1"/>
  <c r="O261" i="1"/>
  <c r="P72" i="1"/>
  <c r="O72" i="1"/>
  <c r="P733" i="1"/>
  <c r="O733" i="1"/>
  <c r="P195" i="1"/>
  <c r="O195" i="1"/>
  <c r="P859" i="1"/>
  <c r="O859" i="1"/>
  <c r="P692" i="1"/>
  <c r="O692" i="1"/>
  <c r="P205" i="1"/>
  <c r="O205" i="1"/>
  <c r="P729" i="1"/>
  <c r="O729" i="1"/>
  <c r="P150" i="1"/>
  <c r="O150" i="1"/>
  <c r="P930" i="1"/>
  <c r="O930" i="1"/>
  <c r="P374" i="1"/>
  <c r="O374" i="1"/>
  <c r="P139" i="1"/>
  <c r="O139" i="1"/>
  <c r="P167" i="1"/>
  <c r="O167" i="1"/>
  <c r="P114" i="1"/>
  <c r="O114" i="1"/>
  <c r="P759" i="1"/>
  <c r="O759" i="1"/>
  <c r="P477" i="1"/>
  <c r="O477" i="1"/>
  <c r="P470" i="1"/>
  <c r="O470" i="1"/>
  <c r="P317" i="1"/>
  <c r="O317" i="1"/>
  <c r="P677" i="1"/>
  <c r="O677" i="1"/>
  <c r="P433" i="1"/>
  <c r="O433" i="1"/>
  <c r="P499" i="1"/>
  <c r="O499" i="1"/>
  <c r="P393" i="1"/>
  <c r="O393" i="1"/>
  <c r="P254" i="1"/>
  <c r="O254" i="1"/>
  <c r="P732" i="1"/>
  <c r="O732" i="1"/>
  <c r="P140" i="1"/>
  <c r="O140" i="1"/>
  <c r="P550" i="1"/>
  <c r="O550" i="1"/>
  <c r="P860" i="1"/>
  <c r="O860" i="1"/>
  <c r="P738" i="1"/>
  <c r="O738" i="1"/>
  <c r="P334" i="1"/>
  <c r="O334" i="1"/>
  <c r="P531" i="1"/>
  <c r="O531" i="1"/>
  <c r="P751" i="1"/>
  <c r="O751" i="1"/>
  <c r="P7" i="1"/>
  <c r="O7" i="1"/>
  <c r="P73" i="1"/>
  <c r="O73" i="1"/>
  <c r="P386" i="1"/>
  <c r="O386" i="1"/>
  <c r="P148" i="1"/>
  <c r="O148" i="1"/>
  <c r="P757" i="1"/>
  <c r="O757" i="1"/>
  <c r="P304" i="1"/>
  <c r="O304" i="1"/>
  <c r="P62" i="1"/>
  <c r="O62" i="1"/>
  <c r="P162" i="1"/>
  <c r="O162" i="1"/>
  <c r="P566" i="1"/>
  <c r="O566" i="1"/>
  <c r="P36" i="1"/>
  <c r="O36" i="1"/>
  <c r="P514" i="1"/>
  <c r="O514" i="1"/>
  <c r="P19" i="1"/>
  <c r="O19" i="1"/>
  <c r="P25" i="1"/>
  <c r="O25" i="1"/>
  <c r="P178" i="1"/>
  <c r="O178" i="1"/>
  <c r="P152" i="1"/>
  <c r="O152" i="1"/>
  <c r="P39" i="1"/>
  <c r="O39" i="1"/>
  <c r="P657" i="1"/>
  <c r="O657" i="1"/>
  <c r="P340" i="1"/>
  <c r="O340" i="1"/>
  <c r="P248" i="1"/>
  <c r="O248" i="1"/>
  <c r="P224" i="1"/>
  <c r="O224" i="1"/>
  <c r="P111" i="1"/>
  <c r="O111" i="1"/>
  <c r="P588" i="1"/>
  <c r="O588" i="1"/>
  <c r="P237" i="1"/>
  <c r="O237" i="1"/>
  <c r="P99" i="1"/>
  <c r="O99" i="1"/>
  <c r="P159" i="1"/>
  <c r="O159" i="1"/>
  <c r="P427" i="1"/>
  <c r="O427" i="1"/>
  <c r="P418" i="1"/>
  <c r="O418" i="1"/>
  <c r="P105" i="1"/>
  <c r="O105" i="1"/>
  <c r="P777" i="1"/>
  <c r="O777" i="1"/>
  <c r="P819" i="1"/>
  <c r="O819" i="1"/>
  <c r="P79" i="1"/>
  <c r="O79" i="1"/>
  <c r="P789" i="1"/>
  <c r="O789" i="1"/>
  <c r="P9" i="1"/>
  <c r="O9" i="1"/>
  <c r="P229" i="1"/>
  <c r="O229" i="1"/>
  <c r="P306" i="1"/>
  <c r="O306" i="1"/>
  <c r="P100" i="1"/>
  <c r="O100" i="1"/>
  <c r="P138" i="1"/>
  <c r="O138" i="1"/>
  <c r="P59" i="1"/>
  <c r="O59" i="1"/>
  <c r="P43" i="1"/>
  <c r="O43" i="1"/>
  <c r="P295" i="1"/>
  <c r="O295" i="1"/>
  <c r="P649" i="1"/>
  <c r="O649" i="1"/>
  <c r="P662" i="1"/>
  <c r="O662" i="1"/>
  <c r="P283" i="1"/>
  <c r="O283" i="1"/>
  <c r="P308" i="1"/>
  <c r="O308" i="1"/>
  <c r="P614" i="1"/>
  <c r="O614" i="1"/>
  <c r="P944" i="1"/>
  <c r="O944" i="1"/>
  <c r="P282" i="1"/>
  <c r="O282" i="1"/>
  <c r="P227" i="1"/>
  <c r="O227" i="1"/>
  <c r="P481" i="1"/>
  <c r="O481" i="1"/>
  <c r="P88" i="1"/>
  <c r="O88" i="1"/>
  <c r="P767" i="1"/>
  <c r="O767" i="1"/>
  <c r="P6" i="1"/>
  <c r="O6" i="1"/>
  <c r="P198" i="1"/>
  <c r="O198" i="1"/>
  <c r="P861" i="1"/>
  <c r="O861" i="1"/>
  <c r="P790" i="1"/>
  <c r="O790" i="1"/>
  <c r="P781" i="1"/>
  <c r="O781" i="1"/>
  <c r="P415" i="1"/>
  <c r="O415" i="1"/>
  <c r="P820" i="1"/>
  <c r="O820" i="1"/>
  <c r="P953" i="1"/>
  <c r="O953" i="1"/>
  <c r="P38" i="1"/>
  <c r="O38" i="1"/>
  <c r="P44" i="1"/>
  <c r="O44" i="1"/>
  <c r="P636" i="1"/>
  <c r="O636" i="1"/>
  <c r="P180" i="1"/>
  <c r="O180" i="1"/>
  <c r="P472" i="1"/>
  <c r="O472" i="1"/>
  <c r="P785" i="1"/>
  <c r="O785" i="1"/>
  <c r="P641" i="1"/>
  <c r="O641" i="1"/>
  <c r="P898" i="1"/>
  <c r="O898" i="1"/>
  <c r="P864" i="1"/>
  <c r="O864" i="1"/>
  <c r="P249" i="1"/>
  <c r="O249" i="1"/>
  <c r="P508" i="1"/>
  <c r="O508" i="1"/>
  <c r="P476" i="1"/>
  <c r="O476" i="1"/>
  <c r="P521" i="1"/>
  <c r="O521" i="1"/>
  <c r="P627" i="1"/>
  <c r="O627" i="1"/>
  <c r="P801" i="1"/>
  <c r="O801" i="1"/>
  <c r="P92" i="1"/>
  <c r="O92" i="1"/>
  <c r="P34" i="1"/>
  <c r="O34" i="1"/>
  <c r="P216" i="1"/>
  <c r="O216" i="1"/>
  <c r="P129" i="1"/>
  <c r="O129" i="1"/>
  <c r="P434" i="1"/>
  <c r="O434" i="1"/>
  <c r="P454" i="1"/>
  <c r="O454" i="1"/>
  <c r="P837" i="1"/>
  <c r="O837" i="1"/>
  <c r="P448" i="1"/>
  <c r="O448" i="1"/>
  <c r="P250" i="1"/>
  <c r="O250" i="1"/>
  <c r="P163" i="1"/>
  <c r="O163" i="1"/>
  <c r="P177" i="1"/>
  <c r="O177" i="1"/>
  <c r="P735" i="1"/>
  <c r="O735" i="1"/>
  <c r="P633" i="1"/>
  <c r="O633" i="1"/>
  <c r="P798" i="1"/>
  <c r="O798" i="1"/>
  <c r="P887" i="1"/>
  <c r="O887" i="1"/>
  <c r="P132" i="1"/>
  <c r="O132" i="1"/>
  <c r="P881" i="1"/>
  <c r="O881" i="1"/>
  <c r="P130" i="1"/>
  <c r="O130" i="1"/>
  <c r="P637" i="1"/>
  <c r="O637" i="1"/>
  <c r="P818" i="1"/>
  <c r="O818" i="1"/>
  <c r="P535" i="1"/>
  <c r="O535" i="1"/>
  <c r="P730" i="1"/>
  <c r="O730" i="1"/>
  <c r="P791" i="1"/>
  <c r="O791" i="1"/>
  <c r="P324" i="1"/>
  <c r="O324" i="1"/>
  <c r="P387" i="1"/>
  <c r="O387" i="1"/>
  <c r="P563" i="1"/>
  <c r="O563" i="1"/>
  <c r="P373" i="1"/>
  <c r="O373" i="1"/>
  <c r="P658" i="1"/>
  <c r="O658" i="1"/>
  <c r="P899" i="1"/>
  <c r="O899" i="1"/>
  <c r="P89" i="1"/>
  <c r="O89" i="1"/>
  <c r="P784" i="1"/>
  <c r="O784" i="1"/>
  <c r="P595" i="1"/>
  <c r="O595" i="1"/>
  <c r="P712" i="1"/>
  <c r="O712" i="1"/>
  <c r="P929" i="1"/>
  <c r="O929" i="1"/>
  <c r="P492" i="1"/>
  <c r="O492" i="1"/>
  <c r="P487" i="1"/>
  <c r="O487" i="1"/>
  <c r="P748" i="1"/>
  <c r="O748" i="1"/>
  <c r="P369" i="1"/>
  <c r="O369" i="1"/>
  <c r="P479" i="1"/>
  <c r="O479" i="1"/>
  <c r="P769" i="1"/>
  <c r="O769" i="1"/>
  <c r="P602" i="1"/>
  <c r="O602" i="1"/>
  <c r="P553" i="1"/>
  <c r="O553" i="1"/>
  <c r="P449" i="1"/>
  <c r="O449" i="1"/>
  <c r="P74" i="1"/>
  <c r="O74" i="1"/>
  <c r="P866" i="1"/>
  <c r="O866" i="1"/>
  <c r="P591" i="1"/>
  <c r="O591" i="1"/>
  <c r="P555" i="1"/>
  <c r="O555" i="1"/>
  <c r="P29" i="1"/>
  <c r="O29" i="1"/>
  <c r="P560" i="1"/>
  <c r="O560" i="1"/>
  <c r="P262" i="1"/>
  <c r="O262" i="1"/>
  <c r="P682" i="1"/>
  <c r="O682" i="1"/>
  <c r="P246" i="1"/>
  <c r="O246" i="1"/>
  <c r="P940" i="1"/>
  <c r="O940" i="1"/>
  <c r="P510" i="1"/>
  <c r="O510" i="1"/>
  <c r="P389" i="1"/>
  <c r="O389" i="1"/>
  <c r="P220" i="1"/>
  <c r="O220" i="1"/>
  <c r="P787" i="1"/>
  <c r="O787" i="1"/>
  <c r="P834" i="1"/>
  <c r="O834" i="1"/>
  <c r="P763" i="1"/>
  <c r="O763" i="1"/>
  <c r="P259" i="1"/>
  <c r="O259" i="1"/>
  <c r="P354" i="1"/>
  <c r="O354" i="1"/>
  <c r="P445" i="1"/>
  <c r="O445" i="1"/>
  <c r="P57" i="1"/>
  <c r="O57" i="1"/>
  <c r="P168" i="1"/>
  <c r="O168" i="1"/>
  <c r="P360" i="1"/>
  <c r="O360" i="1"/>
  <c r="P584" i="1"/>
  <c r="O584" i="1"/>
  <c r="P158" i="1"/>
  <c r="O158" i="1"/>
  <c r="P811" i="1"/>
  <c r="O811" i="1"/>
  <c r="P228" i="1"/>
  <c r="O228" i="1"/>
  <c r="P147" i="1"/>
  <c r="O147" i="1"/>
  <c r="P589" i="1"/>
  <c r="O589" i="1"/>
  <c r="P133" i="1"/>
  <c r="O133" i="1"/>
  <c r="P836" i="1"/>
  <c r="O836" i="1"/>
  <c r="P546" i="1"/>
  <c r="O546" i="1"/>
  <c r="P84" i="1"/>
  <c r="O84" i="1"/>
  <c r="P947" i="1"/>
  <c r="O947" i="1"/>
  <c r="P474" i="1"/>
  <c r="O474" i="1"/>
  <c r="P15" i="1"/>
  <c r="O15" i="1"/>
  <c r="P950" i="1"/>
  <c r="O950" i="1"/>
  <c r="P686" i="1"/>
  <c r="O686" i="1"/>
  <c r="P480" i="1"/>
  <c r="O480" i="1"/>
  <c r="P46" i="1"/>
  <c r="O46" i="1"/>
  <c r="P808" i="1"/>
  <c r="O808" i="1"/>
  <c r="P276" i="1"/>
  <c r="O276" i="1"/>
  <c r="P251" i="1"/>
  <c r="O251" i="1"/>
  <c r="P848" i="1"/>
  <c r="O848" i="1"/>
</calcChain>
</file>

<file path=xl/sharedStrings.xml><?xml version="1.0" encoding="utf-8"?>
<sst xmlns="http://schemas.openxmlformats.org/spreadsheetml/2006/main" count="8585" uniqueCount="1683">
  <si>
    <t>Type</t>
  </si>
  <si>
    <t>Id</t>
  </si>
  <si>
    <t>Status</t>
  </si>
  <si>
    <t>Summary</t>
  </si>
  <si>
    <t>Planned For</t>
  </si>
  <si>
    <t>Owned By</t>
  </si>
  <si>
    <t>Story</t>
  </si>
  <si>
    <t>New</t>
  </si>
  <si>
    <t>Unassigned</t>
  </si>
  <si>
    <t>Fossey, Craig-P64768</t>
  </si>
  <si>
    <t>Munoz, Ricardo-p66905</t>
  </si>
  <si>
    <t>Morton, Randall-P57014</t>
  </si>
  <si>
    <t>Wolfe, Sally-P57128</t>
  </si>
  <si>
    <t>Williams, Josh-P66987</t>
  </si>
  <si>
    <t>Epic</t>
  </si>
  <si>
    <t>McGrew II, Michael-P65920</t>
  </si>
  <si>
    <t>TBD</t>
  </si>
  <si>
    <t>Randy</t>
  </si>
  <si>
    <t>Greg</t>
  </si>
  <si>
    <t>Short Name</t>
  </si>
  <si>
    <t>Owner</t>
  </si>
  <si>
    <t>Grand Total</t>
  </si>
  <si>
    <t>(All)</t>
  </si>
  <si>
    <t>Story Points (numeric)</t>
  </si>
  <si>
    <t>Feature</t>
  </si>
  <si>
    <t>Approved</t>
  </si>
  <si>
    <t>Jackson, Maureen-p5336c</t>
  </si>
  <si>
    <t>Sum of Story Points (numeric)</t>
  </si>
  <si>
    <t>Parent</t>
  </si>
  <si>
    <t>Derek</t>
  </si>
  <si>
    <t>Error</t>
  </si>
  <si>
    <t>Other</t>
  </si>
  <si>
    <t>Color Key</t>
  </si>
  <si>
    <t>Step #</t>
  </si>
  <si>
    <t>Step</t>
  </si>
  <si>
    <t>In the RTC tool select the "Dowload as speadsheet" icon on  the right side of the screen</t>
  </si>
  <si>
    <t>In the RTC tool select "Open"at the bottom of the screen.</t>
  </si>
  <si>
    <t>Tang, Kent-P22339</t>
  </si>
  <si>
    <t>Kent</t>
  </si>
  <si>
    <t>Thaxton, Travis-p63908</t>
  </si>
  <si>
    <t>Minguillan, John-p67706</t>
  </si>
  <si>
    <t>Target Deployment</t>
  </si>
  <si>
    <t>Total</t>
  </si>
  <si>
    <t>Vaughn, Gerald-hc01920</t>
  </si>
  <si>
    <t>Chris</t>
  </si>
  <si>
    <t>Hemant</t>
  </si>
  <si>
    <t>Blaine, Eric-p1867c</t>
  </si>
  <si>
    <t>Eric</t>
  </si>
  <si>
    <t>EAD N/A</t>
  </si>
  <si>
    <t>Depends On</t>
  </si>
  <si>
    <t>Rank</t>
  </si>
  <si>
    <t>Burnett, Johnathan (NE)</t>
  </si>
  <si>
    <t>John</t>
  </si>
  <si>
    <t>Conan</t>
  </si>
  <si>
    <t>Dave Corcoran</t>
  </si>
  <si>
    <t>Randy Morton</t>
  </si>
  <si>
    <t>John Burnett</t>
  </si>
  <si>
    <t>From Capacity planning</t>
  </si>
  <si>
    <t>Net Points</t>
  </si>
  <si>
    <t>From RTC</t>
  </si>
  <si>
    <t>Team</t>
  </si>
  <si>
    <t>Filed Against</t>
  </si>
  <si>
    <t>MUOS/TOFF</t>
  </si>
  <si>
    <t>TOFF</t>
  </si>
  <si>
    <t>Beckman, Barry-p17346</t>
  </si>
  <si>
    <t>Perona, Richard-P23365</t>
  </si>
  <si>
    <t>Valverde, Michael-P57677</t>
  </si>
  <si>
    <t>Jones, Glen-p68188</t>
  </si>
  <si>
    <t>MUOS/System Engineering</t>
  </si>
  <si>
    <t>Glen J</t>
  </si>
  <si>
    <t>Richard P</t>
  </si>
  <si>
    <t>Michael V</t>
  </si>
  <si>
    <t>Josh W</t>
  </si>
  <si>
    <t>Sally W</t>
  </si>
  <si>
    <t>John M</t>
  </si>
  <si>
    <t>Ricardo M</t>
  </si>
  <si>
    <t>Barry B</t>
  </si>
  <si>
    <t>Craig D</t>
  </si>
  <si>
    <t>RTC- capacity</t>
  </si>
  <si>
    <t>Mike D</t>
  </si>
  <si>
    <t>Diaz, Mike-P17114</t>
  </si>
  <si>
    <t>Dickerson III, Emory-P18576</t>
  </si>
  <si>
    <t>Mccord, Chris-P68503</t>
  </si>
  <si>
    <t>Chris M</t>
  </si>
  <si>
    <t>Emory D</t>
  </si>
  <si>
    <t>Southerland, Bernie-P57530</t>
  </si>
  <si>
    <t>Bernie S</t>
  </si>
  <si>
    <t>Will Murray</t>
  </si>
  <si>
    <t>Murray, Will-P67105</t>
  </si>
  <si>
    <t>Will</t>
  </si>
  <si>
    <t>Chris Curtis</t>
  </si>
  <si>
    <t>Carol</t>
  </si>
  <si>
    <t>Craig</t>
  </si>
  <si>
    <t>Ruminski, Paul-P57218</t>
  </si>
  <si>
    <t>Gerald V</t>
  </si>
  <si>
    <t>Paul R</t>
  </si>
  <si>
    <t>Chris T</t>
  </si>
  <si>
    <t>Joel A</t>
  </si>
  <si>
    <t>Travis</t>
  </si>
  <si>
    <t>Cap</t>
  </si>
  <si>
    <t>Load</t>
  </si>
  <si>
    <t>xxx</t>
  </si>
  <si>
    <t>Tony Sokol</t>
  </si>
  <si>
    <t>Tony</t>
  </si>
  <si>
    <t>Nadolski, Richard-P57245</t>
  </si>
  <si>
    <t>Implementing</t>
  </si>
  <si>
    <t>Gorowara, Hemant K</t>
  </si>
  <si>
    <t>Curtis, Chris B</t>
  </si>
  <si>
    <t>Dailey, Conan B</t>
  </si>
  <si>
    <t>PI 13</t>
  </si>
  <si>
    <t>Boddapati, Anil-p67228</t>
  </si>
  <si>
    <t>Allen Y</t>
  </si>
  <si>
    <t>Anil B</t>
  </si>
  <si>
    <t>Stevens, Robert-P56766</t>
  </si>
  <si>
    <t>Roberts, Shawn-P56361</t>
  </si>
  <si>
    <t>MacDonald, Michael W</t>
  </si>
  <si>
    <t>Mike MG</t>
  </si>
  <si>
    <t>Mike MD</t>
  </si>
  <si>
    <t>Shawn R</t>
  </si>
  <si>
    <t>Robert S</t>
  </si>
  <si>
    <t>Scan and review the patch findings from the site and SWIT and VLAB</t>
  </si>
  <si>
    <t>Sokol, Anthony W</t>
  </si>
  <si>
    <t>Release status report with metrics spreadsheet</t>
  </si>
  <si>
    <t>Complete VLAB test</t>
  </si>
  <si>
    <t>Trella, Chris M</t>
  </si>
  <si>
    <t>Corcoran, David G</t>
  </si>
  <si>
    <t>Stymfal, Greg T</t>
  </si>
  <si>
    <t>Agcon, Joel</t>
  </si>
  <si>
    <t>Ebert, Brandon L</t>
  </si>
  <si>
    <t>Johnson, Derek T</t>
  </si>
  <si>
    <t>Lockwood, Dan E</t>
  </si>
  <si>
    <t>Urban, Carol A</t>
  </si>
  <si>
    <t>Nations, Bob J</t>
  </si>
  <si>
    <t>Smith, Aaron R</t>
  </si>
  <si>
    <t>Dixon, Craig R</t>
  </si>
  <si>
    <t>Young, Allen W</t>
  </si>
  <si>
    <t>Aaron S</t>
  </si>
  <si>
    <t>Rich N</t>
  </si>
  <si>
    <t>Brandon E</t>
  </si>
  <si>
    <t>Bob N</t>
  </si>
  <si>
    <t>Dan L</t>
  </si>
  <si>
    <t>EAD 15</t>
  </si>
  <si>
    <t>MUOS/Laptops</t>
  </si>
  <si>
    <t>Story-sent</t>
  </si>
  <si>
    <t>Story-recvd</t>
  </si>
  <si>
    <t>In the RTC tool run the "CSE_all" query</t>
  </si>
  <si>
    <r>
      <t>On the "CyberData" tab of The "CSE.xlsm" spreadsheet (this is the master SharePoint spreadsheet that gets updated each time) select columns</t>
    </r>
    <r>
      <rPr>
        <b/>
        <sz val="11"/>
        <color theme="1"/>
        <rFont val="Calibri"/>
        <family val="2"/>
        <scheme val="minor"/>
      </rPr>
      <t xml:space="preserve"> B-L (columns with orange header)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special copy by values</t>
    </r>
    <r>
      <rPr>
        <sz val="11"/>
        <color theme="1"/>
        <rFont val="Calibri"/>
        <family val="2"/>
        <scheme val="minor"/>
      </rPr>
      <t xml:space="preserve"> (right click and hit the "123" icon)
 - note: if you don't see the "123" icon it might be because you don't have bothe spreadsheets in the same Excel instance</t>
    </r>
  </si>
  <si>
    <t>On the "CyberData" tab of this spreadsheet click on the "Tree" button at A1
   - This sorts the sheet by columns "Epic", "Feature", "Planned For"</t>
  </si>
  <si>
    <t>Besides the Information on the IncData tab, the "Pivot" tab has a default setup of the Story Points broken out by Status perperson by Sprint.
 - Be sure to right-clik in the pivot table and select "refresh" before reviewing the data.</t>
  </si>
  <si>
    <t>Acuna, Mateo-hc01898</t>
  </si>
  <si>
    <t>#367695</t>
  </si>
  <si>
    <t>Driskill, Dustin J</t>
  </si>
  <si>
    <t>Support patch release</t>
  </si>
  <si>
    <t>Download patches, and update patching script</t>
  </si>
  <si>
    <t>Kent Tang</t>
  </si>
  <si>
    <t>Derek Johnson</t>
  </si>
  <si>
    <t>Micciche, Frencesco (NE)</t>
  </si>
  <si>
    <t>Newlin, Eric</t>
  </si>
  <si>
    <t>Eric N</t>
  </si>
  <si>
    <t>Mateo A</t>
  </si>
  <si>
    <t>Dustin D</t>
  </si>
  <si>
    <t>EA 12.1 7/18-7/31</t>
  </si>
  <si>
    <t>EA 12.5  9/12-9/25</t>
  </si>
  <si>
    <t>EA 12.2 8/1-8/14</t>
  </si>
  <si>
    <t>EA 12.6  9/26-10/9</t>
  </si>
  <si>
    <t>EA 12.3    8/15-8/28</t>
  </si>
  <si>
    <t>EA 12.7  10/10-10/23</t>
  </si>
  <si>
    <t>EA 12.4   8/29-9/11</t>
  </si>
  <si>
    <t>Canadian TBD</t>
  </si>
  <si>
    <t>Kaya, Mark-P63210</t>
  </si>
  <si>
    <t>Feature 367689 - Remove Need for Web GUI with Console Servers: IA Posture Assessment</t>
  </si>
  <si>
    <t>Henderson, Dave A</t>
  </si>
  <si>
    <t>Mark K</t>
  </si>
  <si>
    <t>Feature 369754: IA -  update the IA section in the design documentation</t>
  </si>
  <si>
    <t>PI13 Rank</t>
  </si>
  <si>
    <t>Watt, Amelia M</t>
  </si>
  <si>
    <t>Amelia W</t>
  </si>
  <si>
    <t>Dave H</t>
  </si>
  <si>
    <t>Ted</t>
  </si>
  <si>
    <t>48556-8838</t>
  </si>
  <si>
    <t>PI 15</t>
  </si>
  <si>
    <t>Frencesco M</t>
  </si>
  <si>
    <t>Milzarski, Ted-P63490</t>
  </si>
  <si>
    <r>
      <t xml:space="preserve">In the excel file that pops up (CSE_all.csv) select and copy columns </t>
    </r>
    <r>
      <rPr>
        <b/>
        <sz val="11"/>
        <color theme="1"/>
        <rFont val="Calibri"/>
        <family val="2"/>
        <scheme val="minor"/>
      </rPr>
      <t>A-K</t>
    </r>
  </si>
  <si>
    <t>Create patch bundle,  measure/sign and formally release  to CM with final  script, download bundle to protected laptop</t>
  </si>
  <si>
    <t>Update Node Config for IA patches</t>
  </si>
  <si>
    <t>Complete SWIT testing</t>
  </si>
  <si>
    <t>Update Patch SVDs for with redlines from site and misc cleanup</t>
  </si>
  <si>
    <t>Update IA-Server-patch-tracker spreadsheet in Clear Case w/patch bundle installed</t>
  </si>
  <si>
    <t>Alice</t>
  </si>
  <si>
    <t>Support design of PPA</t>
  </si>
  <si>
    <t>Vaughn, Gerald D (NE)</t>
  </si>
  <si>
    <t xml:space="preserve">ID </t>
  </si>
  <si>
    <t>Baseline EAR</t>
  </si>
  <si>
    <t>Plan EAR</t>
  </si>
  <si>
    <t>"today" means the end of the sprint</t>
  </si>
  <si>
    <t>&lt;= change this for the current Sprint Review</t>
  </si>
  <si>
    <t>Actual Accum plan totals (calculated)</t>
  </si>
  <si>
    <t>Current Accum plan totals (calculated)</t>
  </si>
  <si>
    <t>Cyber BlueSheets</t>
  </si>
  <si>
    <t>Cyber RMF Accreditation of Call Bank Radio System</t>
  </si>
  <si>
    <t>MUOS/Cyber</t>
  </si>
  <si>
    <t>MUOS/SIC</t>
  </si>
  <si>
    <t>MUOS/Magic</t>
  </si>
  <si>
    <t>MUOS/Alicorn</t>
  </si>
  <si>
    <t>Alicorn</t>
  </si>
  <si>
    <t>Cyber</t>
  </si>
  <si>
    <t>Magic</t>
  </si>
  <si>
    <t>SIC</t>
  </si>
  <si>
    <t>System Engineering</t>
  </si>
  <si>
    <t>Laptops</t>
  </si>
  <si>
    <t>For Amy email:</t>
  </si>
  <si>
    <t>#391392</t>
  </si>
  <si>
    <t>Stevens, Alice L</t>
  </si>
  <si>
    <t>Garrison, David D</t>
  </si>
  <si>
    <t>MUOS/Okapi</t>
  </si>
  <si>
    <t>Feature 385856: Conversion to ACC - IA Support Part 2</t>
  </si>
  <si>
    <t>EA 14.1</t>
  </si>
  <si>
    <t>Dave Garrison</t>
  </si>
  <si>
    <t>Dave G</t>
  </si>
  <si>
    <t>Dave C</t>
  </si>
  <si>
    <t>Okapi</t>
  </si>
  <si>
    <t>Baseline Accum totals (calculated)</t>
  </si>
  <si>
    <t>Updated HW SW Map for March Patch deployment</t>
  </si>
  <si>
    <t>May 2020 Patch Deployment - Develop and finalize candidate patch target list</t>
  </si>
  <si>
    <t>March 2020 IA Patch Deployment</t>
  </si>
  <si>
    <t>March Updates to IA Repository</t>
  </si>
  <si>
    <t>February Updates to IA Repository</t>
  </si>
  <si>
    <t>January Updates to IA Repository</t>
  </si>
  <si>
    <t>Support Code Collaborator Reviews - 14.5</t>
  </si>
  <si>
    <t>Support Code Collaborator Reviews - 14.4</t>
  </si>
  <si>
    <t>Support Code Collaborator Reviews - 14.3</t>
  </si>
  <si>
    <t>Support Code Collaborator Reviews - 14.2</t>
  </si>
  <si>
    <t>Support Code Collaborator Reviews - 14.1</t>
  </si>
  <si>
    <t>IAVA Intake - 14.5</t>
  </si>
  <si>
    <t>IAVA Intake - 14.4</t>
  </si>
  <si>
    <t>IAVA Intake - 14.3</t>
  </si>
  <si>
    <t>IAVA Intake - 14.2</t>
  </si>
  <si>
    <t>IAVA Intake - 14.1</t>
  </si>
  <si>
    <t>IAVA Intake - 15.5</t>
  </si>
  <si>
    <t>IAVA Intake - 15.4</t>
  </si>
  <si>
    <t>IAVA Intake - 15.3</t>
  </si>
  <si>
    <t>IAVA Intake - 15.2</t>
  </si>
  <si>
    <t>IAVA Intake - 15.1</t>
  </si>
  <si>
    <t>MFR EAD 17 Support - Continuing Support</t>
  </si>
  <si>
    <t>Update SP Supplement for EAD 17.0 Content</t>
  </si>
  <si>
    <t>Update and review with customer MFR for EAD 17.0</t>
  </si>
  <si>
    <t>Support application review for DADMs applicability - 15.5</t>
  </si>
  <si>
    <t>Support application review for DADMs applicability - 15.4</t>
  </si>
  <si>
    <t>Support application review for DADMs applicability - 15.3</t>
  </si>
  <si>
    <t>Support application review for DADMs applicability - 15.2</t>
  </si>
  <si>
    <t>Support application review for DADMs applicability - 15.1</t>
  </si>
  <si>
    <t>Generate and review with customer MFR for EAD 16.0</t>
  </si>
  <si>
    <t>Update SP Supplement for EAD 16.0 Content</t>
  </si>
  <si>
    <t>Support application review for DADMs applicability - 14.4</t>
  </si>
  <si>
    <t>Support application review for DADMs applicability - 14.2</t>
  </si>
  <si>
    <t>EA 15.3</t>
  </si>
  <si>
    <t>EA 15.5</t>
  </si>
  <si>
    <t>EA 15.4</t>
  </si>
  <si>
    <t>EA 15.2</t>
  </si>
  <si>
    <t>EA 15.1</t>
  </si>
  <si>
    <t>Database IAVA Intake - 14.5</t>
  </si>
  <si>
    <t>EA 14.5</t>
  </si>
  <si>
    <t>EA 14.4</t>
  </si>
  <si>
    <t>Database IAVA Intake - 14.3</t>
  </si>
  <si>
    <t>EA 14.3</t>
  </si>
  <si>
    <t>Database IAVA Intake - 14.2</t>
  </si>
  <si>
    <t>EA 14.2</t>
  </si>
  <si>
    <t>Database IAVA Intake - 14.1</t>
  </si>
  <si>
    <t>Feature 396308: CSE PWI Triage/Assessment Support - 14.5</t>
  </si>
  <si>
    <t>Feature 396308: CSE PWI Triage/Assessment Support - 14.4</t>
  </si>
  <si>
    <t>Feature 396308: CSE PWI Triage/Assessment Support - 14.3</t>
  </si>
  <si>
    <t>Feature 396308: CSE PWI Triage/Assessment Support - 14.2</t>
  </si>
  <si>
    <t>Feature 396308: CSE PWI Triage/Assessment Support - 14.1</t>
  </si>
  <si>
    <t>Cyber MFR Support - PI 14 (Recurring)</t>
  </si>
  <si>
    <t>Cyber Sustainment Activities - PI 14 (Recurring)</t>
  </si>
  <si>
    <t>Cyber IA Patching - PI 14 (Recurring)</t>
  </si>
  <si>
    <t>EAD 17</t>
  </si>
  <si>
    <t>Support RMF IATT effort for call banks (Cyber) - 14.5</t>
  </si>
  <si>
    <t>Support RMF IATT effort for call banks (Cyber) - 14.3</t>
  </si>
  <si>
    <t>Support RMF IATT effort for call banks (Cyber) - 14.1</t>
  </si>
  <si>
    <t>Support RMF IATT effort for call banks (Systems) - 15.5</t>
  </si>
  <si>
    <t>Support RMF IATT effort for call banks (Systems) - 15.4</t>
  </si>
  <si>
    <t>Support RMF IATT effort for call banks (Systems) - 15.3</t>
  </si>
  <si>
    <t>Support RMF IATT effort for call banks (Systems) - 15.2</t>
  </si>
  <si>
    <t>Support RMF IATT effort for call banks (Systems) - 15.1</t>
  </si>
  <si>
    <t>Support RMF IATT effort for call banks (Systems) - 14.5</t>
  </si>
  <si>
    <t>Support RMF IATT effort for call banks (Systems) - 14.4</t>
  </si>
  <si>
    <t>Support RMF IATT effort for call banks (Systems) - 14.3</t>
  </si>
  <si>
    <t>Support RMF IATT effort for call banks (Systems) - 14.2</t>
  </si>
  <si>
    <t>Support RMF IATT effort for call banks (Systems) - 14.1</t>
  </si>
  <si>
    <t>#1002357</t>
  </si>
  <si>
    <t>#1002350</t>
  </si>
  <si>
    <t>Feature 1002345: MFR 3 – CSE Completes Final CAP</t>
  </si>
  <si>
    <t>Feature 1002345: MFR 3 – CSE Performs initial Cybersecurity Assessment</t>
  </si>
  <si>
    <t>Feature: 368860 Cost Estimate ~ COMSEC/Keys</t>
  </si>
  <si>
    <t>Feature: 368860 Cost Estimate ~ IA</t>
  </si>
  <si>
    <t>Feature: 368860 High-Level System Architecture ~ Group / Key Mgmnt</t>
  </si>
  <si>
    <t>Feature: 368860 High-Level System Architecture ~ COMSEC framework/Traffic Segregation</t>
  </si>
  <si>
    <t>Feature 1005321: Populate the Spreadsheet Created to Capture all the MUOS Servers Impacted by IA Patching with IA Patching Information</t>
  </si>
  <si>
    <t>Cyber: CAT1 Mitigation and Burndown</t>
  </si>
  <si>
    <t>Feature 1004094: Support Common Design for use of Passwords and Credential Management</t>
  </si>
  <si>
    <t>Support RMF IATT effort for call banks (Cyber) - 14.4</t>
  </si>
  <si>
    <t>VMP: Continue Developing the Operational Scan Plan - 14.3</t>
  </si>
  <si>
    <t>VMP: Development of an Operational Scan Plan- 14.1</t>
  </si>
  <si>
    <t>Support application review for DADMs applicability - 14.1</t>
  </si>
  <si>
    <t>Generate DTA Process Document for MUOS</t>
  </si>
  <si>
    <t>MUOS Terminal Trade (Cyber Support)</t>
  </si>
  <si>
    <t>Support Updating the Cyber IA Repository Database</t>
  </si>
  <si>
    <t>Feature 384136: Develop IETM procedures based on list of identified IETM updates. Part 1</t>
  </si>
  <si>
    <t>Feature 395174: SMDC Laptops Patches and Scans (Part 2)</t>
  </si>
  <si>
    <t>Feature 395174: SMDC Laptops Patches and Scans (Part 1)</t>
  </si>
  <si>
    <t>Cyber IA Patching - PI 14 (Recurring) - PI14.2</t>
  </si>
  <si>
    <t>Cyber IA Patching - PI 14 (Recurring) - PI14.1</t>
  </si>
  <si>
    <t>3) Determine which CAT1s in the new POAM spreadsheet are being addressed by Obsolescence</t>
  </si>
  <si>
    <t>2) Determine the CAT1s that have already been addressed by existing PWIs</t>
  </si>
  <si>
    <t>DADMS Compliance</t>
  </si>
  <si>
    <t>6) Create PWIs for Priority CAT1s (Part 1)</t>
  </si>
  <si>
    <t>Support PMW During ATO Approval Process - 14.4</t>
  </si>
  <si>
    <t>Support PMW During ATO Approval Process - 14.3</t>
  </si>
  <si>
    <t>Support PMW During ATO Approval Process - 14.2</t>
  </si>
  <si>
    <t>Feature 1007569: Cyber support for enhanced alt-telemetry</t>
  </si>
  <si>
    <t>Polatis Switch Rework</t>
  </si>
  <si>
    <t>Feature 390286: Verify GPO Changes in VLAB and Test</t>
  </si>
  <si>
    <t>Feature 390286: Apply Update to GPO in VLAB</t>
  </si>
  <si>
    <t>Feature 385856: Conversion to ACC - IA Support Part 2 Continued</t>
  </si>
  <si>
    <t>Feature 388549: ULX Detailed Design - Final Design Doc &amp; Presentation Support (Cyber)</t>
  </si>
  <si>
    <t>Feature 388549: ULX Detailed Design - FCAPS &amp; Design Oversight (Cyber)</t>
  </si>
  <si>
    <t>Feature 388549: ULX Detailed Design - FCAPS, Design Oversight (Cyber)</t>
  </si>
  <si>
    <t>Feature 388549: ULX Detailed Design - Compliant to Support IATT, Patching/STIG Design, Design Oversight) (Kent Tang, Cyber)</t>
  </si>
  <si>
    <t>7) Create PWIs for Priority CAT1s (Part 2)</t>
  </si>
  <si>
    <t>4) Determine Priority Order for Open CAT1s</t>
  </si>
  <si>
    <t>Release status report with metrics spreadsheet for March Deployment</t>
  </si>
  <si>
    <t>Complete SWIT testing For March Patches</t>
  </si>
  <si>
    <t>Complete February SWIT Testing, and complete VLAB test for March Deployment</t>
  </si>
  <si>
    <t>Validate May Deployment Patches in SWIT/Vlab vs Site</t>
  </si>
  <si>
    <t>EAD 16</t>
  </si>
  <si>
    <t>#387236</t>
  </si>
  <si>
    <t>Feature 342163: IA Posture Assessment</t>
  </si>
  <si>
    <t>#342169</t>
  </si>
  <si>
    <t>SPRINT</t>
  </si>
  <si>
    <t>INCREMENT</t>
  </si>
  <si>
    <t>Gerald Vaughn</t>
  </si>
  <si>
    <t>Estimated additional PTO 5%</t>
  </si>
  <si>
    <t>Task</t>
  </si>
  <si>
    <t>Done</t>
  </si>
  <si>
    <t>Feature 390286: Cyber Blue Sheets: Coordinate incorporation of changes to AMP with Laptop team.</t>
  </si>
  <si>
    <t>Feature 390286: Resolve Issues with “MUOS Password Policy" document</t>
  </si>
  <si>
    <t>Feature 384036: Pre-MFR 3 – Cyber Performs initial Cybersecurity Assessment for Scripted OS installation</t>
  </si>
  <si>
    <t>Salazar, Charlie</t>
  </si>
  <si>
    <t>Develop updated ACAS VM</t>
  </si>
  <si>
    <t>Support POAM updates based on customer inputs - 13.7</t>
  </si>
  <si>
    <t>Implement Profile Portability: Generate MUOS KMP Addendum</t>
  </si>
  <si>
    <t>PI 16</t>
  </si>
  <si>
    <t>Feature 384136: MFR 3 – CSE Performs initial Cybersecurity Assessment (Part 3b)</t>
  </si>
  <si>
    <t>Feature 384136: MFR 3 – CSE Performs initial Cybersecurity Assessment (Part 3a)</t>
  </si>
  <si>
    <t>Implement Profile Portability: Facilitate guard message changes and approvals</t>
  </si>
  <si>
    <t>Feature: 368860 Canadian Foreign Military Sales (FMS) Planning (SME Support)</t>
  </si>
  <si>
    <t>Determine How to Obtain Credentialed Scan on Switches</t>
  </si>
  <si>
    <t>Provide Support Developing Repo Distro Server</t>
  </si>
  <si>
    <t>Identify if CAT1 has been Resolved or Mitigated (13.6b)</t>
  </si>
  <si>
    <t>Identify if CAT1 has been Resolved or Mitigated (13.6a)</t>
  </si>
  <si>
    <t>Feature 390286: Support MPCs to update the Windows Server 2012 CI SVD portion of this BLUESHEET effort (Part 1) - 13.4</t>
  </si>
  <si>
    <t>Prepare and hold peer review for Nutanix ACAS pre-MFR3 Assessment</t>
  </si>
  <si>
    <t>Feature 384136: MFR 3 – CSE Performs initial Cybersecurity Assessment (Part 2)</t>
  </si>
  <si>
    <t>Feature 390286: Verify AMP common document redlines</t>
  </si>
  <si>
    <t>Feature 381216: STIG Tracking Template (Part 2)</t>
  </si>
  <si>
    <t>Feature 381216: STIG Tracking Template (Part 1)</t>
  </si>
  <si>
    <t>Feature 390286: Support MPCs to update the Windows Server 2012 CI SVD portion of this BLUESHEET effort (Part 2:  vLab validation &amp; AAA SVD rebase story)- 13.7</t>
  </si>
  <si>
    <t>Lab - Polatis Switch Replacement - MFR 3 – CSE Completes Final CAP (Change back to Cyber Security Engineering) - Part 3b</t>
  </si>
  <si>
    <t>Submit Vulnerability Management Plan for internal peer review</t>
  </si>
  <si>
    <t>Implement Profile Portability: MFR 3 – CSE Completes Final CAP</t>
  </si>
  <si>
    <t>#1000483</t>
  </si>
  <si>
    <t>Implement Profile Portability: MFR 3 – CSE Performs initial Cybersecurity Assessment</t>
  </si>
  <si>
    <t>#1000476</t>
  </si>
  <si>
    <t>Feature 396492: MFR 1 – Dev Team Performs Cybersecurity Assessment - 13.6</t>
  </si>
  <si>
    <t>CSE PWI Triage/Assessment Support - fix GIS PWIs Formatting</t>
  </si>
  <si>
    <t>Feature 369623: IA - Support of GPS Trade Study - NTP Server/GPS</t>
  </si>
  <si>
    <t>Feature 390286: Coordinate BlueSheet effort</t>
  </si>
  <si>
    <t>Feature 390286: Coordinate audit/update of default passwords for suspect devices (Part 2)</t>
  </si>
  <si>
    <t>&lt;Feature xxx&gt;: MFR 2 – Cyber Completes Final CAP</t>
  </si>
  <si>
    <t>Feature 390286: Deployment Notes and Operator Impact Inputs (tied to Account Maint Plan (GS AMP) Update Story) - 13.3</t>
  </si>
  <si>
    <t>Provide support for performing ACAS pre-MFR3 assessment for Nutanix in Vlab</t>
  </si>
  <si>
    <t>Feature 390286: FEP analysis and testing for improved resilliency</t>
  </si>
  <si>
    <t>Feature 390286: Coordinate audit/update of default passwords for suspect devices (Part 1)</t>
  </si>
  <si>
    <t>Feature 390286: Support MPCs to update the WIN10 Workstation CI SVD portion of this BLUESHEET effort (Part 1) - 13.4</t>
  </si>
  <si>
    <t>Add Configuration Management Section to Vulnerabiity Management Plan</t>
  </si>
  <si>
    <t>Complete Draft Vulnerability Management Plan for PMW146 review.</t>
  </si>
  <si>
    <t>Submit Vulnerability Management Plan to PMW</t>
  </si>
  <si>
    <t>Support Code Collaborator Reviews - Sprint 7</t>
  </si>
  <si>
    <t>Feature 390286: MPC preparation to deploy NetBIOS and LLMNR fix</t>
  </si>
  <si>
    <t>Feature 390286: NTLMv2 removal impact</t>
  </si>
  <si>
    <t>Feature 384036: Present specific STIG methodology to customer</t>
  </si>
  <si>
    <t>Add Patch Management Section to Vulnerability Management Plan</t>
  </si>
  <si>
    <t>January 2020 Patch Deployment - Develop and finalize candidate patch target list</t>
  </si>
  <si>
    <t>Add IAVA Section to Vulnerabiity Management Plan</t>
  </si>
  <si>
    <t>October 2019 IA Patch deployment</t>
  </si>
  <si>
    <t>EAD OOC</t>
  </si>
  <si>
    <t>Feature 385856: Conversion to ACC - IA Support (Part 2) - 13.6</t>
  </si>
  <si>
    <t>Support WH Site Assessment: Trip 2 Person E1  [13.4] 12/09 to 12/13</t>
  </si>
  <si>
    <t>Lab - Polatis Switch Replacement - MFR 3 – CSE Completes Final CAP (Change back to Cyber Security Engineering) - Part 3</t>
  </si>
  <si>
    <t>Lab - Polatis Switch Replacement - MFR 3 – CSE Completes Final CAP (Change back to Cyber Security Engineering) - Part 2</t>
  </si>
  <si>
    <t>Profile Portability (Enabler): Gain NSA Concurrence (IA)</t>
  </si>
  <si>
    <t>Feature 354871: MFR 3 – CSE Performs initial Cybersecurity Assessment (part 1 of 2)</t>
  </si>
  <si>
    <t>#391385</t>
  </si>
  <si>
    <t>Feature 318430: Build ILS laptops for VLAB</t>
  </si>
  <si>
    <t>Feature 370104: TD 19-15: ULX Phase 3 Design: Placeholder for ETI effort - IA [13.7] Cyber</t>
  </si>
  <si>
    <t>Feature 370104: TD 19-15: ULX Phase 3 Design: for ETI effort - IA [13.5] Cyber</t>
  </si>
  <si>
    <t>Feature 370104: TD 19-15: ULX Phase 3 Design: Placeholder for ETI effort - IA [13.4] Cyber</t>
  </si>
  <si>
    <t>Feature 370104: TD 19-15: ULX Phase 3 Design: Placeholder for ETI effort - IA [13.2] Cyber</t>
  </si>
  <si>
    <t>Feature 370104: TD 19-15: ULX Phase 3 Design: Placeholder for ETI effort - IA [13.3] Cyber</t>
  </si>
  <si>
    <t>Feature 383332: CSE PI 13 SME Technical Support [13.6]</t>
  </si>
  <si>
    <t>Feature 383332: CSE PI 13 SME Technical Support [13.5]</t>
  </si>
  <si>
    <t>Feature 383332: CSE PI 13 SME Technical Support [13.4]</t>
  </si>
  <si>
    <t>Feature 383332: CSE PI 13 SME Technical Support [13.3]</t>
  </si>
  <si>
    <t>Feature 383332: CSE PI 13 SME Technical Support [13.2]</t>
  </si>
  <si>
    <t>Feature 383332: CSE PI 13 SME Technical Support [13.1]</t>
  </si>
  <si>
    <t>Support WH Site Assessment: Trip 2 Person G  [13.4] 12/09 to 12/13</t>
  </si>
  <si>
    <t>Support WH Site Assessment: Trip 2 Person F  [13.4] 12/05 to 12/06</t>
  </si>
  <si>
    <t>Support WH Site Assessment: Trip 2 Person F  [13.3] 12/02 to 12/04</t>
  </si>
  <si>
    <t>Support WH Site Assessment: Trip 1 Person C  [13.3] 11/21 to 11/22</t>
  </si>
  <si>
    <t>Support WH Site Assessment: Trip 1 Person C  [13.2] 11/18 to 11/20</t>
  </si>
  <si>
    <t>Feature 384036: Pre-MFR 3 – Cyber Performs initial Cybersecurity Assessment</t>
  </si>
  <si>
    <t>ISCM database design for IAVA Intake (part 3) - 13.3</t>
  </si>
  <si>
    <t>Support WH Site Assessment: Trip 2 Person D  [13.4] 12/05 to 12/13</t>
  </si>
  <si>
    <t>Support WH Site Assessment: Trip 2 Person E  [13.4] 12/05 to 12/6</t>
  </si>
  <si>
    <t>Ruiz, Dom V</t>
  </si>
  <si>
    <t>Support WH Site Assessment: Trip 1 Person B  [13.3] 11/21 to 11/22</t>
  </si>
  <si>
    <t>Support WH Site Assessment: Trip 1 Person A  [13.3] 11/21 to 11/22</t>
  </si>
  <si>
    <t>Update SP Supplement for EAD 15.0 Content</t>
  </si>
  <si>
    <t>Support WH Site Assessment: Trip 2 Person E  [13.3] 12/02 to 12/04</t>
  </si>
  <si>
    <t>Support WH Site Assessment: Trip 2 Person D  [13.3] 12/02 to 12/04</t>
  </si>
  <si>
    <t>Support WH Site Assessment: Trip 1 Person B  [13.2] 11/18 to 11/20</t>
  </si>
  <si>
    <t>Draft Vulnerability Management Plan - part 3</t>
  </si>
  <si>
    <t>EA 12.7 (archived)</t>
  </si>
  <si>
    <t>Feature 370104: TD 19-15: ULX Phase 3 Design: Placeholder for ETI effort - IA [13.1] Cyber</t>
  </si>
  <si>
    <t>Feature 390286: 802.1X investigation</t>
  </si>
  <si>
    <t>Feature 390286: SMBv1 removal impact</t>
  </si>
  <si>
    <t>Feature 390286: Update Account Maintenance Plan with improved password guidance - 13.3</t>
  </si>
  <si>
    <t>Feature 390286: Investigate LLMWR and NetBIOS Name Server restrictions</t>
  </si>
  <si>
    <t>IAVA intake and remediation planning: Analyze Gov't provided IAVAs, identify affected MUOS CIs  and determine potential security posture improvement impacts (CAT1-2s) associated with CIs - 12.2</t>
  </si>
  <si>
    <t>Feature 385422: Develop Replacement for the Backup, Recovery, and Archive System (IA)</t>
  </si>
  <si>
    <t>Future</t>
  </si>
  <si>
    <t>Update  SP Supplement related to EAD 14.0 content Part 2.</t>
  </si>
  <si>
    <t>EA 12.6 (archived)</t>
  </si>
  <si>
    <t>Compile summary of the number of instances of each software in provided list to support end customer request.</t>
  </si>
  <si>
    <t>EA 12.5 (archived)</t>
  </si>
  <si>
    <t>Feature 384136: MFR 3 – CSE Performs initial Cybersecurity Assessment (Part 1)</t>
  </si>
  <si>
    <t>Support WH Site Assessment: Trip 1 Person A  [13.2] 11/18 to 11/20</t>
  </si>
  <si>
    <t>STIG Matrix Update - part 2</t>
  </si>
  <si>
    <t>STIG Matrix Update - part 1</t>
  </si>
  <si>
    <t>Cyber May 2020 RMF ATO Data Collection</t>
  </si>
  <si>
    <t>Feature 385856: Conversion to ACC - IA Support (Part 1) - 13.4</t>
  </si>
  <si>
    <t>Updated HW SW Map for January Patch deployment</t>
  </si>
  <si>
    <t>Validate January Patches in SWIT/Vlab vs Site</t>
  </si>
  <si>
    <t>March 2020 Patch Deployment - Develop and finalize candidate patch target list</t>
  </si>
  <si>
    <t>January 2020 IA Patch deployment</t>
  </si>
  <si>
    <t>Updated HW SW Map for October Patch deployment</t>
  </si>
  <si>
    <t>update Patch SVD for all impacted systems to include any configurations changes and hostname list and MPC</t>
  </si>
  <si>
    <t>Validate Oct Patches in SWIT/Vlab vs Site</t>
  </si>
  <si>
    <t>October 2019 Patch Deployment - Finalize candidate patch target list</t>
  </si>
  <si>
    <t>Feature 385260: MFR 2 – CSE Completes Final CAP - 13.6</t>
  </si>
  <si>
    <t>#385272</t>
  </si>
  <si>
    <t>Feature 385260: MFR 2 – CSE Performs initial Cybersecurity Assessment</t>
  </si>
  <si>
    <t>#385265</t>
  </si>
  <si>
    <t>TD19-10: Prepare AWARE MFR 2 Package for SC</t>
  </si>
  <si>
    <t>Feature 369509: Complete updates in the IA section in the Capability Design Document based on changes late in PI-12</t>
  </si>
  <si>
    <t>Review and analyze scan data for EAD 14.0 MFR - 12.5</t>
  </si>
  <si>
    <t>Feature 382682: Review Cyber Posture Assessment with Stakeholders</t>
  </si>
  <si>
    <t>ISCM database design - import the archived RAR</t>
  </si>
  <si>
    <t xml:space="preserve">Feature 341770: IA - Stakeholders review  - Dave   </t>
  </si>
  <si>
    <t>Feature 341770: IA - Stakeholders review  - Kent</t>
  </si>
  <si>
    <t>Feature 341770: IA - Review Support  - Dave - Part 2</t>
  </si>
  <si>
    <t>Feature 341770: IA - Review Updates - Kent - Part 2</t>
  </si>
  <si>
    <t xml:space="preserve">Feature 341770: IA - Review Support  - Dave - Part 1   </t>
  </si>
  <si>
    <t>Feature 341770: IA - Review Updates - Kent - Part 1</t>
  </si>
  <si>
    <t>ISCM database design for IAVA Intake (part 2) - 13.2</t>
  </si>
  <si>
    <t>ISCM database design for IAVA Intake (part 1) - 13.1</t>
  </si>
  <si>
    <t>#384069</t>
  </si>
  <si>
    <t>Feature 383908: MFR 3  CSE Completes Final CAP (Change back to Cyber Security Engineering)</t>
  </si>
  <si>
    <t>#383925</t>
  </si>
  <si>
    <t>Feature 341770: IA - Determine IDS Solution - support</t>
  </si>
  <si>
    <t>EA 12.4 (archived)</t>
  </si>
  <si>
    <t>Feature 383332: CSE PI 13 SME Technical Support [13.7]</t>
  </si>
  <si>
    <t>Support RMF IATT effort for call banks - PI-12.4</t>
  </si>
  <si>
    <t>update Patch SVD for all impacted systems to include any configurations changes and hostname list and MPC - 12.4</t>
  </si>
  <si>
    <t>Feature 341770: IA - Determine IDS Solution - Part 2</t>
  </si>
  <si>
    <t>Cyber PWI Triage/Assessment Support - PI 13</t>
  </si>
  <si>
    <t>CSE PWI Triage/Assessment Support - 13.7</t>
  </si>
  <si>
    <t>CSE PWI Triage/Assessment Support - 13.6</t>
  </si>
  <si>
    <t>CSE PWI Triage/Assessment Support - 13.1 (Chris)</t>
  </si>
  <si>
    <t>CSE PWI Triage/Assessment Support - 13.4</t>
  </si>
  <si>
    <t>CSE PWI Triage/Assessment Support - 13.3</t>
  </si>
  <si>
    <t>CSE PWI Triage/Assessment Support - 13.2</t>
  </si>
  <si>
    <t>CSE PWI Triage/Assessment Support - 13.1</t>
  </si>
  <si>
    <t>&lt;Feature 381659&gt; IA Posture Assessment</t>
  </si>
  <si>
    <t>#381665</t>
  </si>
  <si>
    <t>&lt;Feature 381627&gt; IA Posture Assessment</t>
  </si>
  <si>
    <t>#381633</t>
  </si>
  <si>
    <t>Feature 381608: IA Posture Assessment</t>
  </si>
  <si>
    <t>#381614</t>
  </si>
  <si>
    <t>Support Code Collaborator Reviews - Sprint 6</t>
  </si>
  <si>
    <t>Support Code Collaborator Reviews - Sprint 5</t>
  </si>
  <si>
    <t>Support Code Collaborator Reviews - Sprint 4</t>
  </si>
  <si>
    <t>Support Code Collaborator Reviews - Sprint 3</t>
  </si>
  <si>
    <t>Support Code Collaborator Reviews - Sprint 2</t>
  </si>
  <si>
    <t>Support Code Collaborator Reviews - Sprint 1</t>
  </si>
  <si>
    <t>Support application review for DADMs applicability - Will</t>
  </si>
  <si>
    <t>EA 12.3 (archived)</t>
  </si>
  <si>
    <t>Support application review for DADMs applicability - Randy</t>
  </si>
  <si>
    <t>Cyber Sustainment IA Patching - PI 13</t>
  </si>
  <si>
    <t>Support application review for DADMs applicability - 13.7</t>
  </si>
  <si>
    <t>Support application review for DADMs applicability - 13.6</t>
  </si>
  <si>
    <t>Support application review for DADMs applicability - 13.5</t>
  </si>
  <si>
    <t>Support application review for DADMs applicability - 13.4</t>
  </si>
  <si>
    <t>Support application review for DADMs applicability - 13.3</t>
  </si>
  <si>
    <t>Support application review for DADMs applicability - 13.2</t>
  </si>
  <si>
    <t>Support application review for DADMs applicability - 13.1</t>
  </si>
  <si>
    <t>Update and review with customer MFR for EAD 15.0</t>
  </si>
  <si>
    <t>Update ACAS Scan Limitations White Paper - EAD 15</t>
  </si>
  <si>
    <t>Review and analyze scan data for EAD 15.0 MFR</t>
  </si>
  <si>
    <t>Generate and review with customer MFR for EAD 15.0</t>
  </si>
  <si>
    <t>MFR EAD 15 Support - Continuing Support</t>
  </si>
  <si>
    <t>Cyber EAD 15 MFR Support (Recurring)</t>
  </si>
  <si>
    <t>Update RMF artifact (e.g., RAR, POAM) based on monthly site scans - 13.4</t>
  </si>
  <si>
    <t>Update RMF artifact (e.g., RAR, POAM) based on monthly site scans - 13.2</t>
  </si>
  <si>
    <t>December Updates to IA Repository</t>
  </si>
  <si>
    <t>November Updates to IA Repository</t>
  </si>
  <si>
    <t>October Updates to IA Repository</t>
  </si>
  <si>
    <t>IAVA Intake - 13.7</t>
  </si>
  <si>
    <t>IAVA Intake - 13.6</t>
  </si>
  <si>
    <t>IAVA Intake - 13.5</t>
  </si>
  <si>
    <t>IAVA Intake - 13.4</t>
  </si>
  <si>
    <t>IAVA Intake - 13.3</t>
  </si>
  <si>
    <t>IAVA Intake - 13.2</t>
  </si>
  <si>
    <t>IAVA Intake - 13.1</t>
  </si>
  <si>
    <t>Cyber Sustainment Activities (Recurring)</t>
  </si>
  <si>
    <t>Feature 380598: IA Posture Assessment</t>
  </si>
  <si>
    <t>#380604</t>
  </si>
  <si>
    <t>Feature 355738: ETISP Manager Information Assurance - part 2</t>
  </si>
  <si>
    <t>Connected Aware IA Posture Improvement: Initial Assessment Support - MARIA DB on Linux - 12.2</t>
  </si>
  <si>
    <t>EA 12.2 (archived)</t>
  </si>
  <si>
    <t>Develop guidelines for CyberSecurity Assessment</t>
  </si>
  <si>
    <t>EA 12.1 (archived)</t>
  </si>
  <si>
    <t>Update Node Config for IA patches - 12.4</t>
  </si>
  <si>
    <t>#1004246</t>
  </si>
  <si>
    <t>Feature 318430 ETT: support  IA Patching and STIGs Assessment (Initial Assessment - part 2)</t>
  </si>
  <si>
    <t>Feature 318430 ETT: support  IA Patching and STIGs Assessment (Initial Assessment)</t>
  </si>
  <si>
    <t>Draft Vulnerability Management Plan (VMP) - part 1</t>
  </si>
  <si>
    <t>Map CAT I CSI findings to POA&amp;M -  Part 2 - 12.3</t>
  </si>
  <si>
    <t>CM Release Work for August 2019 IA Patching</t>
  </si>
  <si>
    <t>Feature 341770: IA - Define Requirements and Design of IDS (Part 1)</t>
  </si>
  <si>
    <t>Feature 369613: IA - Support of Load Balancer Trade Study</t>
  </si>
  <si>
    <t>Feature 369358: IA - Posture Assessment Pt 2</t>
  </si>
  <si>
    <t>Support RMF IATT effort for call banks - PI-12.1</t>
  </si>
  <si>
    <t>Support RMF IATT effort for call banks - PI-12.3</t>
  </si>
  <si>
    <t>Connected Aware IA Posture Improvement: Initial Assessment Support - MARIA DB on Linux - 12.1</t>
  </si>
  <si>
    <t>IA Patching SVD Clean-up: October 2019 Deployment</t>
  </si>
  <si>
    <t>CSE PWI Triage/Assessment Support - PI 12.7</t>
  </si>
  <si>
    <t>CSE PWI Triage/Assessment Support - PI 12.5</t>
  </si>
  <si>
    <t>CSE PWI Triage/Assessment Support - PI 12.4</t>
  </si>
  <si>
    <t>Update Splunk servers to RHEL 7.x: IA Support EA 12.1 (Kent)</t>
  </si>
  <si>
    <t>Support RMF IATT effort for call banks - PI-12</t>
  </si>
  <si>
    <t>Update RMF artifact (e.g., RAR, POAM) based on monthly high side site scans - 12.6</t>
  </si>
  <si>
    <t>Feature 355738: ETISP Manager Information Assurance</t>
  </si>
  <si>
    <t>Feature 364204: MAGIC support of MFR 3 process after Connected AWARE package is submitted</t>
  </si>
  <si>
    <t>Feature 364204: CSE support of MFR 3 process after Connected AWARE package is submitted</t>
  </si>
  <si>
    <t>Feature 318430 ETT: Review DADMS status</t>
  </si>
  <si>
    <t>Feature 368267: CSE Review of HBSS Design Document</t>
  </si>
  <si>
    <t>Feature 368267: IA - Communicate HBSS ePO Design to PMW IA Stakeholders</t>
  </si>
  <si>
    <t>#369817</t>
  </si>
  <si>
    <t>Feature 369358: IA - Posture Assessment</t>
  </si>
  <si>
    <t>#372862</t>
  </si>
  <si>
    <t>Feature 369358: IA - Define Patch / STIG Requirements</t>
  </si>
  <si>
    <t>Draft Vulnerability Management Plan - part 2</t>
  </si>
  <si>
    <t>Update Topology Diagram with CDS information</t>
  </si>
  <si>
    <t>Review PMW draft patch Strategy - Part 2</t>
  </si>
  <si>
    <t>Review PMW draft IA Patch Strategy - Part 1</t>
  </si>
  <si>
    <t>Update WVPA metric and spreadsheet - 12.4</t>
  </si>
  <si>
    <t>Map CAT I CSI findings to POA&amp;M - Part 3</t>
  </si>
  <si>
    <t>Map CAT I CSI findings to POA&amp;M -  Part 1 - 12.3</t>
  </si>
  <si>
    <t>Develop ACAS white paper impact statement - 12.7</t>
  </si>
  <si>
    <t>Support PMW Validator development of refined ACAS scanning plan</t>
  </si>
  <si>
    <t>Cyber Sustainment RMF Step 6  - GD  support to PMW-146</t>
  </si>
  <si>
    <t>A. Review and validate the patch findings from the site and SWIT and VLAB</t>
  </si>
  <si>
    <t>Feature 371344: IA - Complete reviews of trade study</t>
  </si>
  <si>
    <t>ISCM database design - 12.4</t>
  </si>
  <si>
    <t>ISCM database design - 12.6</t>
  </si>
  <si>
    <t>ISCM database design - 12.3</t>
  </si>
  <si>
    <t>ISCM database design - 12.2</t>
  </si>
  <si>
    <t>Feature 341770: IA: Deployment Phased Approach Definition (IDS)</t>
  </si>
  <si>
    <t>ISCM metrics investigation</t>
  </si>
  <si>
    <t>Update RMF artifact (e.g., RAR, POAM) based on monthly high side site scans - 12.3</t>
  </si>
  <si>
    <t>Update RMF artifact (e.g., RAR, POAM) based on monthly low side site scans - 12.1</t>
  </si>
  <si>
    <t>September Updates to IA Repository</t>
  </si>
  <si>
    <t>August Updates to IA Repository</t>
  </si>
  <si>
    <t>July Updates to IA Repository</t>
  </si>
  <si>
    <t>IAVA intake and remediation planning: Analyze Gov't provided IAVAs, identify affected MUOS CIs  and determine potential security posture improvement impacts (CAT1-2s) associated with CIs - 12.5</t>
  </si>
  <si>
    <t>IAVA intake and remediation planning: Analyze Gov't provided IAVAs, identify affected MUOS CIs  and determine potential security posture improvement impacts (CAT1-2s) associated with CIs - 12.4</t>
  </si>
  <si>
    <t>IAVA intake and remediation planning: Analyze Gov't provided IAVAs, identify affected MUOS CIs  and determine potential security posture improvement impacts (CAT1-2s) associated with CIs - 12.3</t>
  </si>
  <si>
    <t>IAVA intake and remediation planning: Analyze Gov't provided IAVAs, identify affected MUOS CIs  and determine potential security posture improvement impacts (CAT1-2s) associated with CIs - 12.1</t>
  </si>
  <si>
    <t>Cyber sustainment scans, IAVA, tools, RMF ATO updates  - PI 12</t>
  </si>
  <si>
    <t>Support application review for DADMs applicability</t>
  </si>
  <si>
    <t>Update and review with customer MFR for EAD 14.0</t>
  </si>
  <si>
    <t>Update and review with customer MFR for EAD 13.0</t>
  </si>
  <si>
    <t>Provide RMF artifact updates related to scans received from the sites - 12.5</t>
  </si>
  <si>
    <t>Update ACAS Scan Limitations White Paper - EAD 14</t>
  </si>
  <si>
    <t>Review and analyze scan data for EAD 14.0 MFR - 12.4</t>
  </si>
  <si>
    <t>Update  SP Supplement related to EAD 14.0 content Part 1.</t>
  </si>
  <si>
    <t>Support customer during EAD 14.0 MFR generation/approval period</t>
  </si>
  <si>
    <t>Support customer during EAD 13.0 MFR generation/approval period</t>
  </si>
  <si>
    <t>Generate and review with customer MFR for EAD 14.0</t>
  </si>
  <si>
    <t>Feature 371037  SV Relocation: Create IA Posture Assessment</t>
  </si>
  <si>
    <t>#371043</t>
  </si>
  <si>
    <t>MFR 14 Support - Continuing Support</t>
  </si>
  <si>
    <t>EAD 13/14 - EAD/MFR and SP Supplement support to PMW-146 (recurring)</t>
  </si>
  <si>
    <t>October 2019 Patch Deployment - Generate candidate patch target list</t>
  </si>
  <si>
    <t>Update Patch SVDs for with redlines from site and misc cleanup - 12.6</t>
  </si>
  <si>
    <t>Updated HW SW Map for August Patch deployment - 12.5</t>
  </si>
  <si>
    <t>August 2019 IA Patch deployment</t>
  </si>
  <si>
    <t>Update IA-Server-patch-tracker spreadsheet in Clear Case w/patch bundle installed - 12.5</t>
  </si>
  <si>
    <t>Create patch bundle,  measure/sign and formally release  to CM with final  script, download bundle to protected laptop - 12.4</t>
  </si>
  <si>
    <t>VLAB Patching support for SA SME</t>
  </si>
  <si>
    <t xml:space="preserve"> Validate Patches in VLAB</t>
  </si>
  <si>
    <t>update Patch SVD for all impacted systems to include any configurations changes and hostname list and MPC - 12.3</t>
  </si>
  <si>
    <t>SWIT Patching support for TOFF SME</t>
  </si>
  <si>
    <t>Complete SWIT lab validation</t>
  </si>
  <si>
    <t>Validate Patches in SWIT</t>
  </si>
  <si>
    <t>Patching support for SA SME</t>
  </si>
  <si>
    <t>Update Patch SVDs for with redlines from site and misc cleanup - 12.1</t>
  </si>
  <si>
    <t>August 2019 Patch Deployment - Finalize candidate patch target list</t>
  </si>
  <si>
    <t>Feature 369840: Tailored ACAS scan effort oversight</t>
  </si>
  <si>
    <t>Feature 369840: Tailored ACAS scan effort 12.2 and RAN SME support</t>
  </si>
  <si>
    <t>Feature 369840: Tailored ACAS scan effort 12.1 and RAN SME support</t>
  </si>
  <si>
    <t>Feature 369840: Tailored ACAS scan effort</t>
  </si>
  <si>
    <t>Feature 369840: Tailored ACAS scan effort 12.1</t>
  </si>
  <si>
    <t>ACAS Scan tailoring for impacted RAN devices [PMR AI 220]</t>
  </si>
  <si>
    <t>Feature 368267: IA - Posture Assessment</t>
  </si>
  <si>
    <t>CSE PI 12 SME Technical Support</t>
  </si>
  <si>
    <t>Feature 369623: IA - Support of GPS Trade Study - TFDU</t>
  </si>
  <si>
    <t>Support of Fiber Optic MUX Trade Study</t>
  </si>
  <si>
    <t>Feature 369613: IA - Support of Load Balancer Trade Study - 12.2</t>
  </si>
  <si>
    <t>Feature 369608: IA - Support of HLR AuC Trade Study</t>
  </si>
  <si>
    <t xml:space="preserve">Feature 369509: update the IA section in the Capability Design Document  </t>
  </si>
  <si>
    <t>Allow Deletion of a Group Key Set from a Terminal Profile (Enabler): IA support</t>
  </si>
  <si>
    <t>Feature 368169: IA Patching and STIGs</t>
  </si>
  <si>
    <t>#368170</t>
  </si>
  <si>
    <t>Feature 368170 IA Posture Assessment and/or Address IA concerns</t>
  </si>
  <si>
    <t>#368175</t>
  </si>
  <si>
    <t>Feature 368169: IA - Define Patch/ Stig Requirements</t>
  </si>
  <si>
    <t>CSE PWI Triage/Assessment Support - PI 12.2</t>
  </si>
  <si>
    <t>Lab - Polatis Switch Replacement - MFR 3 – CSE Completes Final CAP (Change back to Cyber Security Engineering)</t>
  </si>
  <si>
    <t>Lab - Polatis Switch Replacement - IA Posture Assessment</t>
  </si>
  <si>
    <t>Draft</t>
  </si>
  <si>
    <t>Cyber Assesment laptops</t>
  </si>
  <si>
    <t>Feature 364204: gather scan/STIG data and submit MFR package</t>
  </si>
  <si>
    <t>TD19-10: Prepare AWARE MFR 3 Package for WH</t>
  </si>
  <si>
    <t>Feature 363784 OTAP Splunk: IA Posture Assessment</t>
  </si>
  <si>
    <t>#363790</t>
  </si>
  <si>
    <t>Feature 363450: IA Posture Assessment</t>
  </si>
  <si>
    <t>#363456</t>
  </si>
  <si>
    <t>Feature 363379 freq Splunk index: IA Posture Assessment</t>
  </si>
  <si>
    <t>#363385</t>
  </si>
  <si>
    <t>Feature 363298: IA Posture Assessment</t>
  </si>
  <si>
    <t>#363299</t>
  </si>
  <si>
    <t>Feature 341770: IA - Determine IDS Solution - Part 1</t>
  </si>
  <si>
    <t>Feature 341770: IA - Define Requirements and Design of IDS (Part 2)</t>
  </si>
  <si>
    <t>Cyber Sustainment August/October 2019 IA patching - PI 12</t>
  </si>
  <si>
    <t>Feature 360622: IA Posture Assessment</t>
  </si>
  <si>
    <t>#360628</t>
  </si>
  <si>
    <t>Release status report with metrics spreadsheet (for June patching)</t>
  </si>
  <si>
    <t>Problem</t>
  </si>
  <si>
    <t>Closed</t>
  </si>
  <si>
    <t>Document Instructions for applying Splunk Patch Bundles</t>
  </si>
  <si>
    <t>ATO Maintenance: FM Servers - Remove insecure telnet</t>
  </si>
  <si>
    <t>Assessing</t>
  </si>
  <si>
    <t>ATO Maintenance: FM Servers - Password Complexity</t>
  </si>
  <si>
    <t>ATO Maintenance: FM Servers - Access control (Role based, FIPS 140-2 algorithms)</t>
  </si>
  <si>
    <t>ATO Maintenance: FM Servers - Audit generation and distribution</t>
  </si>
  <si>
    <t>ATO Maintenance: FM Servers - Login banner is incorrect</t>
  </si>
  <si>
    <t>ATO Maintenance:  FM Servers - General Configuration Settings to resolve Cyber RMF Findings - part 1</t>
  </si>
  <si>
    <t>ATO Maintenance: FM Servers - Account Management Improvements</t>
  </si>
  <si>
    <t>ATO Maintenance: FM Servers - Fix Boot Device</t>
  </si>
  <si>
    <t>ATO Maintenance: FM Servers - Fix run control scripts world execution privileges</t>
  </si>
  <si>
    <t>ATO Maintenance: FM Servers - Remove .rhosts, etc. OBE</t>
  </si>
  <si>
    <t>ATO Maintenance: FM Servers - Remove insecure .rsh shell OBE</t>
  </si>
  <si>
    <t>Feature 355947: IA Posture Assessment</t>
  </si>
  <si>
    <t>#355953</t>
  </si>
  <si>
    <t>ATO Maintenance: IA Remediation for a Low Disk Space Warning on Splunk Servers</t>
  </si>
  <si>
    <t>EAD 14</t>
  </si>
  <si>
    <t>Support for AJM execution plan development</t>
  </si>
  <si>
    <t>Cancelled</t>
  </si>
  <si>
    <t>ATO Maintenance: Improve Audit Generation and Distribution on Solaris 10 Servers m11 and m12</t>
  </si>
  <si>
    <t>Cottle, Rick (NE)</t>
  </si>
  <si>
    <t>Respond to PMW Access Control Policy reccomendations</t>
  </si>
  <si>
    <t>ATO Maintenance: Fix Login Banners on Solaris 10 Servers m11 and m12</t>
  </si>
  <si>
    <t>Resolve May 2019 RMF ATO conditions based on PMW identified priorities</t>
  </si>
  <si>
    <t>Program Epic</t>
  </si>
  <si>
    <t>MUOS Approved SW List Management</t>
  </si>
  <si>
    <t>MUOS Approved HW List Management</t>
  </si>
  <si>
    <t>Feature 325227: FM Servers - General Configuration Settings to resolve Cyber RMF Findings - part 2</t>
  </si>
  <si>
    <t>Feature 352189: IA Posture Assessment</t>
  </si>
  <si>
    <t>#352195</t>
  </si>
  <si>
    <t>HBSS: Develop, Implement, and Deploy New ePO (5.9.x) - HBSS High Side</t>
  </si>
  <si>
    <t>Feature 351997: IA Posture Assessment</t>
  </si>
  <si>
    <t>#352003</t>
  </si>
  <si>
    <t>HBSS: Develop, Implement, and Deploy: New ePO and Managed Hosts - HBSS Low Side</t>
  </si>
  <si>
    <t>Feature 351977: IA Posture Assessment</t>
  </si>
  <si>
    <t>#351983</t>
  </si>
  <si>
    <t>HBSS: Generate HIPS (IPS, Firewall)/VSE Analysis and Address Findings - HBSS Low Side - NMF</t>
  </si>
  <si>
    <t>Feature 351959: IA Posture Assessment</t>
  </si>
  <si>
    <t>#351965</t>
  </si>
  <si>
    <t>HBSS: Generate HIPS (IPS, Firewall)/VSE Analysis and Address Findings - HBSS Low Side - RAF</t>
  </si>
  <si>
    <t>Feature 351942: IA Posture Assessment</t>
  </si>
  <si>
    <t>#351948</t>
  </si>
  <si>
    <t>HBSS: Generate HIPS (IPS, Firewall)/VSE Analysis and Address Findings - HBSS Low Side - SF</t>
  </si>
  <si>
    <t>HBSS: Develop, Implement, and Deploy: Identified/Applicable Mananged Hosts - MAC Module</t>
  </si>
  <si>
    <t>HBSS: Investigate/Generate the effort: Managed Hosts - McAfee Application Control (MAC)  Module</t>
  </si>
  <si>
    <t>HBSS: Develop, Implement, and Deploy: ePO - ArcSight Connector Moddule</t>
  </si>
  <si>
    <t>HBSS: Investigate/Generate the effort: ePO - ArcSight Connector Module</t>
  </si>
  <si>
    <t>HBSS: Develop, Implement, and Deploy: STIG compliance ePO - SQL DB</t>
  </si>
  <si>
    <t>HBSS: Investigate/Generate findings: STIG compliance ePO - SQL DB</t>
  </si>
  <si>
    <t>HBSS: Investigate/Generate the effort: ePO and Manage Hosts - Common, Compliant Low/High Sides Architecture</t>
  </si>
  <si>
    <t>Analyzing</t>
  </si>
  <si>
    <t>HBSS: Develop, Implement, Test, and Deploy: ePO - Policy Auditor File Integrity (FIM) Module, Win2012R2 STIGs Update, HIPS Option Policy Findings</t>
  </si>
  <si>
    <t>ATO Maintenance: Communication Session Cyber Finding for RAF and SF LB CI</t>
  </si>
  <si>
    <t>ATO Maintenance: PPSM for RAF and SF LB CI</t>
  </si>
  <si>
    <t>HBSS Compliance and Upgrades For FOUO and High Side</t>
  </si>
  <si>
    <t>Improve Solaris IA Patching SVD instructions</t>
  </si>
  <si>
    <t>Feature 350268: HBSS modules update/addition system analysis (AVE, HIPS, Policy Auditor, RSD, and EPO)</t>
  </si>
  <si>
    <t>Feature 342384 remove Adobe Reader: update HSM</t>
  </si>
  <si>
    <t>Feature 342384 remove Adobe Reader: update Windows 2012 SVD</t>
  </si>
  <si>
    <t>Feature 342384 remove Adobe Reader: update Windows 2003 SVD</t>
  </si>
  <si>
    <t>Hold Feature Review with SMEs</t>
  </si>
  <si>
    <t>Feature 342384 remove Adobe Reader: ILS IETM Development and Integration updates part 1</t>
  </si>
  <si>
    <t xml:space="preserve">Feature 342384 remove Adobe Reader: Agile Team Test (Unit Test, Install, PCR Verification, STCD Dev &amp; Test) Part 2 </t>
  </si>
  <si>
    <t>Feature 342384 remove Adobe Reader: Initiate CM PDO Processing for all CI's</t>
  </si>
  <si>
    <t>#342386</t>
  </si>
  <si>
    <t>Feature 342384: IETM Update to Remove Adobe Reader</t>
  </si>
  <si>
    <t>#342388</t>
  </si>
  <si>
    <t xml:space="preserve">Feature 342384 remove Adobe Reader: Agile Team Test (Unit Test, Install, PCR Verification, STCD Dev &amp; Test) </t>
  </si>
  <si>
    <t>Feature 342384 remove Adobe Reader: IA Patching and STIGs</t>
  </si>
  <si>
    <t>#342385</t>
  </si>
  <si>
    <t>Feature 342384 remove Adobe Reader: Deployment Notes and Operator Impact Inputs</t>
  </si>
  <si>
    <t>Feature 342384 remove Adobe Reader: Engineering IETM Development and Integration updates</t>
  </si>
  <si>
    <t>Feature 342384 remove Adobe Reader: IA Posture Assessment</t>
  </si>
  <si>
    <t>#342390</t>
  </si>
  <si>
    <t>Feature Demo – Customer Demo Event -  Feature 342384: Remediate IA Findings - remove Adobe Reader from servers</t>
  </si>
  <si>
    <t>#342387
#342389
#342391
#342392
#342394</t>
  </si>
  <si>
    <t>Feature 342384 remove Adobe Reader: IA - Define Patch/ Stig Requirements</t>
  </si>
  <si>
    <t>Feature 342384 Remediate IA Findings - remove Adobe Reader from servers</t>
  </si>
  <si>
    <t>Feature 216473: IA Patching and STIGs Part 1 of N for Change Key Mgmt A4/A7 Provisioning to be Manual Instead of Automatic</t>
  </si>
  <si>
    <t>#339787</t>
  </si>
  <si>
    <t>Feature 216473: IA Posture Assessment for Change Key Mgmt A4/A7 Provisioning to be Manual Instead of Automatic</t>
  </si>
  <si>
    <t>#339792</t>
  </si>
  <si>
    <t>Feature 216473: IA - Define Patch/ Stig Requirements for Change Key Mgmt A4/A7 Provisioning to be Manual Instead of Automatic</t>
  </si>
  <si>
    <t>Feature 339182: IA Posture Assessment for Upgrade Site Printers</t>
  </si>
  <si>
    <t>#339188</t>
  </si>
  <si>
    <t>Feature 339182: IA - Support Printer Selection</t>
  </si>
  <si>
    <t>Feature 338744: IATT Compliance &amp; IA Posture Assessment</t>
  </si>
  <si>
    <t>#339136</t>
  </si>
  <si>
    <t>Feature 338744: Define Patches/STIGs - Initial Scans</t>
  </si>
  <si>
    <t>Feature 336108: Windows 2003 NMF FCAPS Servers in FOUO and Secret Enclaves - OS Configuration</t>
  </si>
  <si>
    <t>Feature 336108: Windows 2003 NMF FCAPS Servers in FOUO and Secret Enclaves - Access Control</t>
  </si>
  <si>
    <t>Feature 336108: Windows 2003 NMF FCAPS Servers in FOUO and Secret Enclaves - SQL</t>
  </si>
  <si>
    <t>Feature 336108: Windows 2003 NMF FCAPS Servers in FOUO and Secret Enclaves - Audit and Syslog</t>
  </si>
  <si>
    <t>Feature 336108: Windows 2003 NMF FCAPS Servers in FOUO and Secret Enclaves - Remove Unneeded Services</t>
  </si>
  <si>
    <t>Feature 336108: Windows 2003 NMF FCAPS Servers in FOUO and Secret Enclaves - SSL Configuration</t>
  </si>
  <si>
    <t>Feature 336108: Windows 2003 NMF FCAPS Servers in FOUO and Secret Enclaves - Web Server Configuration</t>
  </si>
  <si>
    <t>Feature 336108: Windows 2003 NMF FCAPS Servers in FOUO and Secret Enclaves - File and Host Intrusion Protection</t>
  </si>
  <si>
    <t>Feature 336108: Windows 2003 NMF FCAPS Servers in FOUO and Secret Enclaves - Fault Management Application Replacement</t>
  </si>
  <si>
    <t>Feature 336108: Windows 2003 NMF FCAPS Servers in FOUO and Secret Enclaves - Routing Protocols</t>
  </si>
  <si>
    <t>Feature 336108: Hold Feature Review with SMEs</t>
  </si>
  <si>
    <t>Feature 336108:  Agile Team Test (Unit Test, Install, PCR Verification, STCD Dev &amp; Test) Part 3 of N</t>
  </si>
  <si>
    <t>Feature 336108: Agile Team Test (Unit Test, Install, PCR Verification, STCD Dev &amp; Test) Part 2 of N</t>
  </si>
  <si>
    <t>Feature 336108:  Initiate CM PDO Processing for all CI's</t>
  </si>
  <si>
    <t>#336110</t>
  </si>
  <si>
    <t>Feature 336108:  ILS IETM Development and Integration updates part 1 of N</t>
  </si>
  <si>
    <t>Feature 336108: ILS IETM update</t>
  </si>
  <si>
    <t>#336112</t>
  </si>
  <si>
    <t>MUOS/ILS: IETM and Documentation (CDRLs)</t>
  </si>
  <si>
    <t>Feature 336108:  Agile Team Test (Unit Test, Install, PCR Verification, STCD Dev &amp; Test) Part 1 of N</t>
  </si>
  <si>
    <t>Feature 336108:  IA Patching and STIGs Part 1 of N</t>
  </si>
  <si>
    <t>#336109</t>
  </si>
  <si>
    <t>Feature 336108: Deployment Notes and Operator Impact Inputs Part 1 of N</t>
  </si>
  <si>
    <t>Feature 336108:  Engineering IETM Development and Integration updates part 1 of N</t>
  </si>
  <si>
    <t>Feature 336108: IA Posture Assessment</t>
  </si>
  <si>
    <t>#336114</t>
  </si>
  <si>
    <t xml:space="preserve">Feature 336108: Feature Demo – Customer Demo Event </t>
  </si>
  <si>
    <t>#336111
#336113
#336115
#336116
#336120
#336121</t>
  </si>
  <si>
    <t>Feature 336108: IA - Define Patch/ Stig Requirements</t>
  </si>
  <si>
    <t>Feature 336108: Remediate IA Findings (identified Q4 2018) for Windows 2003 NMF FCAP/FCAPS servers</t>
  </si>
  <si>
    <t>Feature 335969: Solaris 9 DNS servers - Update Login Banners</t>
  </si>
  <si>
    <t>Feature 335969: Solaris 9 DNS servers - Update SNMP v3 (for default name, get bulk, etc.)</t>
  </si>
  <si>
    <t>Feature 335969: Solaris 9 DNS servers - Update Internet Transport and Routing Configurations</t>
  </si>
  <si>
    <t>Feature 335969: Solaris 9 DNS servers - Update Syslog and Audits (audit log rotations, audit password protection)</t>
  </si>
  <si>
    <t>Feature 335969: Solaris 9 DNS servers - Update OS Configuration (root account management, access control program, dynamic kernel functions)</t>
  </si>
  <si>
    <t>Feature 335969: Solaris 9 DNS servers - File Integrity and Host Protection (HBSS, system package management)</t>
  </si>
  <si>
    <t>Feature 335969: Solaris 9 DNS servers - Access Control (password complexity, password expiry, crypto, UID, GID, etc.)</t>
  </si>
  <si>
    <t>Feature 335969: Solaris 9 DNS servers - Apply NTP Updates .</t>
  </si>
  <si>
    <t>Feature 335969: Solaris 9 DNS servers - Update the Web Server Configuration (HTTP Trace/Track, Apache Server, etc.).</t>
  </si>
  <si>
    <t>Feature 335969: Solaris 9 DNS servers - Configure Run Control Script (limit execution rights)</t>
  </si>
  <si>
    <t>Feature 335969: Solaris 9 DNS servers - Remove unneeded services (rlogin, rsh, telnet, etc.)</t>
  </si>
  <si>
    <t>Feature 335969: Solaris 9 DNS servers - Update OS Configuration attributes</t>
  </si>
  <si>
    <t>Feature 335969: Solaris 9 DNS servers - Directory and File Access Controls</t>
  </si>
  <si>
    <t>Feature 335969: Solaris 9 DNS servers - Remove Host Files (.rhosts, .shosts, .host.equiv, .forward, etc.)</t>
  </si>
  <si>
    <t>Feature 335969: Solaris 9 DNS servers - Boot from Boot Device</t>
  </si>
  <si>
    <t>Feature 335969: Hold Feature Review with SMEs</t>
  </si>
  <si>
    <t>Feature 335969: Agile Team Test (Unit Test, Install, PCR Verification, STCD Dev &amp; Test) Part 3 of N</t>
  </si>
  <si>
    <t>Feature 335969: Agile Team Test (Unit Test, Install, PCR Verification, STCD Dev &amp; Test) Part 2 of N</t>
  </si>
  <si>
    <t>Feature 335969: Initiate CM PDO Processing for all CI's</t>
  </si>
  <si>
    <t>#335971</t>
  </si>
  <si>
    <t>Feature 335969: ILS IETM Development and Integration updates part 1 of N</t>
  </si>
  <si>
    <t>Feature 335969: ILS IETM update</t>
  </si>
  <si>
    <t>#335973</t>
  </si>
  <si>
    <t>Feature 335969: Agile Team Test (Unit Test, Install, PCR Verification, STCD Dev &amp; Test) Part 1 of N</t>
  </si>
  <si>
    <t>Feature 335969: IA Patching and STIGs Part 1 of N</t>
  </si>
  <si>
    <t>#335970</t>
  </si>
  <si>
    <t>Feature 335969: Deployment Notes and Operator Impact Inputs Part 1 of N</t>
  </si>
  <si>
    <t>Feature 335969: Engineering IETM Development and Integration updates part 1 of N</t>
  </si>
  <si>
    <t>Feature 335969: IA Posture Assessment</t>
  </si>
  <si>
    <t>#335975</t>
  </si>
  <si>
    <t xml:space="preserve">Feature 335969: Feature Demo – Customer Demo Event </t>
  </si>
  <si>
    <t>#335972
#335974
#335976
#335977
#335981
#335982</t>
  </si>
  <si>
    <t>Feature 335969: IA - Define Patch/ Stig Requirements</t>
  </si>
  <si>
    <t>Feature 335969: Remediate IA Findings (Identified Q4 2018) for Solaris 9 DNS Servers</t>
  </si>
  <si>
    <t>Feature 335885: Solaris 9 servers in NMF FOUO - Login Banners</t>
  </si>
  <si>
    <t>Feature 335885: Solaris 9 servers in NMF FOUO - Internet Transport and Routing configurations</t>
  </si>
  <si>
    <t>Feature 335885: Solaris 9 servers in NMF FOUO - Syslog and Audits (audit log rotations, audit password protection</t>
  </si>
  <si>
    <t>Feature 335885: Solaris 9 servers in NMF FOUO - File Integrity and Host Protection (HBSS, system package management)</t>
  </si>
  <si>
    <t>Feature 335885: Solaris 9 servers in NMF FOUO - Access Control (password complexity, password expiry, crypto, UID, GID, etc.)</t>
  </si>
  <si>
    <t>Feature 335885: Solaris 9 servers in NMF FOUO - OS Configuration (non-executable stacks, system access control, directory paths, etc.)</t>
  </si>
  <si>
    <t>Feature 335885: Solaris 9 servers in NMF FOUO - Directory Access Controls (public directories, /etc directories, ftp access, etc.)</t>
  </si>
  <si>
    <t>Feature 335885: Solaris 9 servers in NMF FOUO - NTP Updates</t>
  </si>
  <si>
    <t>Feature 335885: Solaris 9 servers in NMF FOUO - SSL Cert fixes.</t>
  </si>
  <si>
    <t>Feature 335885: Solaris 9 servers in NMF FOUO - Update Webserver Configuration</t>
  </si>
  <si>
    <t>Feature 335885: Solaris 9 servers in NMF FOUO - Remove Track/Trace for HTTP</t>
  </si>
  <si>
    <t>Feature 335885: Solaris 9 servers in NMF FOUO - Fix Citrix published applications, etc.</t>
  </si>
  <si>
    <t>Feature 335885: Solaris 9 servers in NMF FOUO - LDAP server update (fix NULL searches)</t>
  </si>
  <si>
    <t>Feature 335885: Solaris 9 servers in NMF FOUO - Configure Run Control Script</t>
  </si>
  <si>
    <t>Feature 335885: Solaris 9 servers in NMF FOUO - Remove host files</t>
  </si>
  <si>
    <t>Feature 335885: Solaris 9 servers in NMF FOUO - Boot only from boot device configuration</t>
  </si>
  <si>
    <t>Feature 335885: Solaris 9 servers in NMF FOUO - eDirectory eHost configuration changes</t>
  </si>
  <si>
    <t>Feature 335885: Solaris 9 servers in NMF FOUO - SNMP v3 Updates</t>
  </si>
  <si>
    <t>Feature 335885: Solaris 9 servers in NMF FOUO - Remove unneeded services.</t>
  </si>
  <si>
    <t>Feature 335885: Hold Feature Review with SMEs</t>
  </si>
  <si>
    <t>Feature 335885: Agile Team Test (Unit Test, Install, PCR Verification, STCD Dev &amp; Test) Part 3 of N</t>
  </si>
  <si>
    <t>Feature 335885: Agile Team Test (Unit Test, Install, PCR Verification, STCD Dev &amp; Test) Part 2 of N</t>
  </si>
  <si>
    <t>Feature 335885: Initiate CM PDO Processing for all CI's</t>
  </si>
  <si>
    <t>#335887</t>
  </si>
  <si>
    <t>Feature 335885: ILS IETM Development and Integration updates part 1 of N</t>
  </si>
  <si>
    <t>Feature 335885: ILS IETM update</t>
  </si>
  <si>
    <t>#335889</t>
  </si>
  <si>
    <t>Feature 335885:  Agile Team Test (Unit Test, Install, PCR Verification, STCD Dev &amp; Test) Part 1 of N</t>
  </si>
  <si>
    <t>Feature 335885: IA Patching and STIGs Part 1 of N</t>
  </si>
  <si>
    <t>#335886</t>
  </si>
  <si>
    <t>Feature 335885: Deployment Notes and Operator Impact Inputs Part 1 of N</t>
  </si>
  <si>
    <t>Feature 335885: Engineering IETM Development and Integration updates part 1 of N</t>
  </si>
  <si>
    <t>Feature 335885: IA Posture Assessment</t>
  </si>
  <si>
    <t>#335891</t>
  </si>
  <si>
    <t xml:space="preserve">Feature 335885: Feature Demo – Customer Demo Event </t>
  </si>
  <si>
    <t>#335888
#335890
#335892
#335893
#335897
#335898</t>
  </si>
  <si>
    <t>Feature 335885: IA - Define Patch/ Stig Requirements</t>
  </si>
  <si>
    <t>Feature 335885: Remediate IA Findings (Identified Q4 2018) for Solaris 9 NMF Ericsson servers</t>
  </si>
  <si>
    <t>Feature 332640: IA Posture Assessment for Reviewing and Incorporating Geolocation Trouble Shooting Steps into IETM Procedure</t>
  </si>
  <si>
    <t>#332646</t>
  </si>
  <si>
    <t>Feature 332289: IA Posture Assessment</t>
  </si>
  <si>
    <t>#332295</t>
  </si>
  <si>
    <t>Feature 329380: FEP - Remediate IA Findings related to NTP &amp; SNMP</t>
  </si>
  <si>
    <t>Feature 329380: FEP - Remediate IA Findings related to Link control/ssh</t>
  </si>
  <si>
    <t>Feature 329380: FEP - Remediate IA Findings related to Session Control</t>
  </si>
  <si>
    <t>Feature 329380: FEP - Remediate IA Findings related to audit data control</t>
  </si>
  <si>
    <t>Feature 329380: FEP - Remediate IA Findings related to Application &amp; Configuration Management</t>
  </si>
  <si>
    <t>Feature 329380: FEP - Remediate IA Findings related to Access Control</t>
  </si>
  <si>
    <t>Feature 329380: Hold Feature Review with SMEs</t>
  </si>
  <si>
    <t>Feature 329380: Agile Team Test (Unit Test, Install, PCR Verification, STCD Dev &amp; Test) Part 3 of N</t>
  </si>
  <si>
    <t>Feature 329380: Agile Team Test (Unit Test, Install, PCR Verification, STCD Dev &amp; Test) Part 2 of N</t>
  </si>
  <si>
    <t>Feature 329380: Initiate CM PDO Processing for all CI's</t>
  </si>
  <si>
    <t>#329382</t>
  </si>
  <si>
    <t>Feature 329380: ILS IETM Development and Integration updates part 1 of N</t>
  </si>
  <si>
    <t>Feature 329380: ILS IETM update</t>
  </si>
  <si>
    <t>#329384</t>
  </si>
  <si>
    <t>Feature 329380: Agile Team Test (Unit Test, Install, PCR Verification, STCD Dev &amp; Test) Part 1 of N</t>
  </si>
  <si>
    <t>Feature 329380: IA Patching and STIGs Part 1 of N</t>
  </si>
  <si>
    <t>#329381</t>
  </si>
  <si>
    <t>Feature 329380: Deployment Notes and Operator Impact Inputs Part 1 of N</t>
  </si>
  <si>
    <t>Feature 329380: Engineering IETM Development and Integration updates part 1 of N</t>
  </si>
  <si>
    <t>Feature 329380: IA Posture Assessment</t>
  </si>
  <si>
    <t>#329386</t>
  </si>
  <si>
    <t xml:space="preserve">Feature 329380: Feature Demo – Customer Demo Event </t>
  </si>
  <si>
    <t>#329383
#329385
#329387
#329388
#329392
#329393</t>
  </si>
  <si>
    <t>Feature 329380: IA - Define Patch/ Stig Requirements</t>
  </si>
  <si>
    <t>Feature 329380: Remediate IA Findings (identified Q2 2018) for QNX Front End Processor (FEP) devices</t>
  </si>
  <si>
    <t>Feature 328562: IA Patching and STIGs Part 1 of N</t>
  </si>
  <si>
    <t>#328563</t>
  </si>
  <si>
    <t>Feature 328562 IA Posture Assessment</t>
  </si>
  <si>
    <t>#328568</t>
  </si>
  <si>
    <t>Feature 328562: IA - Define Patch/ Stig Requirements</t>
  </si>
  <si>
    <t>MUOS SMEs help define stories/effort needed for initial set of IA Remediation Features (identified 2Q 2018)</t>
  </si>
  <si>
    <t>Feature 327823: IA Posture Assessment</t>
  </si>
  <si>
    <t>#327829</t>
  </si>
  <si>
    <t>Feature 325746:  inf Server Audit Generation and Distribution</t>
  </si>
  <si>
    <t>Feature 325746:  inf Server Account Management</t>
  </si>
  <si>
    <t>Feature 325746:  inf Server General Configuration Updates</t>
  </si>
  <si>
    <t>Feature 325746:  inf Server SQL Server Audits</t>
  </si>
  <si>
    <t>Feature 325746:  inf Server SQL Server Database Access</t>
  </si>
  <si>
    <t>Feature 325746:  inf Server SSL Certificates</t>
  </si>
  <si>
    <t>Feature 325746:  inf Server Remove Unnecessary Services, etc.</t>
  </si>
  <si>
    <t>Feature 325746:  inf Server Named Pipes Configuration</t>
  </si>
  <si>
    <t>Feature 325746:  inf Server Role Based Access Control</t>
  </si>
  <si>
    <t>Feature 325746:  inf Server Password Complexity Fixes</t>
  </si>
  <si>
    <t>Feature 325746: Hold Feature Review with SMEs</t>
  </si>
  <si>
    <t>Feature 325746: Agile Team Test (Unit Test, Install, PCR Verification, STCD Dev &amp; Test) Part 3 of N</t>
  </si>
  <si>
    <t>Feature 325746: Agile Team Test (Unit Test, Install, PCR Verification, STCD Dev &amp; Test) Part 2 of N</t>
  </si>
  <si>
    <t>Feature 325746: Initiate CM PDO Processing for all CI's</t>
  </si>
  <si>
    <t>#325748</t>
  </si>
  <si>
    <t>Feature 325746: ILS IETM Development and Integration updates part 1 of N</t>
  </si>
  <si>
    <t>Feature 325746: IETM update for Remediation of IA Findings for Windows 2012 based inf101-wh-nma server device (2Q 2018)</t>
  </si>
  <si>
    <t>#325750</t>
  </si>
  <si>
    <t>Feature 325746: Agile Team Test (Unit Test, Install, PCR Verification, STCD Dev &amp; Test) Part 1 of N</t>
  </si>
  <si>
    <t>Feature 325746: IA Patching and STIGs Part 1 of N</t>
  </si>
  <si>
    <t>#325747</t>
  </si>
  <si>
    <t>Feature 325746: Deployment Notes and Operator Impact Inputs Part 1 of N</t>
  </si>
  <si>
    <t>Feature 325746: Engineering IETM Development and Integration updates part 1 of N</t>
  </si>
  <si>
    <t>Feature 325746: IA Posture Assessment</t>
  </si>
  <si>
    <t>#325752</t>
  </si>
  <si>
    <t xml:space="preserve">Feature 325746: Feature Demo – Customer Demo Event </t>
  </si>
  <si>
    <t>#325749
#325751
#325753
#325754
#325758
#325759</t>
  </si>
  <si>
    <t>Feature 325746: IA - Define Patch/ Stig Requirements</t>
  </si>
  <si>
    <t>Feature 325746: Remediate IA Findings (identified Q2 2018) for Windows 2012 inf servers</t>
  </si>
  <si>
    <t>Feature 325227: FM Servers - SNMP configuration fix</t>
  </si>
  <si>
    <t>Feature 325227: FM Servers - SSL Certificates</t>
  </si>
  <si>
    <t>Feature 325227: FM Servers - Password Complexity</t>
  </si>
  <si>
    <t>Feature 325227: FM Servers - Access control (Role based, FIPS 140-2 algorithms)</t>
  </si>
  <si>
    <t>Feature 325227: FM Servers - Audit generation and distribution</t>
  </si>
  <si>
    <t>Feature 325227: FM Servers - Remove or disable unneeded services/apps</t>
  </si>
  <si>
    <t>Feature 325227: FM Servers - Login banner is incorrect</t>
  </si>
  <si>
    <t>Feature 325227: FM Servers - General Configuration Settings to resolve Cyber RMF Findings - part 1</t>
  </si>
  <si>
    <t>Feature 325227: FM Servers - Fix Boot Device</t>
  </si>
  <si>
    <t>Feature 325227: FM Servers - Fix run control scripts world execution privileges</t>
  </si>
  <si>
    <t>Feature 325227: FM Servers - Remove .rhosts, etc.</t>
  </si>
  <si>
    <t>Feature 325227: FM Servers - Remove insecure telnet</t>
  </si>
  <si>
    <t>Feature 325126:  inf Server Audit Generation and Distribution</t>
  </si>
  <si>
    <t>Feature 325227: FM Servers - Remove insecure .rsh shell</t>
  </si>
  <si>
    <t>Feature 325126:  Develop Replacement for Backup/Archive Client on inf Servers</t>
  </si>
  <si>
    <t>Feature 325126:  Research Suitable Replacement for Current Backup/Archive Client</t>
  </si>
  <si>
    <t>Feature 325227: Agile Team Test (Unit Test, Install, PCR Verification, STCD Dev &amp; Test) Part 3 of N</t>
  </si>
  <si>
    <t>Feature 325227: Agile Team Test (Unit Test, Install, PCR Verification, STCD Dev &amp; Test) Part 2 of N</t>
  </si>
  <si>
    <t>Feature 325227: Initiate CM PDO Processing for all CI's</t>
  </si>
  <si>
    <t>#325229</t>
  </si>
  <si>
    <t>Feature 325227: ILS IETM Development and Integration updates part 1 of N</t>
  </si>
  <si>
    <t>Feature 325227: IETM update for Remediation of IA Findings for NMS-FM Solaris 9 servers (2Q 2018)</t>
  </si>
  <si>
    <t>#325231</t>
  </si>
  <si>
    <t>Feature 325227: Agile Team Test (Unit Test, Install, PCR Verification, STCD Dev &amp; Test) Part 1 of N</t>
  </si>
  <si>
    <t>Feature 325227: IA Patching and STIGs Part 1 of N</t>
  </si>
  <si>
    <t>#325228</t>
  </si>
  <si>
    <t>Feature 325227: Deployment Notes and Operator Impact Inputs Part 1 of N</t>
  </si>
  <si>
    <t>Feature 325227: Engineering IETM Development and Integration updates part 1 of N</t>
  </si>
  <si>
    <t>Feature 325227: IA Posture Assessment</t>
  </si>
  <si>
    <t>#325233</t>
  </si>
  <si>
    <t xml:space="preserve">Feature Demo – Customer Demo Event </t>
  </si>
  <si>
    <t>#325230
#325232
#325234
#325235
#325239
#325240</t>
  </si>
  <si>
    <t>Feature 325227: IA - Define Patch/ Stig Requirements</t>
  </si>
  <si>
    <t>Feature 325227: Remediate IA Findings (identified Q2 2018) for Solaris 9 NMS-FM servers</t>
  </si>
  <si>
    <t>Feature 325126:  inf Server Account Management</t>
  </si>
  <si>
    <t>Feature 325126:  inf Server General Configuration Updates</t>
  </si>
  <si>
    <t>Feature 325142: GIS and MAS Servers - Remove unused software / disable unused ports</t>
  </si>
  <si>
    <t>Feature 325142: GIS and MAS Servers - Remove embedded authentication data</t>
  </si>
  <si>
    <t>Feature 325126:  inf Server SQL Server Audits</t>
  </si>
  <si>
    <t>Feature 325126:  inf Server SQL Server Database Access</t>
  </si>
  <si>
    <t>Feature 325142: GIS and MAS Servers - General Configuration Settings</t>
  </si>
  <si>
    <t>Feature 325126:  inf Server SSL Certificates</t>
  </si>
  <si>
    <t>Feature 325126:  inf Server Remove Unnecessary Services, etc.</t>
  </si>
  <si>
    <t>Feature 325142: GIS and MAS Servers - Audit Generation and Distribution</t>
  </si>
  <si>
    <t>Feature 325126:  inf Server Named Pipes Configuration</t>
  </si>
  <si>
    <t>Feature 325126:  inf Server Role Based Access Control</t>
  </si>
  <si>
    <t>Feature 325126:  inf Server Password Complexity Fixes</t>
  </si>
  <si>
    <t>Feature 325142: Agile Team Test (Unit Test, Install, PCR Verification, STCD Dev &amp; Test) Part 3 of N</t>
  </si>
  <si>
    <t>Feature 325142: Agile Team Test (Unit Test, Install, PCR Verification, STCD Dev &amp; Test) Part 2 of N</t>
  </si>
  <si>
    <t>Feature 325142: Initiate CM PDO Processing for all CI's</t>
  </si>
  <si>
    <t>#325144</t>
  </si>
  <si>
    <t>Feature 325142: ILS IETM Development and Integration updates part 1 of N</t>
  </si>
  <si>
    <t>Feature 325142: IETM update for Remediation of IA Findings for GIS/MAS Solaris 9 servers (2Q 2018)</t>
  </si>
  <si>
    <t>#325146</t>
  </si>
  <si>
    <t>Feature 325142: Agile Team Test (Unit Test, Install, PCR Verification, STCD Dev &amp; Test) Part 1 of N</t>
  </si>
  <si>
    <t>Feature 325142: IA Patching and STIGs Part 1 of N</t>
  </si>
  <si>
    <t>#325143</t>
  </si>
  <si>
    <t>Feature 325142: Deployment Notes and Operator Impact Inputs Part 1 of N</t>
  </si>
  <si>
    <t>Feature 325142: Engineering IETM Development and Integration updates part 1 of N</t>
  </si>
  <si>
    <t>Feature 325142: IA Posture Assessment</t>
  </si>
  <si>
    <t>#325148</t>
  </si>
  <si>
    <t>#325145
#325147
#325149
#325150
#325154
#325155</t>
  </si>
  <si>
    <t>Feature 325142: IA - Define Patch/ Stig Requirements</t>
  </si>
  <si>
    <t>Feature 325142: Remediate IA Findings (identified Q2 2018) for Solaris 9 GIS/MAS servers</t>
  </si>
  <si>
    <t>Feature 325126: Hold Feature Review with SMEs</t>
  </si>
  <si>
    <t>Feature 325126: Agile Team Test (Unit Test, Install, PCR Verification, STCD Dev &amp; Test) Part 3 of N</t>
  </si>
  <si>
    <t>Feature 325126: Agile Team Test (Unit Test, Install, PCR Verification, STCD Dev &amp; Test) Part 2 of N</t>
  </si>
  <si>
    <t>Feature 325126: Initiate CM PDO Processing for all CI's</t>
  </si>
  <si>
    <t>#325128</t>
  </si>
  <si>
    <t>Feature 325126: ILS IETM Development and Integration updates part 1 of N</t>
  </si>
  <si>
    <t>Feature 325126: IETM update for Remediation of IA Findings for Windows 2003 based inf servers (2Q 2018)</t>
  </si>
  <si>
    <t>#325130</t>
  </si>
  <si>
    <t>Feature 325126: Agile Team Test (Unit Test, Install, PCR Verification, STCD Dev &amp; Test) Part 1 of N</t>
  </si>
  <si>
    <t>Feature 325126: IA Patching and STIGs Part 1 of N</t>
  </si>
  <si>
    <t>#325127</t>
  </si>
  <si>
    <t>Feature 325126: Deployment Notes and Operator Impact Inputs Part 1 of N</t>
  </si>
  <si>
    <t>Feature 325126: Engineering IETM Development and Integration updates part 1 of N</t>
  </si>
  <si>
    <t>Feature 325126: IA Posture Assessment</t>
  </si>
  <si>
    <t>#325132</t>
  </si>
  <si>
    <t xml:space="preserve">Feature 325126: Feature Demo – Customer Demo Event </t>
  </si>
  <si>
    <t>#325129
#325131
#325133
#325134
#325138
#325139</t>
  </si>
  <si>
    <t>Feature 325126: IA - Define Patch/ Stig Requirements</t>
  </si>
  <si>
    <t>Feature 325126: Remediate IA Findings (identified Q2 2018) for Windows 2003 inf servers</t>
  </si>
  <si>
    <t>Feature 325142: GIS and MAS Servers - Access Control and Account Management Improvements</t>
  </si>
  <si>
    <t>Feature 324993: mm11/mm12 Server General Configuration Settings</t>
  </si>
  <si>
    <t>Feature 325142: GIS and MAS Servers - Update login banners</t>
  </si>
  <si>
    <t>Feature 324993: mm11/mm12 Server Run Control Scripts</t>
  </si>
  <si>
    <t>Feature 324993: mm11/mm12 Server Removal of insecure programs</t>
  </si>
  <si>
    <t>Feature 324993: mm11/mm12 Server Boot Configuration</t>
  </si>
  <si>
    <t>Feature 324993: mm11/mm12 Server rsh daemon removal</t>
  </si>
  <si>
    <t>Feature 324993: mm11/mm12 Server Audit Generation and Distribution Remedies</t>
  </si>
  <si>
    <t>Feature 324993: mm11/mm12 Server Access Control Updates</t>
  </si>
  <si>
    <t>Feature 324993: mm11/mm12 Server File Removals</t>
  </si>
  <si>
    <t>Feature 324993: mm11/mm12 Server SNMP Configuration Fixes</t>
  </si>
  <si>
    <t>Feature 325080: TTC Gateway - Configuration Updates to fix findings</t>
  </si>
  <si>
    <t>Feature 325080: TTC Gateway - Audit Generation and Distribution</t>
  </si>
  <si>
    <t>Feature 325080: TTC Gateway - Access Control and Account Management Improvements</t>
  </si>
  <si>
    <t>Feature 325080: Agile Team Test (Unit Test, Install, PCR Verification, STCD Dev &amp; Test) Part 3 of N</t>
  </si>
  <si>
    <t>Feature 325080: Agile Team Test (Unit Test, Install, PCR Verification, STCD Dev &amp; Test) Part 2 of N</t>
  </si>
  <si>
    <t>Feature 325080: Initiate CM PDO Processing for all CI's</t>
  </si>
  <si>
    <t>#325082</t>
  </si>
  <si>
    <t>Feature 325080: ILS IETM Development and Integration updates part 1 of N</t>
  </si>
  <si>
    <t>Feature 325080: ILS IETM update</t>
  </si>
  <si>
    <t>#325084</t>
  </si>
  <si>
    <t>Feature 325080: Agile Team Test (Unit Test, Install, PCR Verification, STCD Dev &amp; Test) Part 1 of N</t>
  </si>
  <si>
    <t>Feature 325080: IA Patching and STIGs Part 1 of N</t>
  </si>
  <si>
    <t>#325081</t>
  </si>
  <si>
    <t>Feature 325080: Deployment Notes and Operator Impact Inputs Part 1 of N</t>
  </si>
  <si>
    <t>Feature 325080: Engineering IETM Development and Integration updates part 1 of N</t>
  </si>
  <si>
    <t>Feature 325080: IA Posture Assessment</t>
  </si>
  <si>
    <t>#325086</t>
  </si>
  <si>
    <t>#325083
#325085
#325087
#325088
#325092
#325093</t>
  </si>
  <si>
    <t>Feature 325080: IA - Define Patch/ Stig Requirements</t>
  </si>
  <si>
    <t>Feature 325080: Remediate IA Findings (identified Q2 2018) for Linux-T400 gw01/gw02 devices</t>
  </si>
  <si>
    <t>Feature 324932: Splunk update configurations for Firefox browser</t>
  </si>
  <si>
    <t>Feature 324932: Splunk session timeouts</t>
  </si>
  <si>
    <t>Feature 324932: Splunk Add Multifactor Authentication</t>
  </si>
  <si>
    <t>Feature 324932: Splunk Low Disk Space Warning</t>
  </si>
  <si>
    <t>Feature 324993: mm11/mm12 Server Banners Not Compliant</t>
  </si>
  <si>
    <t>Feature 324932: Splunk Update Access Control and Password Complexity Configuration</t>
  </si>
  <si>
    <t>Feature 324932: Splunk Audit Generation and Distribution</t>
  </si>
  <si>
    <t>Feature 324993: Agile Team Test (Unit Test, Install, PCR Verification, STCD Dev &amp; Test) Part 3 of N</t>
  </si>
  <si>
    <t>Feature 324993: Agile Team Test (Unit Test, Install, PCR Verification, STCD Dev &amp; Test) Part 2 of N</t>
  </si>
  <si>
    <t>Feature 324993: Initiate CM PDO Processing for all CI's</t>
  </si>
  <si>
    <t>#324995</t>
  </si>
  <si>
    <t>Feature 324993: ILS IETM Development and Integration updates part 1 of N</t>
  </si>
  <si>
    <t>Feature 324993:ILS IETM update</t>
  </si>
  <si>
    <t>#324997</t>
  </si>
  <si>
    <t>Feature 324993: Agile Team Test (Unit Test, Install, PCR Verification, STCD Dev &amp; Test) Part 1 of N</t>
  </si>
  <si>
    <t>Feature 324993: IA Patching and STIGs Part 1 of N</t>
  </si>
  <si>
    <t>#324994</t>
  </si>
  <si>
    <t>Feature 324993: Deployment Notes and Operator Impact Inputs Part 1 of N</t>
  </si>
  <si>
    <t>Feature 324993: Engineering IETM Development and Integration updates part 1 of N</t>
  </si>
  <si>
    <t>Feature 324993: IA Posture Assessment</t>
  </si>
  <si>
    <t>#324999</t>
  </si>
  <si>
    <t xml:space="preserve">Feature 324993: Feature Demo – Customer Demo Event </t>
  </si>
  <si>
    <t>#324996
#324998
#325000
#325001
#325005
#325006</t>
  </si>
  <si>
    <t>Feature 324993: IA - Define Patch/ Stig Requirements</t>
  </si>
  <si>
    <t>Feature 324993: Remediate IA Findings (identified Q2 2018) for Solaris 10 mm11 and mm12 servers</t>
  </si>
  <si>
    <t>Feature 324932: Agile Team Test (Unit Test, Install, PCR Verification, STCD Dev &amp; Test) Part 3 of N</t>
  </si>
  <si>
    <t>Feature 324932: Agile Team Test (Unit Test, Install, PCR Verification, STCD Dev &amp; Test) Part 2 of N</t>
  </si>
  <si>
    <t>Feature 324932: Initiate CM PDO Processing for all CI's</t>
  </si>
  <si>
    <t>#324934</t>
  </si>
  <si>
    <t>Feature 324932: ILS IETM Development and Integration updates part 1 of N</t>
  </si>
  <si>
    <t>Feature 324932: ILS IETM update</t>
  </si>
  <si>
    <t>#324936</t>
  </si>
  <si>
    <t>Feature 324932: Agile Team Test (Unit Test, Install, PCR Verification, STCD Dev &amp; Test) Part 1 of N</t>
  </si>
  <si>
    <t>Feature 324932: IA Patching and STIGs Part 1 of N</t>
  </si>
  <si>
    <t>#324933</t>
  </si>
  <si>
    <t>Feature 324932: Deployment Notes and Operator Impact Inputs Part 1 of N</t>
  </si>
  <si>
    <t>Feature 324932: Engineering IETM Development and Integration updates part 1 of N</t>
  </si>
  <si>
    <t>Feature 324932: IA Posture Assessment</t>
  </si>
  <si>
    <t>#324938</t>
  </si>
  <si>
    <t>#324935
#324937
#324939
#324940
#324944
#324945</t>
  </si>
  <si>
    <t>Feature 324932: IA - Define Patch/ Stig Requirements</t>
  </si>
  <si>
    <t>Feature 324932: IA Remediation for Linux-based Splunk servers  (identified Q2 2018)</t>
  </si>
  <si>
    <t>Feature 324842: Load Balancers - Configure Session Timeouts in SSH</t>
  </si>
  <si>
    <t>Feature 324842: Load Balancers - remove and update untrusted SSL certificates</t>
  </si>
  <si>
    <t>Feature 324842: Configure Load Balancers for PPS correction</t>
  </si>
  <si>
    <t>Feature 324842: Upgrade Load Balancers to SNMPv3 and fix default community name configuration.</t>
  </si>
  <si>
    <t>Feature 324842: Load Balancers - Audit file generation and distribution for Load Balancers</t>
  </si>
  <si>
    <t>Feature 324842: Load Balancers - Access Control improvements and Account Management.</t>
  </si>
  <si>
    <t>Feature 324842: Agile Team Test (Unit Test, Install, PCR Verification, STCD Dev &amp; Test) Part 3 of N</t>
  </si>
  <si>
    <t>Feature 324842: Agile Team Test (Unit Test, Install, PCR Verification, STCD Dev &amp; Test) Part 2 of N</t>
  </si>
  <si>
    <t>Feature 324842: Initiate CM PDO Processing for all CI's</t>
  </si>
  <si>
    <t>#324844</t>
  </si>
  <si>
    <t>Feature 324842: ILS IETM Development and Integration updates part 1 of N</t>
  </si>
  <si>
    <t>Feature 324842: ILS IETM update</t>
  </si>
  <si>
    <t>#324846</t>
  </si>
  <si>
    <t>Feature 324842: Agile Team Test (Unit Test, Install, PCR Verification, STCD Dev &amp; Test) Part 1 of N</t>
  </si>
  <si>
    <t>Feature 324842: IA Patching and STIGs Part 1 of N</t>
  </si>
  <si>
    <t>#324843</t>
  </si>
  <si>
    <t>Feature 324842: Deployment Notes and Operator Impact Inputs Part 1 of N</t>
  </si>
  <si>
    <t>Feature 324842: Engineering IETM Development and Integration updates part 1 of N</t>
  </si>
  <si>
    <t>Feature 324842: IA Posture Assessment</t>
  </si>
  <si>
    <t>#324848</t>
  </si>
  <si>
    <t>#324845
#324847
#324849
#324850
#324854
#324855</t>
  </si>
  <si>
    <t>Feature 324842: IA - Define Patch/ Stig Requirements</t>
  </si>
  <si>
    <t>Feature 324842: Remediate IA Findings (identified Q2 2018) for RAF/SF Load Balancers</t>
  </si>
  <si>
    <t>Feature 324591: Remediate IA Findings (identified Q2 2018) for F5 BigIP DMZ Proxy/Load Balancers</t>
  </si>
  <si>
    <t>Document impacts to current Device Access Control architecture for each option</t>
  </si>
  <si>
    <t>Identify different Device Access Control options to address gaps</t>
  </si>
  <si>
    <t>Present current MUOS Device Access Control Security Functional architecture and gaps to IA and System stakeholders</t>
  </si>
  <si>
    <t>Update Device Access Control Capability Investigation document with selected options to pursue in Part 2</t>
  </si>
  <si>
    <t>Present Device Access Control options to address gaps to IA and System stakeholders</t>
  </si>
  <si>
    <t>Perform gap analysis of current MUOS Device Access Control security functional architecture</t>
  </si>
  <si>
    <t>Document current Device Access Control functional architecture - part 2</t>
  </si>
  <si>
    <t>Document current Device Access Control functional architecture - part 1</t>
  </si>
  <si>
    <t>Document Device Access Control security control mappings</t>
  </si>
  <si>
    <t>Document Device Access Control capability findings/controls/measures</t>
  </si>
  <si>
    <t>RTC feature intake</t>
  </si>
  <si>
    <t>Present completed Capability Investigation to IA and System stakeholders and update per comments</t>
  </si>
  <si>
    <t>ROM estimate associated complexity/cost/effort</t>
  </si>
  <si>
    <t>Document security posture and recommended priority</t>
  </si>
  <si>
    <t>Update functional architecture description for selected option</t>
  </si>
  <si>
    <t>Present trade results to IA and System stakeholders</t>
  </si>
  <si>
    <t>Document trade</t>
  </si>
  <si>
    <t>Document implementation options</t>
  </si>
  <si>
    <t>Investigate different options</t>
  </si>
  <si>
    <t>Present completed Capability Investigation to IA/System Stakeholders for each option for Enterprise ACAS Vulnerability Management capability investigation - Part 2</t>
  </si>
  <si>
    <t>ROM estimate for selected option for each option for Enterprise ACAS Vulnerability Management capability investigation - Part 2</t>
  </si>
  <si>
    <t>Document security posture and priority for selected option for each option for Enterprise ACAS Vulnerability Management capability investigation - Part 2</t>
  </si>
  <si>
    <t>Update architecture description for selected option for each option for Enterprise ACAS Vulnerability Management capability investigation - Part 2</t>
  </si>
  <si>
    <t>Present trade results for each option for Enterprise ACAS Vulnerability Management capability investigation - Part 2</t>
  </si>
  <si>
    <t>Document trades for each option for Enterprise ACAS Vulnerability Management capability investigation - Part 2</t>
  </si>
  <si>
    <t>Document implementation options for each option for Enterprise ACAS Vulnerability Management capability investigation - Part 2</t>
  </si>
  <si>
    <t>Investigate different options for each option for Enterprise ACAS Vulnerability Management capability investigation - Part 2</t>
  </si>
  <si>
    <t>Update document with selected options for each option for Enterprise ACAS Vulnerability Management capability investigation - Part 1</t>
  </si>
  <si>
    <t>Present options to address gaps for each option for Enterprise ACAS Vulnerability Management capability investigation - Part 1</t>
  </si>
  <si>
    <t>Document impacts for each option for each option for Enterprise ACAS Vulnerability Management capability investigation - Part 1</t>
  </si>
  <si>
    <t>Identify options to address gaps for each option for Enterprise ACAS Vulnerability Management capability investigation - Part 1</t>
  </si>
  <si>
    <t>Present architecture and gap analysis for each option for Enterprise ACAS Vulnerability Management capability investigation - Part 1</t>
  </si>
  <si>
    <t>Perform gap analysis for each option for Enterprise ACAS Vulnerability Management capability investigation - Part 1</t>
  </si>
  <si>
    <t>Document functional architecture for each option for Enterprise ACAS Vulnerability Management capability investigation - Part 1</t>
  </si>
  <si>
    <t>Document control mappings for each option for Enterprise ACAS Vulnerability Management capability investigation - Part 1</t>
  </si>
  <si>
    <t>Document findings/controls/measures for each option for Enterprise ACAS Vulnerability Management capability investigation - Part 1</t>
  </si>
  <si>
    <t>Perform Cross Domain Solutions capability investigation</t>
  </si>
  <si>
    <t>Analyze RMF priority findings, propose future IA remediation features</t>
  </si>
  <si>
    <t>Update MUOS GS security functional architecture description, incorporate completed Part 1 Cyber capability investigations</t>
  </si>
  <si>
    <t>Feature 318430 ETT: IA initial Posture Assessment</t>
  </si>
  <si>
    <t>Perform Vulnerability Management capability investigation - Part 2</t>
  </si>
  <si>
    <t>Perform Disaster Recovery capability investigation - Part 2</t>
  </si>
  <si>
    <t>Perform Asset Management capability investigation - Part 2</t>
  </si>
  <si>
    <t>#296214</t>
  </si>
  <si>
    <t>Perform Device Access Control capability investigation - Part 2</t>
  </si>
  <si>
    <t>Perform Cyber Incident Response capability investigation - Part 2</t>
  </si>
  <si>
    <t>Perform Cybersecurity Situational Awareness capability investigation - Part 2</t>
  </si>
  <si>
    <t>Feature 311386: IA Posture Assessment - review of developer input</t>
  </si>
  <si>
    <t>#311388</t>
  </si>
  <si>
    <t>Feature 311386: IA Posture Assessment</t>
  </si>
  <si>
    <t>#311393</t>
  </si>
  <si>
    <t>Unclass GDS - NMS: IA Posture Assessment - review of developer input</t>
  </si>
  <si>
    <t>#310610</t>
  </si>
  <si>
    <t>Unclass GDS - NMS IA Posture Assessment</t>
  </si>
  <si>
    <t>#310615</t>
  </si>
  <si>
    <t>Unclass GDS: Firewall/Switches/Routers: IA Posture Assessment - review of developer input</t>
  </si>
  <si>
    <t>#310579</t>
  </si>
  <si>
    <t>Unclass GDS - Firewall/Switches/Routers: IA Posture Assessment</t>
  </si>
  <si>
    <t>#310584</t>
  </si>
  <si>
    <t>Unclass GDS Workstation: IA Posture Assessment - review of developer input</t>
  </si>
  <si>
    <t>#310533</t>
  </si>
  <si>
    <t>Unclass GDS Workstation: IA Posture Assessment</t>
  </si>
  <si>
    <t>#310538</t>
  </si>
  <si>
    <t>Unclass GDS Load Balancer: IA Posture Assessment - review of developer input</t>
  </si>
  <si>
    <t>#310300</t>
  </si>
  <si>
    <t>Unclass GDS Load Balancer: IA Posture Assessment</t>
  </si>
  <si>
    <t>#310305</t>
  </si>
  <si>
    <t>Unclass GDS: IA Patching and STIGs and Risk Management Framework (RMF) Security Plan (SP) Supplement, and initial IA Posture assessment, needed 100 days prior to FRCB</t>
  </si>
  <si>
    <t>#309992</t>
  </si>
  <si>
    <t>Unclass GDS:  IA Posture Assessment and MFR needed 30 days prior to FRCB</t>
  </si>
  <si>
    <t>#309975</t>
  </si>
  <si>
    <t>Feature 302643: IA Posture Assessment - review of developer input</t>
  </si>
  <si>
    <t>EAD 10</t>
  </si>
  <si>
    <t>#302644</t>
  </si>
  <si>
    <t>Feature 302643: IA Posture Assessment</t>
  </si>
  <si>
    <t>#302649</t>
  </si>
  <si>
    <t>Feature 302184: Create IA Posture Assessment</t>
  </si>
  <si>
    <t>Feature 302184: Perform IA Scanning. STIGs, and Patching</t>
  </si>
  <si>
    <t>Feature 302184: Execute Required Scans and STIGs</t>
  </si>
  <si>
    <t>Perform Disaster Recovery capability investigation - Part 1</t>
  </si>
  <si>
    <t>Perform Cyber Incident Response capability investigation - Part 1</t>
  </si>
  <si>
    <t>Perform Device Access Control capability investigation - Part 1</t>
  </si>
  <si>
    <t>Feature 293238: IA Posture Assessment</t>
  </si>
  <si>
    <t>Perform Security Controls tracing for technical/functional controls</t>
  </si>
  <si>
    <t>Feature 294363: IA Posture Assessment - review of developer input</t>
  </si>
  <si>
    <t>#294364</t>
  </si>
  <si>
    <t>Feature 294363: IA Posture Assessment</t>
  </si>
  <si>
    <t>#294369</t>
  </si>
  <si>
    <t>Feature 238135 AMS-GS Phase 2:  IA Posture Assessment - review of developer input</t>
  </si>
  <si>
    <t>#292311</t>
  </si>
  <si>
    <t>Feature 238135 AMS-GS Phase 2:  IA Posture Assessment</t>
  </si>
  <si>
    <t>#292316</t>
  </si>
  <si>
    <t>AMS-GS Correlate Geolocation outage history: IA Posture Assessment - review of developer input</t>
  </si>
  <si>
    <t>#291672</t>
  </si>
  <si>
    <t>AMS-GS Correlate Geolocation outage history:  IA Posture Assessment</t>
  </si>
  <si>
    <t>#291677</t>
  </si>
  <si>
    <t>Feature 291060: IA Posture Assessment - review of developer input</t>
  </si>
  <si>
    <t>#291061</t>
  </si>
  <si>
    <t>Feature 291060 IA Posture Assessment</t>
  </si>
  <si>
    <t>#291066</t>
  </si>
  <si>
    <t>Feature 290983: IA Posture Assessment - review of developer input</t>
  </si>
  <si>
    <t>#290984</t>
  </si>
  <si>
    <t>Feature 290983: IA Patching and STIGs</t>
  </si>
  <si>
    <t>#290984
#290994</t>
  </si>
  <si>
    <t>Feature 290983: IA Posture Assessment</t>
  </si>
  <si>
    <t>#290989</t>
  </si>
  <si>
    <t>Feature 290983: IA Posture Assessment - development input</t>
  </si>
  <si>
    <t>Feature 290929: IA Posture Assessment - review of developer input</t>
  </si>
  <si>
    <t>#290930</t>
  </si>
  <si>
    <t>Feature 290929: IA Posture Assessment</t>
  </si>
  <si>
    <t>#290935</t>
  </si>
  <si>
    <t>Feature 290622: IA Posture Assessment - review of developer input</t>
  </si>
  <si>
    <t>#290623</t>
  </si>
  <si>
    <t>Feature 290622: IA Posture Assessment</t>
  </si>
  <si>
    <t>#290628</t>
  </si>
  <si>
    <t>Feature 290605: IA Posture Assessment - review of developer input</t>
  </si>
  <si>
    <t>#290606</t>
  </si>
  <si>
    <t>Feature 290605: IA Posture Assessment</t>
  </si>
  <si>
    <t>#290611</t>
  </si>
  <si>
    <t>Feature 290418: IA Posture Assessment - review of developer input</t>
  </si>
  <si>
    <t>#290419</t>
  </si>
  <si>
    <t>Feature 290418 IA Posture Assessment</t>
  </si>
  <si>
    <t>#290424</t>
  </si>
  <si>
    <t>IA Hardening - WannaCry XP: Initiate CM PDO Processing for the HBSS Team</t>
  </si>
  <si>
    <t>PI 06 (archived)</t>
  </si>
  <si>
    <t>IA Posture Assessment - review of developer input</t>
  </si>
  <si>
    <t>#281734</t>
  </si>
  <si>
    <t>IA Posture Assessment</t>
  </si>
  <si>
    <t>#281739</t>
  </si>
  <si>
    <t>Feature 279290: IA Posture Assessment</t>
  </si>
  <si>
    <t>#279296</t>
  </si>
  <si>
    <t>Feature 279163 IA Posture Assessment</t>
  </si>
  <si>
    <t>#279169</t>
  </si>
  <si>
    <t>AMS-GS Status Page: IA Posture Assessment</t>
  </si>
  <si>
    <t>#278552</t>
  </si>
  <si>
    <t>Perform trade studies for developing/purchasing Cyber Security Tools to be used in GD Lab and/or at site to support ongoing RMF assessments</t>
  </si>
  <si>
    <t>Bulk Key Management Key Deletion - Engineering IETM updates</t>
  </si>
  <si>
    <t>Perform Vulnerability Management capability investigation - Part 1</t>
  </si>
  <si>
    <t>Feature 275845: IA Posture Assessment</t>
  </si>
  <si>
    <t>#275851</t>
  </si>
  <si>
    <t>Feature 274096: IA Posture Assessment</t>
  </si>
  <si>
    <t>#274102</t>
  </si>
  <si>
    <t>Feature 216575  IA Patching and STIGs</t>
  </si>
  <si>
    <t>Feature 216575: IA Posture Assessment</t>
  </si>
  <si>
    <t>Splunk Infra SIEM: IA Posture Assessment</t>
  </si>
  <si>
    <t>#274073</t>
  </si>
  <si>
    <t>Splunk Infra Secure SSH: IA Posture Assessment</t>
  </si>
  <si>
    <t>#274041</t>
  </si>
  <si>
    <t>Splunk Infra Domain Accounts: IA Posture Assessment</t>
  </si>
  <si>
    <t>#273938</t>
  </si>
  <si>
    <t>Splunk Infra Fault Management: IA Posture Assessment</t>
  </si>
  <si>
    <t>#273685</t>
  </si>
  <si>
    <t>Retire Hyperion: IA Posture Assessment</t>
  </si>
  <si>
    <t>#272417</t>
  </si>
  <si>
    <t>PPA UI Cleanup: IA Posture Assessment</t>
  </si>
  <si>
    <t>#272405</t>
  </si>
  <si>
    <t>WannaCry Samba post PI5 Configuration Items: ILS IETM updates</t>
  </si>
  <si>
    <t>#272226</t>
  </si>
  <si>
    <t>Prevent unauthorized users from running real time Splunk searches IA Posture Assessment</t>
  </si>
  <si>
    <t>#272107</t>
  </si>
  <si>
    <t>RNC: GSLN Preemption: IA Posture Assessment</t>
  </si>
  <si>
    <t>#270352</t>
  </si>
  <si>
    <t>Feature 267777: IA Posture Assessment</t>
  </si>
  <si>
    <t>#267785</t>
  </si>
  <si>
    <t>DMZ SIPRNET Router Changes from DISA: IA Patching and STIGs</t>
  </si>
  <si>
    <t>#266773</t>
  </si>
  <si>
    <t>DMZ SIPRNET Router Changes from DISA:  IA Posture Assessment</t>
  </si>
  <si>
    <t>#266780</t>
  </si>
  <si>
    <t>RNC-RBS Netcool rules: IA Posture Assessment</t>
  </si>
  <si>
    <t>CDR Delivery Dashboard: IA Posture Assessment</t>
  </si>
  <si>
    <t>#263271</t>
  </si>
  <si>
    <t>PM Delivery Dashboard: IA Posture Assessment</t>
  </si>
  <si>
    <t>#263255</t>
  </si>
  <si>
    <t>Deduplicate FM data in Splunk index: IA Posture Assessment</t>
  </si>
  <si>
    <t>#263152</t>
  </si>
  <si>
    <t>Implement "Best Practices" Updates from Splunk Training: IA Posture Assessment</t>
  </si>
  <si>
    <t>#263035</t>
  </si>
  <si>
    <t>Prevent Operators from Updating GD Defined Splunk Dashboards: IA Posture Assessment</t>
  </si>
  <si>
    <t>#262633</t>
  </si>
  <si>
    <t>IA Hardening - WannaCry Windows: ILS IETM updates</t>
  </si>
  <si>
    <t>#262253</t>
  </si>
  <si>
    <t>Win10 LAPTOP Tools Update: (PI 11 IA freshness on final image - Part 1) --- Final Nessus, Microsoft Security Compliance scans and Manual STIG Checks</t>
  </si>
  <si>
    <t>RMF Step 4 - RMF System Level Continuous Monitoring (SLCM) Strategy artifact updates (GD support to PMW-146)</t>
  </si>
  <si>
    <t>AMS-GS Alarm Distribution &amp; Fault Recovery Procedures - PI7: IA Posture Assessment</t>
  </si>
  <si>
    <t>#258344</t>
  </si>
  <si>
    <t>Improve effectiveness of Splunk dashboard navigation: IA Posture Assessment and MFR content</t>
  </si>
  <si>
    <t>#251283</t>
  </si>
  <si>
    <t>Auto Logging: Create IA Posture Assessment</t>
  </si>
  <si>
    <t>#262820</t>
  </si>
  <si>
    <t>Feature 265531: IA Posture Assessment and MFR</t>
  </si>
  <si>
    <t>Create IA Posture Assesment for AddMe GSL Improvements Feature</t>
  </si>
  <si>
    <t>Develop IA Update Process</t>
  </si>
  <si>
    <t>Approved to Decompose</t>
  </si>
  <si>
    <t>TD 18-02 IGP, IA Sustainment: Ground System Components Require IA Hardening</t>
  </si>
  <si>
    <t>IA Hardening - WannaCry:  Emergency patching, remediation and mitigations of MUOS Ground System against WannaCry ransomware</t>
  </si>
  <si>
    <t>Improve RCG IA Posture for Non GD Controlled SW</t>
  </si>
  <si>
    <t>Laptop XP eradication</t>
  </si>
  <si>
    <t>&lt;Feature xxx&gt;: Initiate CM PDO Processing for all CI's</t>
  </si>
  <si>
    <t>SB Future (archived)</t>
  </si>
  <si>
    <t>#1011042</t>
  </si>
  <si>
    <t>&lt;Feature xxx&gt;- Prep and Perform Feature Demo – Customer Demo Event</t>
  </si>
  <si>
    <t>#1011028
#1011029
#1011030
#1011034
#1011037
#1011038
#1011039
#1011040
#1011041</t>
  </si>
  <si>
    <t>&lt;Feature xxx&gt;: Review the Site Functional Test Plan within STCD and get customer stakeholder approval</t>
  </si>
  <si>
    <t>#1011028</t>
  </si>
  <si>
    <t>&lt;Feature xxx&gt;: Execute STCD Feature Integration and testing including STCD updates identified</t>
  </si>
  <si>
    <t>&lt;Feature xxx&gt;: Provide Development inputs to common documents</t>
  </si>
  <si>
    <t>&lt;Feature xxx&gt;: MFR 3 – CSE Completes Final CAP (Change back to Cyber)</t>
  </si>
  <si>
    <t>#1011037</t>
  </si>
  <si>
    <t>&lt;Feature xxx&gt;: MFR 3 – Dev Team Resolves Final ACAS Scan and STIG Findings</t>
  </si>
  <si>
    <t>#1011033</t>
  </si>
  <si>
    <t>&lt;Feature xxx&gt;: ILS Incorporation of IETM updates and integration support (Change back to Falcons)</t>
  </si>
  <si>
    <t>&lt;Feature xxx&gt; UX Research and Design Support (Change back to UX Team)</t>
  </si>
  <si>
    <t>&lt;Feature xxx&gt;: Develop IETMs and Perform Development Testing</t>
  </si>
  <si>
    <t>&lt;Feature xxx&gt;:MFR 3 – Dev Team Resolves ACAS Scan and STIG Findings</t>
  </si>
  <si>
    <t>#1011032</t>
  </si>
  <si>
    <t>&lt;Feature xxx&gt;: MFR 3 - Dev Team Supports Initial Cybersecurity Assessment</t>
  </si>
  <si>
    <t>#1011031</t>
  </si>
  <si>
    <t>&lt;Feature xxx&gt;: MFR 3 – CSE Performs initial Cybersecurity Assessment</t>
  </si>
  <si>
    <t>#1011030</t>
  </si>
  <si>
    <t>&lt;Feature xxx&gt;: Perform Iterative Implementation, Integration, development Testing including updating design</t>
  </si>
  <si>
    <t>#1011027
#1011028</t>
  </si>
  <si>
    <t>&lt;Feature xxx&gt;: Provide Deployment Notes and Operator Impact Inputs</t>
  </si>
  <si>
    <t>#1011027</t>
  </si>
  <si>
    <t>&lt;Feature xxx&gt;: Create STCD and review with stakeholders</t>
  </si>
  <si>
    <t>&lt;Feature xxx&gt; Document Initial capability specification and detailed design to start Implementation</t>
  </si>
  <si>
    <t>&lt;Feature xxx&gt; Hold Feature Review with SMEs</t>
  </si>
  <si>
    <t>IA Support for DSN Gateway Capability Spec &amp; Initial Design</t>
  </si>
  <si>
    <t>Feature 1011070: Cyber PWI Triage/Assessment Support - 15.1</t>
  </si>
  <si>
    <t>Feature 1011070: Cyber PWI Triage/Assessment Support - 15.2</t>
  </si>
  <si>
    <t>Feature 1011070: Cyber PWI Triage/Assessment Support - 15.3</t>
  </si>
  <si>
    <t>Feature 1011070: Cyber PWI Triage/Assessment Support - 15.4</t>
  </si>
  <si>
    <t>Feature 1011070: Cyber PWI Triage/Assessment Support - 15.5</t>
  </si>
  <si>
    <t>Burnett, Johnathan D</t>
  </si>
  <si>
    <t>EA 13.7 (archived)</t>
  </si>
  <si>
    <t>EA 13.6 (archived)</t>
  </si>
  <si>
    <t>EA 13.4 (archived)</t>
  </si>
  <si>
    <t>EA 13.5 (archived)</t>
  </si>
  <si>
    <t>EA 13.3 (archived)</t>
  </si>
  <si>
    <t>EA 13.2 (archived)</t>
  </si>
  <si>
    <t>EA 13.1 (archived)</t>
  </si>
  <si>
    <t>Feature 384136: Develop IETM procedures based on list of identified IETM updates. Part 2</t>
  </si>
  <si>
    <t>98-P55616M RevF Version 20181214 IA Updates SVD verification is not good enough for verifying mas server</t>
  </si>
  <si>
    <t>PI 11 (archived)</t>
  </si>
  <si>
    <t>Feature 1012503: Perform SWIT testing for the patch and installation instructions of the NMS RM Guards</t>
  </si>
  <si>
    <t>Review DTA Process Document for MUOS (Feature 395373 Cyber Sustainment Activities)</t>
  </si>
  <si>
    <t>Call Bank Servers: IA Posture Improvement - Final Posture Assessment (Feature 376446)</t>
  </si>
  <si>
    <t>Feature 384136: Monitor and document HIPS and MAC exceptions identified during development of HBSS on both High and low sides. Sprint 2</t>
  </si>
  <si>
    <t>Call Bank Servers: IA Posture Improvement - Posture Assessment (Feature 376446)</t>
  </si>
  <si>
    <t>PI 06 (archived) (archived)</t>
  </si>
  <si>
    <t>PI 05 (archived) (archived)</t>
  </si>
  <si>
    <t>PI 07 (archived) (archived)</t>
  </si>
  <si>
    <t>PI 08 (archived) (archived)</t>
  </si>
  <si>
    <t>Feature 1012503: Provide UX SME support for reviewing RM Guard patch and verification instructions</t>
  </si>
  <si>
    <t>Vomocil, Jessica</t>
  </si>
  <si>
    <t>Feature 1012503: Provide IA Patching SME support for testing patch installation instructions for the RM Guards (part 2)</t>
  </si>
  <si>
    <t>Feature 1012503: Provide TOFF SME (system admin) support for patching RM Guards in the labs (part 2)</t>
  </si>
  <si>
    <t>Feature 1012503: Provide TOFF SME (system admin) support for patching RM Guards in the labs (part 1)</t>
  </si>
  <si>
    <t>Feature 1012503: Provide IA Patching SME support for testing patch installation instructions for the RM Guards (part 1)</t>
  </si>
  <si>
    <t>Feature 1012503: Create an MPC for deploying RM Guard patch to SCS</t>
  </si>
  <si>
    <t>Feature 1012503: TASK = Place the RM Guard patch installation instructions and patch CD under CM control</t>
  </si>
  <si>
    <t>Feature 1012503: Create an MPC for deploying RM Guard patch to NMS</t>
  </si>
  <si>
    <t>Feature 1012738: Provide SME support for patching GEO RM Guard</t>
  </si>
  <si>
    <t>Feature 1012503: Provide TOFF SME support for patching SCS RM Guards</t>
  </si>
  <si>
    <t>Feature 1012503: Provide SIC SME support for patching NMS RM Guards</t>
  </si>
  <si>
    <t>Black, Colin R</t>
  </si>
  <si>
    <t>Dewberry, Kirk M</t>
  </si>
  <si>
    <t>Feature 1012703: Generate patch Installation and verification instructions for the GEO RM Guard in VLAB</t>
  </si>
  <si>
    <t>Feature 1012503: Update Node Config for NMS and SCS RM Guards</t>
  </si>
  <si>
    <t>Feature 1012503: Generate patch Installation and verification instructions for the SCS RM Guards in VLAB</t>
  </si>
  <si>
    <t>Feature 1012503: Perform VLAB testing for the NMS and SCS RM Guard patch and installation instructions</t>
  </si>
  <si>
    <t>Feature 1012738: Place Zeta Under Contract to Patch Their RM Guard</t>
  </si>
  <si>
    <t>Feature 1012503: Generate patch Installation and verification instructions for the NMS RM Guards in SWIT/VLAB</t>
  </si>
  <si>
    <t>Support RMF IATT effort for call banks (Cyber) - 14.2</t>
  </si>
  <si>
    <t>Feature 1012738: Update Node Config for GEO RM Guard</t>
  </si>
  <si>
    <t>IA SME support for providing IA guidance on the MUOS SM infrastructure in the labs</t>
  </si>
  <si>
    <t>Feature 1012738: Generate patch Installation and verification instructions for the GEO RM Guards in VLAB</t>
  </si>
  <si>
    <t>Cyber: Patch NMS and SCS Radiant Mercury Guards in GD Labs</t>
  </si>
  <si>
    <t>VMP: Support PMW Comment Resolution - 14.3</t>
  </si>
  <si>
    <t>PI 17</t>
  </si>
  <si>
    <t>Kirk</t>
  </si>
  <si>
    <t>Kirk Dewberry</t>
  </si>
  <si>
    <t>IA SME support in creation and review of GFI Validation Report</t>
  </si>
  <si>
    <t>Feature 342054: MFR 2 – Cyber Performs initial Cybersecurity Assessment</t>
  </si>
  <si>
    <t>Feature 342054: MFR 2 – Cyber Completes Final CAP</t>
  </si>
  <si>
    <t>IA SME support to update the Service Management CMDB to reflect MUOS</t>
  </si>
  <si>
    <t>#1013464</t>
  </si>
  <si>
    <t>#1013457</t>
  </si>
  <si>
    <t>Feature 390286: Support MPC to Disable LLMNR and NetBIOS (Phase 1 of N)</t>
  </si>
  <si>
    <t>Feature 376446: Call Bank IATT (Linux) Cyber Support</t>
  </si>
  <si>
    <t>Disable LLMWR and NetBIOS on Windows 2003 Machines (Part 2)</t>
  </si>
  <si>
    <t>Disable LLMWR and NetBIOS on Windows 2003 Machines (Part 1)</t>
  </si>
  <si>
    <t>Scan Call Banks for RMF IATT Continuous Monitoring - 16.1</t>
  </si>
  <si>
    <t>EA 16.1</t>
  </si>
  <si>
    <t>Support RMF IATT effort for call banks (Cyber) - 15.5</t>
  </si>
  <si>
    <t>Support RMF IATT effort for call banks (Cyber) - 15.4</t>
  </si>
  <si>
    <t>Support RMF IATT effort for call banks (Cyber) - 15.3</t>
  </si>
  <si>
    <t>Support RMF IATT effort for call banks (Cyber) - 15.2</t>
  </si>
  <si>
    <t xml:space="preserve">Support RMF IATT effort for call banks (Cyber) - 15.1 </t>
  </si>
  <si>
    <t>Scan Call Banks for RMF IATT Continuous Monitoring - 16.5</t>
  </si>
  <si>
    <t>EA 16.5</t>
  </si>
  <si>
    <t>Scan Call Banks for RMF IATT Continuous Monitoring - 16.3</t>
  </si>
  <si>
    <t>EA 16.3</t>
  </si>
  <si>
    <t>Feature 1013452: MFR 3 - CSE Completes Final CAP  (Ephemeris push)</t>
  </si>
  <si>
    <t>Feature 1013452: MFR 3 - CSE Performs initial Cybersecurity Assessment  (Ephemeris push)</t>
  </si>
  <si>
    <t>Feature 384136: HBSS IETM Dry Run Support</t>
  </si>
  <si>
    <t>Support RMF IATT effort for call banks (Cyber) - 15.1</t>
  </si>
  <si>
    <t>Support Capability Specification Development</t>
  </si>
  <si>
    <t>Update Call Banks with latest patches EA 15.5</t>
  </si>
  <si>
    <t>Update Call Banks with latest patches EA 15.3</t>
  </si>
  <si>
    <t>Update Call Banks with latest patches EA 15.1</t>
  </si>
  <si>
    <t>Baseline Image Management Process Document</t>
  </si>
  <si>
    <t>Collaborate on Scan Assessment Guidance document-Part 1 (Feature 395373 Cyber Sustainment Activities)</t>
  </si>
  <si>
    <t>Feature 1012503: Document Installation Instructions for the RM Guard Patch</t>
  </si>
  <si>
    <t>VMP: Support PMW-146 Review - 14.4</t>
  </si>
  <si>
    <t>Develop Scan Assessment Guidance document-Part 1 (Feature 395373 Cyber Sustainment Activities)</t>
  </si>
  <si>
    <t>Feature 376446: IA Posture Improvement - AMS-GS Initial Assessment</t>
  </si>
  <si>
    <t>Cyber: RMF Continuous Monitoring - PI 15 (Recurring)</t>
  </si>
  <si>
    <t>Cyber: MFR Deployment Support - PI 15 (Recurring)</t>
  </si>
  <si>
    <t>Cyber: TO3 IA Patching - PI 15 (Recurring)</t>
  </si>
  <si>
    <t>&lt;Feature 377437&gt;: IA posture assessment for RF Alignment Tool on ETT Laptop</t>
  </si>
  <si>
    <t>Results</t>
  </si>
  <si>
    <t>Actual SP</t>
  </si>
  <si>
    <t>Planned SP</t>
  </si>
  <si>
    <t>Activity</t>
  </si>
  <si>
    <t>Name</t>
  </si>
  <si>
    <t>Sprint (EA x.x)</t>
  </si>
  <si>
    <t>Develop Scan Assessment Guidance document-Part 2 (Feature 395373 Cyber Sustainment Activities)</t>
  </si>
  <si>
    <t>Feature 1014595: ULX DD - IA/Cyber Support of ULX Design</t>
  </si>
  <si>
    <t>Update DADMS Disapproved Spreadsheet</t>
  </si>
  <si>
    <t>Feature 1012503: Provide SME support for testing patch installation instructions for the RM Guards (part 2)</t>
  </si>
  <si>
    <t>Feature 1006191 IA Support (Reviews and Analysis) (800-53 Controls review and Cyber System Documentation)</t>
  </si>
  <si>
    <t>Feature 1006191 IA Support (Reviews and Analysis) (MFR package preparation)</t>
  </si>
  <si>
    <t>Feature 1006191 IA Support (Reviews and Analysis) (MAS' STIGs assessment - Part 2)</t>
  </si>
  <si>
    <t>Feature 1006191 IA Support (Reviews and Analysis) (MAS' STIGs Assessment - Part 1)</t>
  </si>
  <si>
    <t>Feature 392530 - Create Patch Management Document (Part 1) 14.4</t>
  </si>
  <si>
    <t>IA Posture Improvement - AMS-GS Intermediate Assessment</t>
  </si>
  <si>
    <t>EAD 18</t>
  </si>
  <si>
    <t>EA 16.2</t>
  </si>
  <si>
    <t>EA 15.1 Total</t>
  </si>
  <si>
    <t>EA 15.2 Total</t>
  </si>
  <si>
    <t>EA 15.3 Total</t>
  </si>
  <si>
    <t>EA 15.4 Total</t>
  </si>
  <si>
    <t>EA 15.5 Total</t>
  </si>
  <si>
    <t>PI 15 Rank</t>
  </si>
  <si>
    <t>Download May and June patches, and update patching script Part B</t>
  </si>
  <si>
    <t>Update Node Config for IA patches Part B</t>
  </si>
  <si>
    <t>Download patches, and update patching script Part B</t>
  </si>
  <si>
    <t>Download patches, and update patching script Part A</t>
  </si>
  <si>
    <t>Baseline Image Management - Part 2</t>
  </si>
  <si>
    <t>Konitzer, Mike J</t>
  </si>
  <si>
    <t>Baseline Image Management - Part 1</t>
  </si>
  <si>
    <t>Complete SWIT testing for May and June Patches Part A</t>
  </si>
  <si>
    <t>Download May and June patches, and update patching script Part A</t>
  </si>
  <si>
    <t>Validate May and July Patches in SWIT/Vlab vs Site Part A</t>
  </si>
  <si>
    <t>Scan and review the patch findings from the site and SWIT and VLAB Part B</t>
  </si>
  <si>
    <t>July 2020 Patch Deployment - Develop and finalize candidate patch target list Part A</t>
  </si>
  <si>
    <t>Updated HW SW Map for May Patch deployment Part A</t>
  </si>
  <si>
    <t>Complete SWIT testing for May and June Patches Part B</t>
  </si>
  <si>
    <t>Update Node Config for IA patches Part A</t>
  </si>
  <si>
    <t>Validate May and July Patches in SWIT/Vlab vs Site Part B</t>
  </si>
  <si>
    <t>Scan and review the patch findings from the site and SWIT and VLAB Part A</t>
  </si>
  <si>
    <t>July 2020 Patch Deployment - Develop and finalize candidate patch target list Part B</t>
  </si>
  <si>
    <t>Feature 1014602: Build ULX System 1 and 2 (part 2)</t>
  </si>
  <si>
    <t>VMP: Update Scan Assessment Guidance document-Part 2b (Feature 395373 Cyber Sustainment Activities)</t>
  </si>
  <si>
    <t>Feature 392530 - Update Patch Management Document (Part 2) 14.5</t>
  </si>
  <si>
    <t>2/24: I will be on vacation from 5/26 to 5/28.</t>
  </si>
  <si>
    <t>2/24: I’ll take an additional day off (5/22) for Memorial Day weekend.</t>
  </si>
  <si>
    <t>3/3: Last email from Kent.</t>
  </si>
  <si>
    <t>Reserved for MGB</t>
  </si>
  <si>
    <t xml:space="preserve">2/25: I don’t have any plans at this time to be out of office for the dates specified other than Memorial day on 5/25. </t>
  </si>
  <si>
    <t>Generate and review with customer MFR for EAD 17.0 (Part 2)</t>
  </si>
  <si>
    <t>Generate and review with customer MFR for EAD 17.0 (Part 1)</t>
  </si>
  <si>
    <t>Dry Run May 2020 IA Patch Deployment Part B</t>
  </si>
  <si>
    <t>Dry Run May 2020 IA Patch Deployment Part A</t>
  </si>
  <si>
    <t>Mike K</t>
  </si>
  <si>
    <t>Spies, Aidan M.</t>
  </si>
  <si>
    <t>4/7: Only Memorial Day</t>
  </si>
  <si>
    <t>4/7: CSSIP Training May 4 (5 days)</t>
  </si>
  <si>
    <t>4/7: CSSIP Training</t>
  </si>
  <si>
    <t>Map Patches to Hostnames - 15.5</t>
  </si>
  <si>
    <t>Map Patches to Hostnames - 15.4</t>
  </si>
  <si>
    <t>Map Patches to Hostnames - 15.2</t>
  </si>
  <si>
    <t>Map Patches to Hostnames - 15.1</t>
  </si>
  <si>
    <t>Generate PWIs from 2020 POAM List - 15.1</t>
  </si>
  <si>
    <t>Associate Hostnames to IAVA - 15.5</t>
  </si>
  <si>
    <t>Associate Hostnames to IAVA - 15.4</t>
  </si>
  <si>
    <t>Associate Hostnames to IAVA - 15.3</t>
  </si>
  <si>
    <t>Associate Hostnames to IAVA - 15.2</t>
  </si>
  <si>
    <t>Feature 1014387:IA MFR &amp; FRCB Support ONLY (not submittal)</t>
  </si>
  <si>
    <t>SEL</t>
  </si>
  <si>
    <t>SEL (soon)</t>
  </si>
  <si>
    <t>SEL (reinstate)</t>
  </si>
  <si>
    <t>Consult with Cyber on Anonymizer Tool for Host Identification</t>
  </si>
  <si>
    <t>Update Patch Management Plan document</t>
  </si>
  <si>
    <t xml:space="preserve">
Investigate Jan 2020 Oracle/Solaris Patches</t>
  </si>
  <si>
    <t>Support PMW as Needed - 15.5</t>
  </si>
  <si>
    <t>Support PMW as Needed - 15.4</t>
  </si>
  <si>
    <t>Support PMW as Needed - 15.2</t>
  </si>
  <si>
    <t>Support PMW as Needed - 15.1</t>
  </si>
  <si>
    <t>Ted Milzarski to Consult with Cyber on transferring ACAS scan Data to SEL</t>
  </si>
  <si>
    <t>Adjudicate Findings from POAM Lists and Audits - 15.1</t>
  </si>
  <si>
    <t>Support Deploy of January Solaris Patches to Target Hosts</t>
  </si>
  <si>
    <t>Adjudicate Findings from POAM Lists and Audits - 15.4</t>
  </si>
  <si>
    <t>Adjudicate Findings from POAM Lists and Audits - 15.3</t>
  </si>
  <si>
    <t>Adjudicate Findings from POAM Lists and Audits - 15.2</t>
  </si>
  <si>
    <t>PI 15 Baseline (capture at the beginning of the Increment from the baseline tab on the Tracker spreadsheet)</t>
  </si>
  <si>
    <t>PI 15 Current plan (calculated from CyberData tab)</t>
  </si>
  <si>
    <t>PI 15 Current Actuals (Stories have to be "Done" - calculated from CyberData tab)</t>
  </si>
  <si>
    <t>Support PMW Emergent Data Calls - 15.5</t>
  </si>
  <si>
    <t>Support PMW Emergent Data Calls - 15.4</t>
  </si>
  <si>
    <t>Support PMW Emergent Data Calls - 15.3</t>
  </si>
  <si>
    <t>Support PMW Emergent Data Calls - 15.2</t>
  </si>
  <si>
    <t>Support PMW Emergent Data Calls - 15.1</t>
  </si>
  <si>
    <t>Re-apply Problem 1014745 Task for Deployment : Disable LLMWR and NetBIOS on Windows 2003 Machines (Part 1)</t>
  </si>
  <si>
    <t>Rebase and Test Problem 1014745 Story : Disable LLMWR and NetBIOS on Windows 2003 Machines (Part 1)</t>
  </si>
  <si>
    <t>PI 22</t>
  </si>
  <si>
    <t>Support PMW Emergent Data Calls - 16.5</t>
  </si>
  <si>
    <t>Support PMW Emergent Data Calls - 16.4</t>
  </si>
  <si>
    <t>EA 16.4</t>
  </si>
  <si>
    <t>Support PMW Emergent Data Calls - 16.3</t>
  </si>
  <si>
    <t>Support PMW Emergent Data Calls - 16.2</t>
  </si>
  <si>
    <t>Support PMW Emergent Data Calls - 16.1</t>
  </si>
  <si>
    <t>MFR EAD 18 Support - Continuing Support</t>
  </si>
  <si>
    <t>Update and review with customer MFR for EAD 18.0</t>
  </si>
  <si>
    <t>Update ACAS Scan Limitations White Paper - EAD 18</t>
  </si>
  <si>
    <t>Review and analyze scan data for EAD 18.0 MFR</t>
  </si>
  <si>
    <t>Generate and review with customer MFR for EAD 18.0</t>
  </si>
  <si>
    <t>Support application review for DADMs applicability - 16.5</t>
  </si>
  <si>
    <t>Support application review for DADMs applicability - 16.4</t>
  </si>
  <si>
    <t>Support application review for DADMs applicability - 16.3</t>
  </si>
  <si>
    <t>Support application review for DADMs applicability - 16.2</t>
  </si>
  <si>
    <t>Support application review for DADMs applicability - 16.1</t>
  </si>
  <si>
    <t>Support PMW as Needed - 16.5</t>
  </si>
  <si>
    <t>Support PMW as Needed - 16.4</t>
  </si>
  <si>
    <t>Support PMW as Needed - 16.3</t>
  </si>
  <si>
    <t>Support PMW as Needed - 16.2</t>
  </si>
  <si>
    <t>Support PMW as Needed - 16.1</t>
  </si>
  <si>
    <t>IAVA Intake - 16.5</t>
  </si>
  <si>
    <t>IAVA Intake - 16.4</t>
  </si>
  <si>
    <t>IAVA Intake - 16.3</t>
  </si>
  <si>
    <t>IAVA Intake - 16.2</t>
  </si>
  <si>
    <t>IAVA Intake - 16.1</t>
  </si>
  <si>
    <t>Continue work on DADMS disapproved list</t>
  </si>
  <si>
    <t>Canada FMS Capability Spec: Code Collab Review</t>
  </si>
  <si>
    <t>Canada FMS Capability Spec: authoring of key material impacts and IA sections</t>
  </si>
  <si>
    <t>Complete VlabTesting for May Deployment</t>
  </si>
  <si>
    <t>#395704</t>
  </si>
  <si>
    <t>#1014505</t>
  </si>
  <si>
    <t>July 2020 IA Patch Deployment (Kirk)</t>
  </si>
  <si>
    <t>July 2020 IA Patch Deployment (Johnathan)</t>
  </si>
  <si>
    <t>Complete SWIT Testing for May Deployment</t>
  </si>
  <si>
    <t>&lt;Feature 1021904&gt;: MFR 1  Dev Team Performs Cybersecurity Assessment</t>
  </si>
  <si>
    <t>Lab - Polatis Switch Update - MFR 3  CSE Completes Final CAP (Change back to Cyber Security Engineering)</t>
  </si>
  <si>
    <t>Lab - Polatis Switch Update - MFR 3  CSE Completes initial CAP (Change back to Cyber Security Engineering) - Part 2</t>
  </si>
  <si>
    <t>Lab - Polatis Switch Update - IA Posture Assessment</t>
  </si>
  <si>
    <t>Submit PDO for 98-P55616M – IA - SVD</t>
  </si>
  <si>
    <t>Feature 1021439: Cyber PWI Triage/Assessment Support - 16.5</t>
  </si>
  <si>
    <t>Feature 1021439: Cyber PWI Triage/Assessment Support - 16.4</t>
  </si>
  <si>
    <t>Feature 1021439: Cyber PWI Triage/Assessment Support - 16.3</t>
  </si>
  <si>
    <t>Feature 1021439: Cyber PWI Triage/Assessment Support - 16.2</t>
  </si>
  <si>
    <t>Feature 1021439: Cyber PWI Triage/Assessment Support - 16.1</t>
  </si>
  <si>
    <t>Feature 1014596: Support Channel Processor Dev (Part 3)</t>
  </si>
  <si>
    <t>Feature 1014596: Support Channel Processor Dev (Part 2)</t>
  </si>
  <si>
    <t>Feature 1014596: Support Channel Processor Dev (Part 1)</t>
  </si>
  <si>
    <t>Patch Gen 2 ETT Laptops in the Depot</t>
  </si>
  <si>
    <t>Release status report with metrics spreadsheet for July Deployment</t>
  </si>
  <si>
    <t>September 2020 Patch Deployment - Develop and finalize candidate patch target list</t>
  </si>
  <si>
    <t>Complete SWIT Testing, and complete VLAB test for July Deployment</t>
  </si>
  <si>
    <t>Download September patches, and update patching script</t>
  </si>
  <si>
    <t>Complete SWIT testing For September Patches</t>
  </si>
  <si>
    <t>Validate September Deployment Patches in SWIT/Vlab vs Site</t>
  </si>
  <si>
    <t>Updated HW SW Map for July Patch deployment</t>
  </si>
  <si>
    <t>Cyber: TO3 IA Patching - PI 16 (Recurring)</t>
  </si>
  <si>
    <t>PI 16 - Candidate</t>
  </si>
  <si>
    <t>Cyber: MFR Deployment Support - PI 16 (Recurring)</t>
  </si>
  <si>
    <t>&lt;Feature xxx&gt;: MFR 2 – Cyber Performs initial Cybersecurity Assessment</t>
  </si>
  <si>
    <t>Feature 1014597: Support ULX Manager, Mon &amp; Control Development (Part 3)</t>
  </si>
  <si>
    <t>Feature 1014597: Support ULX Manager, Mon &amp; Control Development (Part 2)</t>
  </si>
  <si>
    <t>Feature 1014602: Build ULX System 1 and 2 Cyber  (part 1)</t>
  </si>
  <si>
    <t>Feature 1014597: Support ULX Manager, Mon &amp; Control Development (Part 1)</t>
  </si>
  <si>
    <t>Cyber: RMF Continuous Monitoring - PI 16 (Recurring)</t>
  </si>
  <si>
    <t>Cross-training: Create patch bundle,  measure/sign and formally release  to CM with final  script, download bundle to protected laptop</t>
  </si>
  <si>
    <t>Cross-training (Kirk D): Create patch bundle,  measure/sign and formally release  to CM with final  script, download bundle to protected laptop</t>
  </si>
  <si>
    <t>Cyber: RMF Accreditation of Call Bank Radio System</t>
  </si>
  <si>
    <t>Investigate/Test Jan 2020 Oracle/Solaris Patches</t>
  </si>
  <si>
    <t>Feature 354871: Provide Cyber Support for NAVSOC OA Workstation upgrade</t>
  </si>
  <si>
    <t>Feature 1022616: Update Cybersecurity Assessment</t>
  </si>
  <si>
    <t>Canada FMS Capability Spec v1: IA and COMSEC</t>
  </si>
  <si>
    <t>EA 17.3</t>
  </si>
  <si>
    <t>EA 17.2</t>
  </si>
  <si>
    <t>EA 17.1</t>
  </si>
  <si>
    <t>Canada FMS Capability Design Doc: IA and COMSEC</t>
  </si>
  <si>
    <t>Feature 1022398: MFR 3 – CSE Updates CAP</t>
  </si>
  <si>
    <t>#1022411</t>
  </si>
  <si>
    <t>Feature 1022398: MFR 3 – CSE Performs initial Cybersecurity Assessment</t>
  </si>
  <si>
    <t>#1022404</t>
  </si>
  <si>
    <t>Self-Study for the Exam - Person A</t>
  </si>
  <si>
    <t>Feature 395897 :Develop Version2 of the Cybersecurity Assessment Guidance Document</t>
  </si>
  <si>
    <t>Support EAD-18 Due Diligence Cyber Assessments</t>
  </si>
  <si>
    <t>5/13: 1 day PTO 6/3</t>
  </si>
  <si>
    <t>Investigate and test Solaris 10 patches for July deployment.</t>
  </si>
  <si>
    <t>Feature 1013452: Perform initial IA Assessment of current design with CURL (Ephemeris push)</t>
  </si>
  <si>
    <t>Complete Vulnerability Assessment Guidance document-Part 3</t>
  </si>
  <si>
    <t>MUOS/Agile Teams/Alicorn</t>
  </si>
  <si>
    <t>MUOS/Agile Teams/Cyber</t>
  </si>
  <si>
    <t>MUOS/Agile Teams/Laptops</t>
  </si>
  <si>
    <t>MUOS/Agile Teams/Magic</t>
  </si>
  <si>
    <t>MUOS/Agile Teams/SIC</t>
  </si>
  <si>
    <t>MUOS/Agile Teams/System Engineering</t>
  </si>
  <si>
    <t>MUOS/Agile Teams/TOFF</t>
  </si>
  <si>
    <t>MUOS/Agile Teams/Okapi</t>
  </si>
  <si>
    <t xml:space="preserve">Feature 1004171: Perform IA Posture Assessment </t>
  </si>
  <si>
    <t>Complete the Exam - Person A</t>
  </si>
  <si>
    <t>PI 18</t>
  </si>
  <si>
    <t>MUOS</t>
  </si>
  <si>
    <t>Attend Online Training - Person A</t>
  </si>
  <si>
    <t>1023428: IAT Security Compliance Execution - PI 18</t>
  </si>
  <si>
    <t>1023424: IAT Security Compliance Execution - PI 17</t>
  </si>
  <si>
    <t>TO-8 Unclass GDS Capability Spec: IA and COMSEC</t>
  </si>
  <si>
    <t>TO-10 IA: Support NSA Discussions (PI16)</t>
  </si>
  <si>
    <t>TO-10: IA Analysis and Support</t>
  </si>
  <si>
    <t>Syring, Michael-P64348</t>
  </si>
  <si>
    <t>1022319: IAT Security Compliance Execution - PI 16</t>
  </si>
  <si>
    <t>Feature 1021169: MFR 1 – Dev Team Performs Cybersecurity Assessment</t>
  </si>
  <si>
    <t>MUOS/Agile Teams/Falcons</t>
  </si>
  <si>
    <t>MUOS/Agile Teams/Weavers</t>
  </si>
  <si>
    <t>Support Capability Specification Development (IA and Cyber Strategy)</t>
  </si>
  <si>
    <t>Cyber Support Develop Capability Design Document</t>
  </si>
  <si>
    <t>Feature 1023794: Cyber Support Develop Capability Design Document</t>
  </si>
  <si>
    <t>Feature 1014162: Cyber Support ETISP Vender Requirements and Specification</t>
  </si>
  <si>
    <t>Support RMF IATT effort for call banks (Cyber) - 16.2</t>
  </si>
  <si>
    <t>Support RMF IATT effort for call banks (Cyber) - 16.1</t>
  </si>
  <si>
    <t>Support RMF IATT effort for call banks (Systems) - 16.2</t>
  </si>
  <si>
    <t>Support RMF IATT effort for call banks (Systems) - 16.1</t>
  </si>
  <si>
    <t>Complete the Exam - Aidan Spies</t>
  </si>
  <si>
    <t>Complete the Exam - Bob Baumgartner</t>
  </si>
  <si>
    <t>MUOS/Agile Teams/Octopi</t>
  </si>
  <si>
    <t>Baumgartner, Robert-p57221</t>
  </si>
  <si>
    <t>Attend Online Training - Aidan Spies</t>
  </si>
  <si>
    <t>Attend Online Training - Bob Baumgartner</t>
  </si>
  <si>
    <t>Self-Study for the Exam - Aidan Spies</t>
  </si>
  <si>
    <t>Self-Study for the Exam - Bob Baumgartner</t>
  </si>
  <si>
    <t>Complete the Exam - Michael Valverde</t>
  </si>
  <si>
    <t>MUOS/Agile Teams/Okapi2</t>
  </si>
  <si>
    <t>Attend Online Training - Michael Valverde</t>
  </si>
  <si>
    <t>Self-Study for the Exam - Michael Valverde</t>
  </si>
  <si>
    <t>Complete the Exam - Anil Boddapati</t>
  </si>
  <si>
    <t>Boddapati, Anil</t>
  </si>
  <si>
    <t>Attend Online Training - Anil Boddapati</t>
  </si>
  <si>
    <t>Self-Study for the Exam - Anil Boddapati</t>
  </si>
  <si>
    <t>Feature 1021439: CSE PWI Triage/Assessment Support</t>
  </si>
  <si>
    <t>Canada FMS Capability Spec: Support creation of IA sections</t>
  </si>
  <si>
    <t>Feature 1016383 FM Whitelist: MFR 1 write up</t>
  </si>
  <si>
    <t>Feature 1013961: Cyber Support ETISP Capabilities Specification Development</t>
  </si>
  <si>
    <t>Re-Scan and STIG HA VM after 6/26 refresh date.</t>
  </si>
  <si>
    <t>Feature 354871: MFR 3 Ð CSE Performs initial Cybersecurity Assessment (part 2 of 2)</t>
  </si>
  <si>
    <t>Feature 354871: MFR 3 Ð CSE Completes Final CAP (Change back to Cyber Security Engineering) -  EAD 17.x</t>
  </si>
  <si>
    <t>PI 16 - In Progress</t>
  </si>
  <si>
    <t>Feature 315485 IA Posture Assessment</t>
  </si>
  <si>
    <t>#315491</t>
  </si>
  <si>
    <t>Complete Vulnerability Assessment Guidance document-Part 4</t>
  </si>
  <si>
    <t>Feature 1014602: Continue work on ULX System 15.5</t>
  </si>
  <si>
    <t>Associate IAVA to Hostnames - 16.5</t>
  </si>
  <si>
    <t>Associate IAVA to Hostnames - 16.4</t>
  </si>
  <si>
    <t>Associate IAVA to Hostnames - 16.3</t>
  </si>
  <si>
    <t>Associate IAVA to Hostnames - 16.2</t>
  </si>
  <si>
    <t>Associate IAVA to Hostnames - 16.1</t>
  </si>
  <si>
    <t>Generate initial IA posture assessment for the redesign ActiveMQ (JMS Brokers, JMS Broker security plug-in, JMS Monitors, JMS Clients)</t>
  </si>
  <si>
    <t>Re-assess the IA posture of the existing ActiveMQ (JMS Brokers, JMS Broker security plug-in, JMS Monitors, JMS Clients)</t>
  </si>
  <si>
    <t>Support Design of ERS Replacement</t>
  </si>
  <si>
    <t>MUOS/Agile Teams/WWTS</t>
  </si>
  <si>
    <t>Feature 1008506: MFR 1 – Dev Team Performs Cybersecurity Assessment</t>
  </si>
  <si>
    <t>Feature 393391: MFR 1 Ð Dev Team Performs Cybersecurity Assessment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</si>
</sst>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sz val="11"/>
      <color theme="0" tint="-0.34998626667073579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0"/>
      <color rgb="FFFFFFFF"/>
      <name val="Verdana"/>
      <family val="2"/>
    </font>
    <font>
      <sz val="11"/>
      <color rgb="FF000000"/>
      <name val="Calibri"/>
      <family val="2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9"/>
      <name val="Arial Narrow"/>
      <family val="2"/>
    </font>
    <font>
      <sz val="7"/>
      <name val="Arial"/>
      <family val="2"/>
    </font>
    <font>
      <b/>
      <sz val="9"/>
      <name val="Calibri"/>
      <family val="2"/>
      <scheme val="minor"/>
    </font>
    <font>
      <sz val="11"/>
      <name val="Tahoma"/>
      <family val="2"/>
    </font>
    <font>
      <b/>
      <sz val="11"/>
      <color rgb="FF00B050"/>
      <name val="Calibri"/>
      <family val="2"/>
    </font>
    <font>
      <sz val="11"/>
      <name val="Calibri"/>
      <family val="2"/>
    </font>
    <font>
      <sz val="11"/>
      <color rgb="FF00B050"/>
      <name val="Calibri"/>
      <family val="2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D4C89"/>
        <bgColor indexed="64"/>
      </patternFill>
    </fill>
    <fill>
      <patternFill patternType="solid">
        <fgColor rgb="FFCCD0DA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thick">
        <color rgb="FFFFFFFF"/>
      </bottom>
      <diagonal/>
    </border>
    <border>
      <left style="medium">
        <color rgb="FFFFFFFF"/>
      </left>
      <right style="medium">
        <color rgb="FFFFFFFF"/>
      </right>
      <top style="thick">
        <color rgb="FFFFFFFF"/>
      </top>
      <bottom style="medium">
        <color rgb="FFFFFFF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theme="4" tint="-0.24994659260841701"/>
      </left>
      <right style="medium">
        <color theme="3" tint="-0.24994659260841701"/>
      </right>
      <top/>
      <bottom style="medium">
        <color rgb="FFFFFFFF"/>
      </bottom>
      <diagonal/>
    </border>
    <border>
      <left style="medium">
        <color theme="3" tint="-0.24994659260841701"/>
      </left>
      <right style="medium">
        <color theme="4" tint="-0.24994659260841701"/>
      </right>
      <top/>
      <bottom style="medium">
        <color rgb="FFFFFFFF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52">
    <xf numFmtId="0" fontId="0" fillId="0" borderId="0" xfId="0"/>
    <xf numFmtId="0" fontId="0" fillId="0" borderId="0" xfId="0" applyAlignment="1"/>
    <xf numFmtId="0" fontId="0" fillId="0" borderId="0" xfId="0" applyAlignment="1">
      <alignment horizontal="right"/>
    </xf>
    <xf numFmtId="0" fontId="0" fillId="0" borderId="10" xfId="0" applyBorder="1" applyAlignment="1">
      <alignment horizontal="right"/>
    </xf>
    <xf numFmtId="0" fontId="0" fillId="0" borderId="10" xfId="0" applyBorder="1"/>
    <xf numFmtId="0" fontId="0" fillId="33" borderId="10" xfId="0" applyFill="1" applyBorder="1" applyAlignment="1"/>
    <xf numFmtId="0" fontId="0" fillId="0" borderId="10" xfId="0" applyBorder="1" applyAlignment="1"/>
    <xf numFmtId="0" fontId="0" fillId="0" borderId="10" xfId="0" applyFill="1" applyBorder="1" applyAlignment="1"/>
    <xf numFmtId="0" fontId="0" fillId="0" borderId="0" xfId="0" applyAlignment="1">
      <alignment horizontal="center"/>
    </xf>
    <xf numFmtId="0" fontId="0" fillId="0" borderId="10" xfId="0" applyFill="1" applyBorder="1"/>
    <xf numFmtId="0" fontId="0" fillId="0" borderId="10" xfId="0" applyBorder="1" applyAlignment="1">
      <alignment horizontal="center"/>
    </xf>
    <xf numFmtId="0" fontId="0" fillId="0" borderId="0" xfId="0" pivotButton="1"/>
    <xf numFmtId="0" fontId="0" fillId="0" borderId="0" xfId="0" applyNumberFormat="1"/>
    <xf numFmtId="0" fontId="0" fillId="0" borderId="10" xfId="0" applyFill="1" applyBorder="1" applyAlignment="1">
      <alignment horizontal="center"/>
    </xf>
    <xf numFmtId="0" fontId="0" fillId="0" borderId="10" xfId="0" applyBorder="1" applyAlignment="1">
      <alignment horizontal="left"/>
    </xf>
    <xf numFmtId="0" fontId="0" fillId="34" borderId="10" xfId="0" applyFill="1" applyBorder="1" applyAlignment="1">
      <alignment horizontal="right"/>
    </xf>
    <xf numFmtId="0" fontId="0" fillId="34" borderId="10" xfId="0" applyFill="1" applyBorder="1"/>
    <xf numFmtId="0" fontId="0" fillId="0" borderId="10" xfId="0" applyBorder="1" applyAlignment="1">
      <alignment horizontal="right" vertical="top"/>
    </xf>
    <xf numFmtId="0" fontId="0" fillId="0" borderId="10" xfId="0" applyBorder="1" applyAlignment="1">
      <alignment vertical="top" wrapText="1"/>
    </xf>
    <xf numFmtId="0" fontId="0" fillId="0" borderId="10" xfId="0" applyBorder="1" applyAlignment="1">
      <alignment wrapText="1"/>
    </xf>
    <xf numFmtId="0" fontId="0" fillId="0" borderId="0" xfId="0"/>
    <xf numFmtId="0" fontId="0" fillId="33" borderId="25" xfId="0" applyFill="1" applyBorder="1" applyAlignment="1"/>
    <xf numFmtId="0" fontId="0" fillId="39" borderId="12" xfId="0" applyFill="1" applyBorder="1"/>
    <xf numFmtId="0" fontId="0" fillId="33" borderId="26" xfId="0" applyFill="1" applyBorder="1"/>
    <xf numFmtId="0" fontId="0" fillId="33" borderId="27" xfId="0" applyFill="1" applyBorder="1"/>
    <xf numFmtId="0" fontId="0" fillId="0" borderId="23" xfId="0" applyBorder="1"/>
    <xf numFmtId="0" fontId="0" fillId="0" borderId="18" xfId="0" applyBorder="1"/>
    <xf numFmtId="0" fontId="0" fillId="0" borderId="28" xfId="0" applyBorder="1"/>
    <xf numFmtId="0" fontId="0" fillId="0" borderId="30" xfId="0" applyBorder="1"/>
    <xf numFmtId="0" fontId="0" fillId="0" borderId="13" xfId="0" applyBorder="1"/>
    <xf numFmtId="0" fontId="0" fillId="0" borderId="14" xfId="0" applyBorder="1"/>
    <xf numFmtId="0" fontId="0" fillId="0" borderId="29" xfId="0" applyBorder="1"/>
    <xf numFmtId="0" fontId="19" fillId="0" borderId="14" xfId="0" applyFont="1" applyBorder="1"/>
    <xf numFmtId="0" fontId="0" fillId="0" borderId="14" xfId="0" applyFill="1" applyBorder="1"/>
    <xf numFmtId="0" fontId="0" fillId="0" borderId="13" xfId="0" applyFont="1" applyBorder="1"/>
    <xf numFmtId="0" fontId="0" fillId="0" borderId="10" xfId="0" applyFont="1" applyBorder="1" applyAlignment="1">
      <alignment horizontal="center"/>
    </xf>
    <xf numFmtId="0" fontId="0" fillId="0" borderId="18" xfId="0" applyBorder="1" applyAlignment="1">
      <alignment horizontal="center"/>
    </xf>
    <xf numFmtId="0" fontId="19" fillId="0" borderId="15" xfId="0" applyFont="1" applyBorder="1"/>
    <xf numFmtId="0" fontId="0" fillId="33" borderId="15" xfId="0" applyFont="1" applyFill="1" applyBorder="1"/>
    <xf numFmtId="0" fontId="0" fillId="33" borderId="16" xfId="0" applyFont="1" applyFill="1" applyBorder="1" applyAlignment="1">
      <alignment horizontal="center"/>
    </xf>
    <xf numFmtId="0" fontId="20" fillId="0" borderId="14" xfId="0" applyFont="1" applyBorder="1"/>
    <xf numFmtId="0" fontId="19" fillId="33" borderId="17" xfId="0" applyFont="1" applyFill="1" applyBorder="1"/>
    <xf numFmtId="0" fontId="0" fillId="37" borderId="19" xfId="0" applyFill="1" applyBorder="1"/>
    <xf numFmtId="0" fontId="0" fillId="37" borderId="20" xfId="0" applyFill="1" applyBorder="1" applyAlignment="1">
      <alignment horizontal="center"/>
    </xf>
    <xf numFmtId="0" fontId="0" fillId="37" borderId="21" xfId="0" applyFill="1" applyBorder="1"/>
    <xf numFmtId="0" fontId="19" fillId="33" borderId="23" xfId="0" applyFont="1" applyFill="1" applyBorder="1"/>
    <xf numFmtId="0" fontId="16" fillId="39" borderId="12" xfId="0" applyFont="1" applyFill="1" applyBorder="1" applyAlignment="1">
      <alignment horizontal="right"/>
    </xf>
    <xf numFmtId="0" fontId="21" fillId="36" borderId="0" xfId="0" applyFont="1" applyFill="1" applyAlignment="1"/>
    <xf numFmtId="0" fontId="0" fillId="37" borderId="19" xfId="0" applyFill="1" applyBorder="1" applyAlignment="1">
      <alignment wrapText="1"/>
    </xf>
    <xf numFmtId="0" fontId="0" fillId="0" borderId="12" xfId="0" applyBorder="1" applyAlignment="1"/>
    <xf numFmtId="0" fontId="0" fillId="33" borderId="10" xfId="0" applyFill="1" applyBorder="1"/>
    <xf numFmtId="0" fontId="0" fillId="0" borderId="16" xfId="0" applyBorder="1"/>
    <xf numFmtId="0" fontId="0" fillId="0" borderId="17" xfId="0" applyBorder="1"/>
    <xf numFmtId="0" fontId="22" fillId="44" borderId="36" xfId="0" applyFont="1" applyFill="1" applyBorder="1" applyAlignment="1">
      <alignment horizontal="center" vertical="center" wrapText="1"/>
    </xf>
    <xf numFmtId="1" fontId="23" fillId="45" borderId="37" xfId="0" applyNumberFormat="1" applyFont="1" applyFill="1" applyBorder="1" applyAlignment="1">
      <alignment horizontal="center"/>
    </xf>
    <xf numFmtId="1" fontId="23" fillId="45" borderId="37" xfId="0" applyNumberFormat="1" applyFont="1" applyFill="1" applyBorder="1" applyAlignment="1">
      <alignment horizontal="left"/>
    </xf>
    <xf numFmtId="9" fontId="23" fillId="45" borderId="37" xfId="42" applyFont="1" applyFill="1" applyBorder="1" applyAlignment="1">
      <alignment horizontal="center"/>
    </xf>
    <xf numFmtId="0" fontId="0" fillId="37" borderId="10" xfId="0" applyFill="1" applyBorder="1"/>
    <xf numFmtId="0" fontId="0" fillId="43" borderId="0" xfId="0" applyFill="1"/>
    <xf numFmtId="0" fontId="0" fillId="0" borderId="22" xfId="0" applyBorder="1" applyAlignment="1">
      <alignment horizontal="left"/>
    </xf>
    <xf numFmtId="0" fontId="0" fillId="0" borderId="22" xfId="0" applyBorder="1"/>
    <xf numFmtId="0" fontId="0" fillId="0" borderId="22" xfId="0" applyFill="1" applyBorder="1"/>
    <xf numFmtId="0" fontId="0" fillId="0" borderId="25" xfId="0" applyFill="1" applyBorder="1"/>
    <xf numFmtId="0" fontId="0" fillId="0" borderId="38" xfId="0" applyBorder="1"/>
    <xf numFmtId="0" fontId="16" fillId="39" borderId="10" xfId="0" applyFont="1" applyFill="1" applyBorder="1" applyAlignment="1">
      <alignment horizontal="right"/>
    </xf>
    <xf numFmtId="0" fontId="0" fillId="0" borderId="11" xfId="0" applyBorder="1" applyAlignment="1"/>
    <xf numFmtId="0" fontId="0" fillId="40" borderId="29" xfId="0" applyFill="1" applyBorder="1" applyAlignment="1">
      <alignment horizontal="center"/>
    </xf>
    <xf numFmtId="0" fontId="0" fillId="40" borderId="10" xfId="0" applyFill="1" applyBorder="1" applyAlignment="1">
      <alignment horizontal="center"/>
    </xf>
    <xf numFmtId="0" fontId="0" fillId="40" borderId="10" xfId="0" applyFont="1" applyFill="1" applyBorder="1" applyAlignment="1">
      <alignment horizontal="center"/>
    </xf>
    <xf numFmtId="1" fontId="0" fillId="37" borderId="10" xfId="0" applyNumberFormat="1" applyFill="1" applyBorder="1"/>
    <xf numFmtId="0" fontId="0" fillId="33" borderId="10" xfId="0" applyFill="1" applyBorder="1" applyAlignment="1">
      <alignment horizontal="center"/>
    </xf>
    <xf numFmtId="0" fontId="0" fillId="37" borderId="10" xfId="0" applyFill="1" applyBorder="1" applyAlignment="1">
      <alignment horizontal="center"/>
    </xf>
    <xf numFmtId="1" fontId="0" fillId="37" borderId="10" xfId="0" applyNumberFormat="1" applyFill="1" applyBorder="1" applyAlignment="1">
      <alignment horizontal="left"/>
    </xf>
    <xf numFmtId="9" fontId="0" fillId="0" borderId="0" xfId="42" applyFont="1"/>
    <xf numFmtId="164" fontId="0" fillId="0" borderId="41" xfId="0" applyNumberFormat="1" applyFill="1" applyBorder="1"/>
    <xf numFmtId="0" fontId="0" fillId="0" borderId="0" xfId="0" applyAlignment="1">
      <alignment wrapText="1"/>
    </xf>
    <xf numFmtId="0" fontId="21" fillId="36" borderId="0" xfId="0" applyFont="1" applyFill="1" applyAlignment="1">
      <alignment vertical="center"/>
    </xf>
    <xf numFmtId="0" fontId="21" fillId="34" borderId="10" xfId="0" applyFont="1" applyFill="1" applyBorder="1" applyAlignment="1">
      <alignment vertical="center"/>
    </xf>
    <xf numFmtId="0" fontId="21" fillId="34" borderId="10" xfId="0" applyFont="1" applyFill="1" applyBorder="1" applyAlignment="1">
      <alignment horizontal="left" vertical="center"/>
    </xf>
    <xf numFmtId="0" fontId="21" fillId="34" borderId="10" xfId="0" applyFont="1" applyFill="1" applyBorder="1" applyAlignment="1">
      <alignment horizontal="left" vertical="center" wrapText="1"/>
    </xf>
    <xf numFmtId="0" fontId="21" fillId="36" borderId="12" xfId="0" applyFont="1" applyFill="1" applyBorder="1" applyAlignment="1">
      <alignment vertical="center"/>
    </xf>
    <xf numFmtId="0" fontId="21" fillId="36" borderId="10" xfId="0" applyFont="1" applyFill="1" applyBorder="1" applyAlignment="1">
      <alignment vertical="center"/>
    </xf>
    <xf numFmtId="0" fontId="21" fillId="36" borderId="11" xfId="0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10" xfId="0" applyFont="1" applyBorder="1" applyAlignment="1"/>
    <xf numFmtId="0" fontId="21" fillId="0" borderId="10" xfId="0" applyFont="1" applyBorder="1" applyAlignment="1">
      <alignment horizontal="right"/>
    </xf>
    <xf numFmtId="0" fontId="21" fillId="0" borderId="10" xfId="0" applyFont="1" applyBorder="1" applyAlignment="1">
      <alignment horizontal="left" wrapText="1"/>
    </xf>
    <xf numFmtId="0" fontId="21" fillId="0" borderId="10" xfId="0" applyFont="1" applyBorder="1" applyAlignment="1">
      <alignment horizontal="center"/>
    </xf>
    <xf numFmtId="0" fontId="21" fillId="0" borderId="10" xfId="0" applyFont="1" applyFill="1" applyBorder="1" applyAlignment="1"/>
    <xf numFmtId="0" fontId="21" fillId="0" borderId="10" xfId="0" applyFont="1" applyBorder="1" applyAlignment="1">
      <alignment horizontal="left"/>
    </xf>
    <xf numFmtId="0" fontId="21" fillId="0" borderId="0" xfId="0" applyFont="1" applyAlignment="1"/>
    <xf numFmtId="0" fontId="21" fillId="0" borderId="10" xfId="0" applyFont="1" applyFill="1" applyBorder="1" applyAlignment="1">
      <alignment horizontal="left" wrapText="1"/>
    </xf>
    <xf numFmtId="0" fontId="21" fillId="0" borderId="10" xfId="0" applyFont="1" applyFill="1" applyBorder="1" applyAlignment="1">
      <alignment horizontal="right"/>
    </xf>
    <xf numFmtId="0" fontId="21" fillId="0" borderId="10" xfId="0" applyFont="1" applyFill="1" applyBorder="1" applyAlignment="1">
      <alignment horizontal="center"/>
    </xf>
    <xf numFmtId="0" fontId="21" fillId="0" borderId="0" xfId="0" applyFont="1" applyFill="1" applyAlignment="1"/>
    <xf numFmtId="0" fontId="21" fillId="0" borderId="10" xfId="0" applyFont="1" applyFill="1" applyBorder="1" applyAlignment="1">
      <alignment horizontal="left"/>
    </xf>
    <xf numFmtId="0" fontId="21" fillId="36" borderId="0" xfId="0" applyFont="1" applyFill="1" applyBorder="1" applyAlignment="1"/>
    <xf numFmtId="0" fontId="24" fillId="0" borderId="0" xfId="0" applyFont="1" applyAlignment="1"/>
    <xf numFmtId="0" fontId="24" fillId="0" borderId="0" xfId="0" applyFont="1" applyAlignment="1">
      <alignment horizontal="right"/>
    </xf>
    <xf numFmtId="0" fontId="21" fillId="0" borderId="0" xfId="0" applyFont="1" applyAlignment="1">
      <alignment horizontal="right"/>
    </xf>
    <xf numFmtId="0" fontId="21" fillId="0" borderId="0" xfId="0" applyFont="1" applyAlignment="1">
      <alignment horizontal="left" wrapText="1"/>
    </xf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24" xfId="0" applyFont="1" applyBorder="1" applyAlignment="1">
      <alignment horizontal="center"/>
    </xf>
    <xf numFmtId="0" fontId="21" fillId="0" borderId="23" xfId="0" applyFont="1" applyBorder="1" applyAlignment="1"/>
    <xf numFmtId="0" fontId="21" fillId="0" borderId="23" xfId="0" applyFont="1" applyBorder="1" applyAlignment="1">
      <alignment horizontal="left"/>
    </xf>
    <xf numFmtId="0" fontId="21" fillId="0" borderId="24" xfId="0" applyFont="1" applyBorder="1" applyAlignment="1">
      <alignment horizontal="left"/>
    </xf>
    <xf numFmtId="0" fontId="21" fillId="0" borderId="22" xfId="0" applyFont="1" applyBorder="1" applyAlignment="1"/>
    <xf numFmtId="0" fontId="21" fillId="34" borderId="10" xfId="0" applyFont="1" applyFill="1" applyBorder="1" applyAlignment="1">
      <alignment horizontal="center" vertical="center"/>
    </xf>
    <xf numFmtId="0" fontId="21" fillId="0" borderId="22" xfId="0" applyFont="1" applyBorder="1" applyAlignment="1">
      <alignment horizontal="center"/>
    </xf>
    <xf numFmtId="0" fontId="24" fillId="41" borderId="0" xfId="0" applyFont="1" applyFill="1" applyBorder="1" applyAlignment="1"/>
    <xf numFmtId="0" fontId="21" fillId="0" borderId="0" xfId="0" applyFont="1"/>
    <xf numFmtId="0" fontId="21" fillId="43" borderId="10" xfId="0" applyFont="1" applyFill="1" applyBorder="1" applyAlignment="1">
      <alignment horizontal="center"/>
    </xf>
    <xf numFmtId="0" fontId="0" fillId="43" borderId="10" xfId="0" applyFill="1" applyBorder="1" applyAlignment="1">
      <alignment horizontal="center"/>
    </xf>
    <xf numFmtId="0" fontId="0" fillId="43" borderId="10" xfId="0" applyFont="1" applyFill="1" applyBorder="1" applyAlignment="1">
      <alignment horizontal="center"/>
    </xf>
    <xf numFmtId="0" fontId="25" fillId="40" borderId="10" xfId="0" applyFont="1" applyFill="1" applyBorder="1" applyAlignment="1">
      <alignment horizontal="center"/>
    </xf>
    <xf numFmtId="0" fontId="21" fillId="0" borderId="24" xfId="0" applyFont="1" applyBorder="1" applyAlignment="1"/>
    <xf numFmtId="15" fontId="26" fillId="0" borderId="10" xfId="0" applyNumberFormat="1" applyFont="1" applyBorder="1" applyAlignment="1">
      <alignment horizontal="center"/>
    </xf>
    <xf numFmtId="0" fontId="27" fillId="39" borderId="12" xfId="0" applyFont="1" applyFill="1" applyBorder="1" applyAlignment="1">
      <alignment horizontal="right"/>
    </xf>
    <xf numFmtId="0" fontId="21" fillId="0" borderId="22" xfId="0" applyFont="1" applyFill="1" applyBorder="1" applyAlignment="1">
      <alignment horizontal="center"/>
    </xf>
    <xf numFmtId="0" fontId="21" fillId="0" borderId="0" xfId="0" applyFont="1" applyBorder="1" applyAlignment="1"/>
    <xf numFmtId="0" fontId="21" fillId="0" borderId="0" xfId="0" applyFont="1" applyBorder="1" applyAlignment="1">
      <alignment horizontal="right"/>
    </xf>
    <xf numFmtId="0" fontId="21" fillId="0" borderId="0" xfId="0" applyFont="1" applyBorder="1" applyAlignment="1">
      <alignment horizontal="left" wrapText="1"/>
    </xf>
    <xf numFmtId="0" fontId="21" fillId="0" borderId="0" xfId="0" applyFont="1" applyBorder="1" applyAlignment="1">
      <alignment horizontal="center"/>
    </xf>
    <xf numFmtId="0" fontId="21" fillId="0" borderId="0" xfId="0" applyFont="1" applyBorder="1" applyAlignment="1">
      <alignment horizontal="left"/>
    </xf>
    <xf numFmtId="0" fontId="21" fillId="36" borderId="31" xfId="0" applyFont="1" applyFill="1" applyBorder="1" applyAlignment="1"/>
    <xf numFmtId="0" fontId="21" fillId="36" borderId="32" xfId="0" applyFont="1" applyFill="1" applyBorder="1" applyAlignment="1"/>
    <xf numFmtId="0" fontId="21" fillId="36" borderId="33" xfId="0" applyFont="1" applyFill="1" applyBorder="1" applyAlignment="1"/>
    <xf numFmtId="0" fontId="21" fillId="36" borderId="34" xfId="0" applyFont="1" applyFill="1" applyBorder="1" applyAlignment="1"/>
    <xf numFmtId="0" fontId="21" fillId="36" borderId="35" xfId="0" applyFont="1" applyFill="1" applyBorder="1" applyAlignment="1"/>
    <xf numFmtId="0" fontId="21" fillId="0" borderId="10" xfId="0" applyFont="1" applyBorder="1"/>
    <xf numFmtId="0" fontId="28" fillId="40" borderId="0" xfId="0" applyFont="1" applyFill="1" applyBorder="1" applyAlignment="1"/>
    <xf numFmtId="0" fontId="28" fillId="37" borderId="0" xfId="0" applyFont="1" applyFill="1" applyBorder="1" applyAlignment="1"/>
    <xf numFmtId="0" fontId="21" fillId="0" borderId="10" xfId="0" applyFont="1" applyBorder="1" applyAlignment="1">
      <alignment horizontal="left" vertical="top" wrapText="1"/>
    </xf>
    <xf numFmtId="0" fontId="29" fillId="0" borderId="0" xfId="0" applyFont="1"/>
    <xf numFmtId="0" fontId="28" fillId="42" borderId="0" xfId="0" applyFont="1" applyFill="1" applyBorder="1" applyAlignment="1"/>
    <xf numFmtId="0" fontId="30" fillId="38" borderId="0" xfId="0" applyFont="1" applyFill="1" applyBorder="1" applyAlignment="1"/>
    <xf numFmtId="0" fontId="21" fillId="0" borderId="10" xfId="0" applyFont="1" applyBorder="1" applyAlignment="1">
      <alignment vertical="top" wrapText="1"/>
    </xf>
    <xf numFmtId="0" fontId="30" fillId="35" borderId="0" xfId="0" applyFont="1" applyFill="1" applyBorder="1" applyAlignment="1"/>
    <xf numFmtId="0" fontId="31" fillId="0" borderId="0" xfId="0" applyFont="1" applyBorder="1" applyAlignment="1">
      <alignment horizontal="left" wrapText="1"/>
    </xf>
    <xf numFmtId="1" fontId="32" fillId="45" borderId="37" xfId="0" applyNumberFormat="1" applyFont="1" applyFill="1" applyBorder="1" applyAlignment="1">
      <alignment horizontal="left"/>
    </xf>
    <xf numFmtId="0" fontId="21" fillId="0" borderId="0" xfId="0" applyFont="1" applyFill="1" applyBorder="1" applyAlignment="1"/>
    <xf numFmtId="1" fontId="33" fillId="45" borderId="37" xfId="0" applyNumberFormat="1" applyFont="1" applyFill="1" applyBorder="1" applyAlignment="1">
      <alignment horizontal="left"/>
    </xf>
    <xf numFmtId="1" fontId="34" fillId="45" borderId="37" xfId="0" applyNumberFormat="1" applyFont="1" applyFill="1" applyBorder="1" applyAlignment="1">
      <alignment horizontal="left"/>
    </xf>
    <xf numFmtId="0" fontId="21" fillId="0" borderId="0" xfId="0" applyFont="1" applyFill="1" applyAlignment="1">
      <alignment horizontal="right"/>
    </xf>
    <xf numFmtId="0" fontId="21" fillId="0" borderId="0" xfId="0" applyFont="1" applyFill="1" applyAlignment="1">
      <alignment horizontal="left" wrapText="1"/>
    </xf>
    <xf numFmtId="0" fontId="21" fillId="0" borderId="0" xfId="0" applyFont="1" applyFill="1" applyAlignment="1">
      <alignment horizontal="left"/>
    </xf>
    <xf numFmtId="0" fontId="21" fillId="0" borderId="23" xfId="0" applyFont="1" applyFill="1" applyBorder="1" applyAlignment="1">
      <alignment horizontal="left"/>
    </xf>
    <xf numFmtId="0" fontId="21" fillId="0" borderId="24" xfId="0" applyFont="1" applyFill="1" applyBorder="1" applyAlignment="1">
      <alignment horizontal="left"/>
    </xf>
    <xf numFmtId="0" fontId="0" fillId="43" borderId="39" xfId="0" applyFill="1" applyBorder="1" applyAlignment="1">
      <alignment horizontal="center"/>
    </xf>
    <xf numFmtId="0" fontId="0" fillId="43" borderId="40" xfId="0" applyFill="1" applyBorder="1" applyAlignment="1">
      <alignment horizontal="center"/>
    </xf>
    <xf numFmtId="0" fontId="0" fillId="34" borderId="0" xfId="0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117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/>
        <color theme="0" tint="-0.499984740745262"/>
      </font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rgb="FFFFFFCC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b val="0"/>
        <i val="0"/>
        <strike val="0"/>
        <color rgb="FFFF0000"/>
      </font>
    </dxf>
    <dxf>
      <font>
        <b val="0"/>
        <i/>
        <color theme="0" tint="-0.499984740745262"/>
      </font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 val="0"/>
        <strike val="0"/>
        <color rgb="FFFF0000"/>
      </font>
    </dxf>
    <dxf>
      <font>
        <b val="0"/>
        <i/>
        <color theme="0" tint="-0.499984740745262"/>
      </font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 val="0"/>
        <strike val="0"/>
        <color rgb="FFFF0000"/>
      </font>
    </dxf>
    <dxf>
      <font>
        <b val="0"/>
        <i/>
        <color theme="0" tint="-0.499984740745262"/>
      </font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 val="0"/>
        <strike val="0"/>
        <color rgb="FFFF0000"/>
      </font>
    </dxf>
    <dxf>
      <font>
        <b val="0"/>
        <i/>
        <color theme="0" tint="-0.499984740745262"/>
      </font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rgb="FFFFFFCC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rgb="FFFFFFCC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rgb="FFFFFFCC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rgb="FFFFFFCC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5" name="CommandButton2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6" name="CommandButton2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0</xdr:row>
          <xdr:rowOff>22860</xdr:rowOff>
        </xdr:from>
        <xdr:to>
          <xdr:col>0</xdr:col>
          <xdr:colOff>670560</xdr:colOff>
          <xdr:row>0</xdr:row>
          <xdr:rowOff>289560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45720" anchor="t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Tree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4991100</xdr:colOff>
      <xdr:row>1</xdr:row>
      <xdr:rowOff>175260</xdr:rowOff>
    </xdr:from>
    <xdr:to>
      <xdr:col>1</xdr:col>
      <xdr:colOff>6713220</xdr:colOff>
      <xdr:row>3</xdr:row>
      <xdr:rowOff>22860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79720" y="358140"/>
          <a:ext cx="1722120" cy="213360"/>
        </a:xfrm>
        <a:prstGeom prst="rect">
          <a:avLst/>
        </a:prstGeom>
      </xdr:spPr>
    </xdr:pic>
    <xdr:clientData/>
  </xdr:twoCellAnchor>
  <xdr:twoCellAnchor editAs="oneCell">
    <xdr:from>
      <xdr:col>1</xdr:col>
      <xdr:colOff>1885164</xdr:colOff>
      <xdr:row>5</xdr:row>
      <xdr:rowOff>563880</xdr:rowOff>
    </xdr:from>
    <xdr:to>
      <xdr:col>1</xdr:col>
      <xdr:colOff>6904262</xdr:colOff>
      <xdr:row>5</xdr:row>
      <xdr:rowOff>2491948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73784" y="1478280"/>
          <a:ext cx="5019098" cy="192806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ttle, Richard (NE)" refreshedDate="43986.337466087964" createdVersion="4" refreshedVersion="6" minRefreshableVersion="3" recordCount="1296">
  <cacheSource type="worksheet">
    <worksheetSource ref="B1:T1048576" sheet="CyberData"/>
  </cacheSource>
  <cacheFields count="19">
    <cacheField name="Id" numFmtId="0">
      <sharedItems containsString="0" containsBlank="1" containsNumber="1" containsInteger="1" minValue="204326" maxValue="1024626" count="2569">
        <n v="352877"/>
        <n v="335885"/>
        <n v="335966"/>
        <n v="335965"/>
        <n v="335964"/>
        <n v="335963"/>
        <n v="335961"/>
        <n v="335960"/>
        <n v="335959"/>
        <n v="335958"/>
        <n v="335957"/>
        <n v="335955"/>
        <n v="335954"/>
        <n v="335952"/>
        <n v="335949"/>
        <n v="335946"/>
        <n v="335944"/>
        <n v="335942"/>
        <n v="335941"/>
        <n v="335934"/>
        <n v="335932"/>
        <n v="335899"/>
        <n v="335898"/>
        <n v="335897"/>
        <n v="335896"/>
        <n v="335894"/>
        <n v="335893"/>
        <n v="335892"/>
        <n v="335891"/>
        <n v="335890"/>
        <n v="335889"/>
        <n v="335888"/>
        <n v="335887"/>
        <n v="335886"/>
        <n v="335969"/>
        <n v="336074"/>
        <n v="336073"/>
        <n v="336072"/>
        <n v="336071"/>
        <n v="336070"/>
        <n v="336066"/>
        <n v="336063"/>
        <n v="336062"/>
        <n v="336061"/>
        <n v="336057"/>
        <n v="336053"/>
        <n v="336052"/>
        <n v="336049"/>
        <n v="336048"/>
        <n v="336043"/>
        <n v="335983"/>
        <n v="335982"/>
        <n v="335981"/>
        <n v="335980"/>
        <n v="335978"/>
        <n v="335977"/>
        <n v="335976"/>
        <n v="335975"/>
        <n v="335974"/>
        <n v="335973"/>
        <n v="335972"/>
        <n v="335971"/>
        <n v="335970"/>
        <n v="336108"/>
        <n v="336200"/>
        <n v="336199"/>
        <n v="336197"/>
        <n v="336194"/>
        <n v="336190"/>
        <n v="336189"/>
        <n v="336186"/>
        <n v="336184"/>
        <n v="336177"/>
        <n v="336176"/>
        <n v="336171"/>
        <n v="336155"/>
        <n v="336148"/>
        <n v="336122"/>
        <n v="336121"/>
        <n v="336120"/>
        <n v="336119"/>
        <n v="336117"/>
        <n v="336116"/>
        <n v="336115"/>
        <n v="336114"/>
        <n v="336113"/>
        <n v="336112"/>
        <n v="336111"/>
        <n v="336110"/>
        <n v="336109"/>
        <n v="378107"/>
        <n v="376941"/>
        <n v="371627"/>
        <n v="371629"/>
        <n v="371628"/>
        <n v="371632"/>
        <n v="371631"/>
        <n v="371630"/>
        <n v="390574"/>
        <n v="376961"/>
        <n v="371633"/>
        <n v="354169"/>
        <n v="354228"/>
        <n v="371503"/>
        <n v="387504"/>
        <n v="386934"/>
        <n v="386932"/>
        <n v="371506"/>
        <n v="371502"/>
        <n v="376308"/>
        <n v="373094"/>
        <n v="375821"/>
        <n v="376307"/>
        <n v="382486"/>
        <n v="375823"/>
        <n v="375822"/>
        <n v="375825"/>
        <n v="375826"/>
        <n v="1001673"/>
        <n v="1001658"/>
        <n v="1011049"/>
        <n v="1001659"/>
        <n v="1012780"/>
        <n v="1001674"/>
        <n v="1001661"/>
        <n v="1014657"/>
        <n v="1008804"/>
        <n v="1001663"/>
        <n v="1001675"/>
        <n v="1001664"/>
        <n v="1019215"/>
        <n v="1001667"/>
        <n v="373095"/>
        <n v="1014652"/>
        <n v="1014651"/>
        <n v="1001668"/>
        <n v="373096"/>
        <n v="1022042"/>
        <n v="1014653"/>
        <n v="1001670"/>
        <n v="1001669"/>
        <n v="373097"/>
        <n v="1022776"/>
        <n v="1014654"/>
        <n v="373098"/>
        <n v="1014658"/>
        <n v="1014581"/>
        <n v="1001671"/>
        <n v="1023603"/>
        <n v="1023601"/>
        <n v="1023604"/>
        <n v="1023602"/>
        <n v="372921"/>
        <n v="391278"/>
        <n v="390731"/>
        <n v="386960"/>
        <n v="391281"/>
        <n v="391280"/>
        <n v="390805"/>
        <n v="390802"/>
        <n v="390736"/>
        <n v="390733"/>
        <n v="392468"/>
        <n v="391284"/>
        <n v="391283"/>
        <n v="390812"/>
        <n v="390810"/>
        <n v="386931"/>
        <n v="393062"/>
        <n v="392692"/>
        <n v="390290"/>
        <n v="390289"/>
        <n v="390287"/>
        <n v="395398"/>
        <n v="395340"/>
        <n v="390291"/>
        <n v="393492"/>
        <n v="393063"/>
        <n v="392704"/>
        <n v="1004590"/>
        <n v="393061"/>
        <n v="1003015"/>
        <n v="1002513"/>
        <n v="1010710"/>
        <n v="1008013"/>
        <n v="1010393"/>
        <n v="1008555"/>
        <n v="1008015"/>
        <n v="1014745"/>
        <n v="1014747"/>
        <n v="390286"/>
        <n v="364209"/>
        <n v="375075"/>
        <n v="375074"/>
        <n v="364204"/>
        <n v="385266"/>
        <n v="385273"/>
        <n v="385260"/>
        <n v="365530"/>
        <n v="342538"/>
        <n v="342537"/>
        <n v="342536"/>
        <n v="342398"/>
        <n v="342396"/>
        <n v="342394"/>
        <n v="342393"/>
        <n v="342392"/>
        <n v="342391"/>
        <n v="342390"/>
        <n v="342389"/>
        <n v="342388"/>
        <n v="342387"/>
        <n v="342386"/>
        <n v="342385"/>
        <n v="342384"/>
        <n v="371476"/>
        <n v="370548"/>
        <n v="370545"/>
        <n v="370543"/>
        <n v="359690"/>
        <n v="370550"/>
        <n v="370556"/>
        <n v="370555"/>
        <n v="370553"/>
        <n v="370551"/>
        <n v="370549"/>
        <n v="382408"/>
        <n v="377691"/>
        <n v="370562"/>
        <n v="370561"/>
        <n v="370560"/>
        <n v="370559"/>
        <n v="370570"/>
        <n v="370568"/>
        <n v="370567"/>
        <n v="370566"/>
        <n v="370564"/>
        <n v="370563"/>
        <n v="385649"/>
        <n v="385648"/>
        <n v="385646"/>
        <n v="385645"/>
        <n v="370569"/>
        <n v="385655"/>
        <n v="385654"/>
        <n v="385653"/>
        <n v="385652"/>
        <n v="385651"/>
        <n v="385650"/>
        <n v="376751"/>
        <n v="360670"/>
        <n v="370097"/>
        <n v="370089"/>
        <n v="370162"/>
        <n v="370098"/>
        <n v="370092"/>
        <n v="369840"/>
        <n v="371184"/>
        <n v="371149"/>
        <n v="371186"/>
        <n v="371062"/>
        <n v="370606"/>
        <n v="380895"/>
        <n v="380894"/>
        <n v="371188"/>
        <n v="371065"/>
        <n v="371144"/>
        <n v="371127"/>
        <n v="384919"/>
        <n v="371070"/>
        <n v="387678"/>
        <n v="371190"/>
        <n v="371150"/>
        <n v="371147"/>
        <n v="371189"/>
        <n v="371058"/>
        <n v="370599"/>
        <n v="371284"/>
        <n v="371267"/>
        <n v="371213"/>
        <n v="371331"/>
        <n v="371246"/>
        <n v="371214"/>
        <n v="371335"/>
        <n v="371269"/>
        <n v="371231"/>
        <n v="371345"/>
        <n v="371232"/>
        <n v="384725"/>
        <n v="371238"/>
        <n v="375664"/>
        <n v="371343"/>
        <n v="371262"/>
        <n v="371260"/>
        <n v="371245"/>
        <n v="371201"/>
        <n v="390262"/>
        <n v="384183"/>
        <n v="381392"/>
        <n v="380722"/>
        <n v="393011"/>
        <n v="393009"/>
        <n v="392634"/>
        <n v="392596"/>
        <n v="384184"/>
        <n v="381393"/>
        <n v="380732"/>
        <n v="380723"/>
        <n v="1000843"/>
        <n v="381395"/>
        <n v="380729"/>
        <n v="380724"/>
        <n v="392994"/>
        <n v="390994"/>
        <n v="381396"/>
        <n v="380725"/>
        <n v="381397"/>
        <n v="380726"/>
        <n v="1005372"/>
        <n v="381398"/>
        <n v="380733"/>
        <n v="380730"/>
        <n v="380727"/>
        <n v="1007020"/>
        <n v="1006954"/>
        <n v="392941"/>
        <n v="380731"/>
        <n v="380728"/>
        <n v="380721"/>
        <n v="380742"/>
        <n v="380736"/>
        <n v="380743"/>
        <n v="380744"/>
        <n v="380745"/>
        <n v="380746"/>
        <n v="390749"/>
        <n v="380747"/>
        <n v="380741"/>
        <n v="380739"/>
        <n v="380748"/>
        <n v="380740"/>
        <n v="380737"/>
        <n v="380735"/>
        <n v="392558"/>
        <n v="385659"/>
        <n v="392608"/>
        <n v="385662"/>
        <n v="385660"/>
        <n v="385658"/>
        <n v="392598"/>
        <n v="392597"/>
        <n v="385668"/>
        <n v="385663"/>
        <n v="385672"/>
        <n v="385671"/>
        <n v="385670"/>
        <n v="385669"/>
        <n v="385661"/>
        <n v="385657"/>
        <n v="1005362"/>
        <n v="392605"/>
        <n v="392603"/>
        <n v="380749"/>
        <n v="1008477"/>
        <n v="1008476"/>
        <n v="1008478"/>
        <n v="395418"/>
        <n v="395417"/>
        <n v="395416"/>
        <n v="395410"/>
        <n v="395425"/>
        <n v="395424"/>
        <n v="395407"/>
        <n v="1016419"/>
        <n v="395423"/>
        <n v="395412"/>
        <n v="395411"/>
        <n v="1016420"/>
        <n v="395422"/>
        <n v="395414"/>
        <n v="392530"/>
        <n v="1008643"/>
        <n v="396635"/>
        <n v="395386"/>
        <n v="395381"/>
        <n v="395376"/>
        <n v="1008600"/>
        <n v="1008033"/>
        <n v="396636"/>
        <n v="395382"/>
        <n v="395377"/>
        <n v="1012059"/>
        <n v="1008645"/>
        <n v="1008407"/>
        <n v="1008406"/>
        <n v="1008034"/>
        <n v="396638"/>
        <n v="395387"/>
        <n v="395383"/>
        <n v="395378"/>
        <n v="1014880"/>
        <n v="1008646"/>
        <n v="1008035"/>
        <n v="1008028"/>
        <n v="1008026"/>
        <n v="395384"/>
        <n v="395379"/>
        <n v="1017295"/>
        <n v="1016831"/>
        <n v="1016222"/>
        <n v="1014881"/>
        <n v="396640"/>
        <n v="395388"/>
        <n v="395385"/>
        <n v="395380"/>
        <n v="395373"/>
        <n v="1018613"/>
        <n v="1018174"/>
        <n v="1017752"/>
        <n v="1017751"/>
        <n v="1014505"/>
        <n v="395713"/>
        <n v="395704"/>
        <n v="1020149"/>
        <n v="1020148"/>
        <n v="1018614"/>
        <n v="1018344"/>
        <n v="1018343"/>
        <n v="1014504"/>
        <n v="395703"/>
        <n v="1018615"/>
        <n v="1014500"/>
        <n v="395692"/>
        <n v="1022762"/>
        <n v="1018616"/>
        <n v="1018177"/>
        <n v="1014501"/>
        <n v="395698"/>
        <n v="395696"/>
        <n v="1018617"/>
        <n v="1017882"/>
        <n v="1017768"/>
        <n v="1014507"/>
        <n v="1014506"/>
        <n v="1014503"/>
        <n v="1014502"/>
        <n v="395709"/>
        <n v="395701"/>
        <n v="395699"/>
        <n v="395688"/>
        <n v="1008622"/>
        <n v="395837"/>
        <n v="395839"/>
        <n v="395846"/>
        <n v="395843"/>
        <n v="395835"/>
        <n v="1015885"/>
        <n v="395876"/>
        <n v="395877"/>
        <n v="395895"/>
        <n v="395886"/>
        <n v="395878"/>
        <n v="395884"/>
        <n v="395880"/>
        <n v="1018029"/>
        <n v="395894"/>
        <n v="395893"/>
        <n v="395881"/>
        <n v="395853"/>
        <n v="1018364"/>
        <n v="1018203"/>
        <n v="1018192"/>
        <n v="1014890"/>
        <n v="1014594"/>
        <n v="395901"/>
        <n v="1018365"/>
        <n v="1018347"/>
        <n v="1018346"/>
        <n v="1018205"/>
        <n v="1018194"/>
        <n v="1018193"/>
        <n v="1018179"/>
        <n v="1015753"/>
        <n v="395902"/>
        <n v="1018196"/>
        <n v="1018181"/>
        <n v="1014891"/>
        <n v="395903"/>
        <n v="1022054"/>
        <n v="1018367"/>
        <n v="1018208"/>
        <n v="1018198"/>
        <n v="1018182"/>
        <n v="1018001"/>
        <n v="395904"/>
        <n v="1024626"/>
        <n v="1018368"/>
        <n v="1018355"/>
        <n v="1018210"/>
        <n v="1018184"/>
        <n v="1014892"/>
        <n v="395905"/>
        <n v="395897"/>
        <n v="1005360"/>
        <n v="1005356"/>
        <n v="1008409"/>
        <n v="1008408"/>
        <n v="1001646"/>
        <n v="1008037"/>
        <n v="1001649"/>
        <n v="1008493"/>
        <n v="1001636"/>
        <n v="1012747"/>
        <n v="1012719"/>
        <n v="1012778"/>
        <n v="1012766"/>
        <n v="1012764"/>
        <n v="1012752"/>
        <n v="1012744"/>
        <n v="1012739"/>
        <n v="1012658"/>
        <n v="1012655"/>
        <n v="1012654"/>
        <n v="1012650"/>
        <n v="1012613"/>
        <n v="1012607"/>
        <n v="1012584"/>
        <n v="1012508"/>
        <n v="1012505"/>
        <n v="1012503"/>
        <n v="1024541"/>
        <n v="1020041"/>
        <n v="1020035"/>
        <n v="1014741"/>
        <n v="1024542"/>
        <n v="1020044"/>
        <n v="1020037"/>
        <n v="1024543"/>
        <n v="1020045"/>
        <n v="1020038"/>
        <n v="1014589"/>
        <n v="1024544"/>
        <n v="1020046"/>
        <n v="1020039"/>
        <n v="1024545"/>
        <n v="1020047"/>
        <n v="1020040"/>
        <n v="1014591"/>
        <n v="1014737"/>
        <n v="1020048"/>
        <n v="1020049"/>
        <n v="1020051"/>
        <n v="1020052"/>
        <n v="1020053"/>
        <n v="1020127"/>
        <n v="1020126"/>
        <n v="1020125"/>
        <n v="1020124"/>
        <n v="1020123"/>
        <n v="1020010"/>
        <n v="1021661"/>
        <n v="1020212"/>
        <n v="1020211"/>
        <n v="1020210"/>
        <n v="1020189"/>
        <n v="1020186"/>
        <n v="1020184"/>
        <n v="1020128"/>
        <n v="1020188"/>
        <n v="1020145"/>
        <n v="1020144"/>
        <n v="1020129"/>
        <n v="1020214"/>
        <n v="1020213"/>
        <n v="1020193"/>
        <n v="1020192"/>
        <n v="1020191"/>
        <n v="1020130"/>
        <n v="1020198"/>
        <n v="1020196"/>
        <n v="1020194"/>
        <n v="1020131"/>
        <n v="1020207"/>
        <n v="1020199"/>
        <n v="1020132"/>
        <n v="1021011"/>
        <n v="1020011"/>
        <n v="350955"/>
        <n v="350268"/>
        <n v="351017"/>
        <n v="351050"/>
        <n v="351068"/>
        <n v="351070"/>
        <n v="351086"/>
        <n v="351087"/>
        <n v="351105"/>
        <n v="351109"/>
        <n v="351942"/>
        <n v="351945"/>
        <n v="351959"/>
        <n v="351962"/>
        <n v="351977"/>
        <n v="351980"/>
        <n v="351997"/>
        <n v="352000"/>
        <n v="352189"/>
        <n v="352192"/>
        <n v="352941"/>
        <n v="352942"/>
        <n v="376260"/>
        <n v="1022362"/>
        <n v="1022870"/>
        <n v="1023321"/>
        <n v="1023320"/>
        <n v="1023317"/>
        <n v="1023316"/>
        <n v="1023314"/>
        <n v="1023313"/>
        <n v="1023311"/>
        <n v="1023310"/>
        <n v="1023309"/>
        <n v="1022322"/>
        <n v="1022321"/>
        <n v="1022320"/>
        <n v="1022319"/>
        <n v="1023427"/>
        <n v="1023426"/>
        <n v="1023425"/>
        <n v="1023424"/>
        <n v="1023431"/>
        <n v="1023430"/>
        <n v="1023429"/>
        <n v="1023428"/>
        <n v="339792"/>
        <n v="339789"/>
        <n v="339787"/>
        <n v="374887"/>
        <n v="377325"/>
        <n v="377324"/>
        <n v="391363"/>
        <n v="390288"/>
        <n v="368600"/>
        <n v="339133"/>
        <n v="339131"/>
        <n v="339185"/>
        <n v="339183"/>
        <n v="376403"/>
        <n v="362541"/>
        <n v="362585"/>
        <n v="383411"/>
        <n v="382383"/>
        <n v="371308"/>
        <n v="384704"/>
        <n v="384702"/>
        <n v="384707"/>
        <n v="384705"/>
        <n v="384710"/>
        <n v="384708"/>
        <n v="1013880"/>
        <n v="1013879"/>
        <n v="342166"/>
        <n v="376262"/>
        <n v="378353"/>
        <n v="375954"/>
        <n v="1008525"/>
        <n v="354850"/>
        <n v="391386"/>
        <n v="1022656"/>
        <n v="391393"/>
        <n v="391502"/>
        <n v="375493"/>
        <n v="380288"/>
        <n v="355950"/>
        <n v="360625"/>
        <n v="363296"/>
        <n v="363382"/>
        <n v="363453"/>
        <n v="363787"/>
        <n v="366356"/>
        <n v="367378"/>
        <n v="392376"/>
        <n v="392378"/>
        <n v="1002407"/>
        <n v="367692"/>
        <n v="367982"/>
        <n v="376137"/>
        <n v="376136"/>
        <n v="376142"/>
        <n v="376143"/>
        <n v="376144"/>
        <n v="368175"/>
        <n v="368172"/>
        <n v="368170"/>
        <n v="373084"/>
        <n v="369817"/>
        <n v="372895"/>
        <n v="370630"/>
        <n v="370631"/>
        <n v="370632"/>
        <n v="1005506"/>
        <n v="369099"/>
        <n v="1004476"/>
        <n v="1004522"/>
        <n v="1004472"/>
        <n v="1004523"/>
        <n v="1004515"/>
        <n v="372859"/>
        <n v="376374"/>
        <n v="372857"/>
        <n v="369516"/>
        <n v="384987"/>
        <n v="369646"/>
        <n v="369609"/>
        <n v="369614"/>
        <n v="376385"/>
        <n v="369619"/>
        <n v="376386"/>
        <n v="369624"/>
        <n v="393347"/>
        <n v="395273"/>
        <n v="395462"/>
        <n v="369758"/>
        <n v="370138"/>
        <n v="376287"/>
        <n v="376288"/>
        <n v="390244"/>
        <n v="391887"/>
        <n v="391888"/>
        <n v="391889"/>
        <n v="390385"/>
        <n v="391319"/>
        <n v="391316"/>
        <n v="391322"/>
        <n v="371040"/>
        <n v="371352"/>
        <n v="385603"/>
        <n v="385602"/>
        <n v="1006453"/>
        <n v="377438"/>
        <n v="1018510"/>
        <n v="380601"/>
        <n v="1012406"/>
        <n v="381830"/>
        <n v="381826"/>
        <n v="395557"/>
        <n v="381827"/>
        <n v="381828"/>
        <n v="1002515"/>
        <n v="381846"/>
        <n v="381829"/>
        <n v="1002529"/>
        <n v="381847"/>
        <n v="381831"/>
        <n v="381832"/>
        <n v="381611"/>
        <n v="381630"/>
        <n v="381662"/>
        <n v="384804"/>
        <n v="391302"/>
        <n v="383405"/>
        <n v="391304"/>
        <n v="391306"/>
        <n v="391308"/>
        <n v="391309"/>
        <n v="391310"/>
        <n v="383911"/>
        <n v="392652"/>
        <n v="393491"/>
        <n v="391120"/>
        <n v="384042"/>
        <n v="1004104"/>
        <n v="1007082"/>
        <n v="1003561"/>
        <n v="387227"/>
        <n v="1006413"/>
        <n v="1006401"/>
        <n v="1008486"/>
        <n v="390238"/>
        <n v="390232"/>
        <n v="384138"/>
        <n v="388307"/>
        <n v="385424"/>
        <n v="385882"/>
        <n v="392476"/>
        <n v="385883"/>
        <n v="1007606"/>
        <n v="1007607"/>
        <n v="1006452"/>
        <n v="1015146"/>
        <n v="388155"/>
        <n v="391324"/>
        <n v="391328"/>
        <n v="1005770"/>
        <n v="1006270"/>
        <n v="1006271"/>
        <n v="1006272"/>
        <n v="1017324"/>
        <n v="1013983"/>
        <n v="1013764"/>
        <n v="1001584"/>
        <n v="1008480"/>
        <n v="1008482"/>
        <n v="395329"/>
        <n v="396361"/>
        <n v="396362"/>
        <n v="396363"/>
        <n v="396364"/>
        <n v="396365"/>
        <n v="396498"/>
        <n v="1006787"/>
        <n v="1006134"/>
        <n v="1000484"/>
        <n v="1000477"/>
        <n v="1002358"/>
        <n v="1002351"/>
        <n v="1004095"/>
        <n v="1023524"/>
        <n v="1018060"/>
        <n v="1005333"/>
        <n v="1012000"/>
        <n v="1017327"/>
        <n v="1016459"/>
        <n v="1020278"/>
        <n v="1016460"/>
        <n v="1018061"/>
        <n v="1016461"/>
        <n v="1016462"/>
        <n v="1008032"/>
        <n v="1008512"/>
        <n v="1011043"/>
        <n v="1011042"/>
        <n v="1011041"/>
        <n v="1011040"/>
        <n v="1011039"/>
        <n v="1011038"/>
        <n v="1011037"/>
        <n v="1011036"/>
        <n v="1011035"/>
        <n v="1011034"/>
        <n v="1011033"/>
        <n v="1011032"/>
        <n v="1011031"/>
        <n v="1011030"/>
        <n v="1011029"/>
        <n v="1011028"/>
        <n v="1011027"/>
        <n v="1011081"/>
        <n v="1011080"/>
        <n v="1011079"/>
        <n v="1011078"/>
        <n v="1011077"/>
        <n v="1013377"/>
        <n v="1012656"/>
        <n v="1012617"/>
        <n v="1012615"/>
        <n v="1012506"/>
        <n v="1013849"/>
        <n v="1013850"/>
        <n v="1013866"/>
        <n v="1017352"/>
        <n v="1013867"/>
        <n v="1013210"/>
        <n v="1022368"/>
        <n v="1013465"/>
        <n v="1013458"/>
        <n v="1013964"/>
        <n v="1014167"/>
        <n v="1023760"/>
        <n v="1023761"/>
        <n v="1023762"/>
        <n v="1015238"/>
        <n v="1023155"/>
        <n v="1023177"/>
        <n v="1023183"/>
        <n v="1014390"/>
        <n v="1015258"/>
        <n v="1015973"/>
        <n v="1015972"/>
        <n v="1015974"/>
        <n v="1021135"/>
        <n v="1021136"/>
        <n v="1021137"/>
        <n v="1015253"/>
        <n v="1017546"/>
        <n v="1017547"/>
        <n v="1015254"/>
        <n v="1017978"/>
        <n v="1024608"/>
        <n v="1015008"/>
        <n v="1015007"/>
        <n v="1024513"/>
        <n v="1024514"/>
        <n v="1015136"/>
        <n v="1019237"/>
        <n v="1019233"/>
        <n v="1022599"/>
        <n v="1022595"/>
        <n v="1022600"/>
        <n v="1022601"/>
        <n v="1022596"/>
        <n v="1022602"/>
        <n v="1022603"/>
        <n v="1022604"/>
        <n v="1022605"/>
        <n v="1022493"/>
        <n v="1022486"/>
        <n v="1022494"/>
        <n v="1022487"/>
        <n v="1022495"/>
        <n v="1022488"/>
        <n v="1022496"/>
        <n v="1022489"/>
        <n v="1022497"/>
        <n v="1021816"/>
        <n v="1021806"/>
        <n v="1021798"/>
        <n v="1021175"/>
        <n v="1021448"/>
        <n v="1021444"/>
        <n v="1021457"/>
        <n v="1021456"/>
        <n v="1021474"/>
        <n v="1021469"/>
        <n v="1021481"/>
        <n v="1021470"/>
        <n v="1021491"/>
        <n v="1021947"/>
        <n v="1022412"/>
        <n v="1022405"/>
        <n v="1022622"/>
        <n v="1024219"/>
        <n v="1024456"/>
        <n v="1023849"/>
        <n v="1023850"/>
        <n v="351011"/>
        <n v="351010"/>
        <n v="354491"/>
        <n v="354207"/>
        <n v="359186"/>
        <n v="359095"/>
        <n v="358958"/>
        <n v="358923"/>
        <n v="358915"/>
        <n v="358572"/>
        <n v="358542"/>
        <n v="358538"/>
        <n v="358429"/>
        <n v="358322"/>
        <n v="358297"/>
        <n v="359191"/>
        <n v="350835"/>
        <n v="355061"/>
        <n v="364272"/>
        <n v="1018511"/>
        <n v="1011026"/>
        <n v="261988"/>
        <n v="318433"/>
        <n v="324591"/>
        <n v="332643"/>
        <n v="329380"/>
        <n v="328568"/>
        <n v="328565"/>
        <n v="328563"/>
        <n v="325746"/>
        <n v="325227"/>
        <n v="325142"/>
        <n v="325126"/>
        <n v="325080"/>
        <n v="324993"/>
        <n v="324932"/>
        <n v="324842"/>
        <n v="320731"/>
        <n v="320730"/>
        <n v="320729"/>
        <n v="320728"/>
        <n v="320727"/>
        <n v="320726"/>
        <n v="320725"/>
        <n v="320724"/>
        <n v="320723"/>
        <n v="320722"/>
        <n v="320721"/>
        <n v="320720"/>
        <n v="320719"/>
        <n v="320718"/>
        <n v="320717"/>
        <n v="320716"/>
        <n v="320715"/>
        <n v="320595"/>
        <n v="320566"/>
        <n v="320564"/>
        <n v="316321"/>
        <n v="316315"/>
        <n v="316311"/>
        <n v="316310"/>
        <n v="316303"/>
        <n v="316302"/>
        <n v="310620"/>
        <n v="310612"/>
        <n v="310589"/>
        <n v="310581"/>
        <n v="310543"/>
        <n v="310535"/>
        <n v="310310"/>
        <n v="310302"/>
        <n v="296263"/>
        <n v="296254"/>
        <n v="296198"/>
        <n v="295399"/>
        <n v="295160"/>
        <n v="276932"/>
        <n v="276005"/>
        <n v="243130"/>
        <n v="216566"/>
        <n v="274093"/>
        <n v="274092"/>
        <n v="287215"/>
        <n v="281744"/>
        <n v="281736"/>
        <n v="272230"/>
        <n v="220361"/>
        <n v="328212"/>
        <n v="272402"/>
        <n v="315488"/>
        <n v="332292"/>
        <n v="329420"/>
        <n v="329417"/>
        <n v="329413"/>
        <n v="329412"/>
        <n v="329410"/>
        <n v="329406"/>
        <n v="329394"/>
        <n v="329393"/>
        <n v="329392"/>
        <n v="329391"/>
        <n v="329389"/>
        <n v="329388"/>
        <n v="329387"/>
        <n v="329386"/>
        <n v="329385"/>
        <n v="329384"/>
        <n v="329383"/>
        <n v="329382"/>
        <n v="329381"/>
        <n v="327826"/>
        <n v="325772"/>
        <n v="325771"/>
        <n v="325770"/>
        <n v="325769"/>
        <n v="325768"/>
        <n v="325767"/>
        <n v="325766"/>
        <n v="325765"/>
        <n v="325764"/>
        <n v="325763"/>
        <n v="325760"/>
        <n v="325759"/>
        <n v="325758"/>
        <n v="325757"/>
        <n v="325755"/>
        <n v="325754"/>
        <n v="325753"/>
        <n v="325752"/>
        <n v="325751"/>
        <n v="325750"/>
        <n v="325749"/>
        <n v="325748"/>
        <n v="325747"/>
        <n v="325271"/>
        <n v="325267"/>
        <n v="325266"/>
        <n v="325264"/>
        <n v="325260"/>
        <n v="325259"/>
        <n v="325258"/>
        <n v="325257"/>
        <n v="325256"/>
        <n v="325255"/>
        <n v="325253"/>
        <n v="325251"/>
        <n v="325250"/>
        <n v="325249"/>
        <n v="325248"/>
        <n v="325247"/>
        <n v="325246"/>
        <n v="325241"/>
        <n v="325240"/>
        <n v="325239"/>
        <n v="325238"/>
        <n v="325236"/>
        <n v="325235"/>
        <n v="325234"/>
        <n v="325233"/>
        <n v="325232"/>
        <n v="325231"/>
        <n v="325230"/>
        <n v="325229"/>
        <n v="325228"/>
        <n v="325211"/>
        <n v="325210"/>
        <n v="325178"/>
        <n v="325176"/>
        <n v="325174"/>
        <n v="325173"/>
        <n v="325171"/>
        <n v="325170"/>
        <n v="325167"/>
        <n v="325166"/>
        <n v="325165"/>
        <n v="325164"/>
        <n v="325161"/>
        <n v="325156"/>
        <n v="325155"/>
        <n v="325154"/>
        <n v="325153"/>
        <n v="325151"/>
        <n v="325150"/>
        <n v="325149"/>
        <n v="325148"/>
        <n v="325147"/>
        <n v="325146"/>
        <n v="325145"/>
        <n v="325144"/>
        <n v="325143"/>
        <n v="325140"/>
        <n v="325139"/>
        <n v="325138"/>
        <n v="325137"/>
        <n v="325135"/>
        <n v="325134"/>
        <n v="325133"/>
        <n v="325132"/>
        <n v="325131"/>
        <n v="325130"/>
        <n v="325129"/>
        <n v="325128"/>
        <n v="325127"/>
        <n v="325124"/>
        <n v="325122"/>
        <n v="325121"/>
        <n v="325119"/>
        <n v="325118"/>
        <n v="325117"/>
        <n v="325114"/>
        <n v="325113"/>
        <n v="325110"/>
        <n v="325109"/>
        <n v="325107"/>
        <n v="325103"/>
        <n v="325100"/>
        <n v="325098"/>
        <n v="325094"/>
        <n v="325093"/>
        <n v="325092"/>
        <n v="325091"/>
        <n v="325089"/>
        <n v="325088"/>
        <n v="325087"/>
        <n v="325086"/>
        <n v="325085"/>
        <n v="325084"/>
        <n v="325083"/>
        <n v="325082"/>
        <n v="325081"/>
        <n v="325053"/>
        <n v="325051"/>
        <n v="325045"/>
        <n v="325044"/>
        <n v="325039"/>
        <n v="325030"/>
        <n v="325027"/>
        <n v="325007"/>
        <n v="325006"/>
        <n v="325005"/>
        <n v="325004"/>
        <n v="325002"/>
        <n v="325001"/>
        <n v="325000"/>
        <n v="324999"/>
        <n v="324998"/>
        <n v="324997"/>
        <n v="324996"/>
        <n v="324995"/>
        <n v="324994"/>
        <n v="324946"/>
        <n v="324945"/>
        <n v="324944"/>
        <n v="324943"/>
        <n v="324941"/>
        <n v="324940"/>
        <n v="324939"/>
        <n v="324938"/>
        <n v="324937"/>
        <n v="324936"/>
        <n v="324935"/>
        <n v="324934"/>
        <n v="324933"/>
        <n v="324907"/>
        <n v="324904"/>
        <n v="324902"/>
        <n v="324868"/>
        <n v="324866"/>
        <n v="324864"/>
        <n v="324856"/>
        <n v="324855"/>
        <n v="324854"/>
        <n v="324853"/>
        <n v="324851"/>
        <n v="324850"/>
        <n v="324849"/>
        <n v="324848"/>
        <n v="324847"/>
        <n v="324846"/>
        <n v="324845"/>
        <n v="324844"/>
        <n v="324843"/>
        <n v="321410"/>
        <n v="321409"/>
        <n v="321408"/>
        <n v="321407"/>
        <n v="321406"/>
        <n v="321405"/>
        <n v="321404"/>
        <n v="321403"/>
        <n v="321402"/>
        <n v="321401"/>
        <n v="321315"/>
        <n v="321314"/>
        <n v="321313"/>
        <n v="321312"/>
        <n v="321311"/>
        <n v="321310"/>
        <n v="321304"/>
        <n v="321294"/>
        <n v="321291"/>
        <n v="311398"/>
        <n v="311390"/>
        <n v="309988"/>
        <n v="309983"/>
        <n v="302654"/>
        <n v="302646"/>
        <n v="302369"/>
        <n v="302366"/>
        <n v="302350"/>
        <n v="294374"/>
        <n v="294366"/>
        <n v="292321"/>
        <n v="292313"/>
        <n v="291682"/>
        <n v="291674"/>
        <n v="291071"/>
        <n v="291063"/>
        <n v="290994"/>
        <n v="290989"/>
        <n v="290986"/>
        <n v="290984"/>
        <n v="290940"/>
        <n v="290932"/>
        <n v="290633"/>
        <n v="290625"/>
        <n v="290616"/>
        <n v="290608"/>
        <n v="290429"/>
        <n v="290421"/>
        <n v="279293"/>
        <n v="279166"/>
        <n v="278549"/>
        <n v="276119"/>
        <n v="275848"/>
        <n v="274099"/>
        <n v="274070"/>
        <n v="274038"/>
        <n v="273935"/>
        <n v="273682"/>
        <n v="272414"/>
        <n v="272104"/>
        <n v="270349"/>
        <n v="267780"/>
        <n v="266780"/>
        <n v="266775"/>
        <n v="264530"/>
        <n v="263267"/>
        <n v="263251"/>
        <n v="263148"/>
        <n v="263031"/>
        <n v="262629"/>
        <n v="262251"/>
        <n v="261492"/>
        <n v="258341"/>
        <n v="251280"/>
        <n v="249082"/>
        <n v="247210"/>
        <n v="246302"/>
        <n v="226080"/>
        <n v="216547"/>
        <m/>
        <n v="294160" u="1"/>
        <n v="354681" u="1"/>
        <n v="354683" u="1"/>
        <n v="329927" u="1"/>
        <n v="294168" u="1"/>
        <n v="349200" u="1"/>
        <n v="332696" u="1"/>
        <n v="349202" u="1"/>
        <n v="395979" u="1"/>
        <n v="395980" u="1"/>
        <n v="332713" u="1"/>
        <n v="395981" u="1"/>
        <n v="332714" u="1"/>
        <n v="395982" u="1"/>
        <n v="332715" u="1"/>
        <n v="395983" u="1"/>
        <n v="354722" u="1"/>
        <n v="395987" u="1"/>
        <n v="395988" u="1"/>
        <n v="395989" u="1"/>
        <n v="395990" u="1"/>
        <n v="395992" u="1"/>
        <n v="343730" u="1"/>
        <n v="343732" u="1"/>
        <n v="354735" u="1"/>
        <n v="354737" u="1"/>
        <n v="343735" u="1"/>
        <n v="371265" u="1"/>
        <n v="272240" u="1"/>
        <n v="343772" u="1"/>
        <n v="343774" u="1"/>
        <n v="343777" u="1"/>
        <n v="321772" u="1"/>
        <n v="264015" u="1"/>
        <n v="332792" u="1"/>
        <n v="341046" u="1"/>
        <n v="371310" u="1"/>
        <n v="371311" u="1"/>
        <n v="371313" u="1"/>
        <n v="338313" u="1"/>
        <n v="338314" u="1"/>
        <n v="338315" u="1"/>
        <n v="338316" u="1"/>
        <n v="280552" u="1"/>
        <n v="338319" u="1"/>
        <n v="338321" u="1"/>
        <n v="338322" u="1"/>
        <n v="338323" u="1"/>
        <n v="338324" u="1"/>
        <n v="338325" u="1"/>
        <n v="280560" u="1"/>
        <n v="272317" u="1"/>
        <n v="354843" u="1"/>
        <n v="341092" u="1"/>
        <n v="341094" u="1"/>
        <n v="324592" u="1"/>
        <n v="324593" u="1"/>
        <n v="272329" u="1"/>
        <n v="324594" u="1"/>
        <n v="324595" u="1"/>
        <n v="324596" u="1"/>
        <n v="272332" u="1"/>
        <n v="324597" u="1"/>
        <n v="324598" u="1"/>
        <n v="324599" u="1"/>
        <n v="324600" u="1"/>
        <n v="324601" u="1"/>
        <n v="324602" u="1"/>
        <n v="368616" u="1"/>
        <n v="324605" u="1"/>
        <n v="368618" u="1"/>
        <n v="272342" u="1"/>
        <n v="368619" u="1"/>
        <n v="385124" u="1"/>
        <n v="272345" u="1"/>
        <n v="332865" u="1"/>
        <n v="368627" u="1"/>
        <n v="368633" u="1"/>
        <n v="305366" u="1"/>
        <n v="305370" u="1"/>
        <n v="368638" u="1"/>
        <n v="346643" u="1"/>
        <n v="272376" u="1"/>
        <n v="354901" u="1"/>
        <n v="324647" u="1"/>
        <n v="332901" u="1"/>
        <n v="283392" u="1"/>
        <n v="324654" u="1"/>
        <n v="324655" u="1"/>
        <n v="324657" u="1"/>
        <n v="324660" u="1"/>
        <n v="324661" u="1"/>
        <n v="305407" u="1"/>
        <n v="324663" u="1"/>
        <n v="219135" u="1"/>
        <n v="302664" u="1"/>
        <n v="324677" u="1"/>
        <n v="316426" u="1"/>
        <n v="1016317" u="1"/>
        <n v="1021821" u="1"/>
        <n v="354942" u="1"/>
        <n v="354944" u="1"/>
        <n v="316434" u="1"/>
        <n v="1005326" u="1"/>
        <n v="376955" u="1"/>
        <n v="1005334" u="1"/>
        <n v="1005337" u="1"/>
        <n v="332949" u="1"/>
        <n v="1005358" u="1"/>
        <n v="1005359" u="1"/>
        <n v="360465" u="1"/>
        <n v="371472" u="1"/>
        <n v="352219" u="1"/>
        <n v="390732" u="1"/>
        <n v="390734" u="1"/>
        <n v="294466" u="1"/>
        <n v="324727" u="1"/>
        <n v="330233" u="1"/>
        <n v="330234" u="1"/>
        <n v="346739" u="1"/>
        <n v="330235" u="1"/>
        <n v="330236" u="1"/>
        <n v="330237" u="1"/>
        <n v="330239" u="1"/>
        <n v="310985" u="1"/>
        <n v="330241" u="1"/>
        <n v="330242" u="1"/>
        <n v="310987" u="1"/>
        <n v="371504" u="1"/>
        <n v="371505" u="1"/>
        <n v="299987" u="1"/>
        <n v="310990" u="1"/>
        <n v="371507" u="1"/>
        <n v="385261" u="1"/>
        <n v="371508" u="1"/>
        <n v="330247" u="1"/>
        <n v="371509" u="1"/>
        <n v="371510" u="1"/>
        <n v="277985" u="1"/>
        <n v="371511" u="1"/>
        <n v="330250" u="1"/>
        <n v="310995" u="1"/>
        <n v="385267" u="1"/>
        <n v="330253" u="1"/>
        <n v="385268" u="1"/>
        <n v="299995" u="1"/>
        <n v="385272" u="1"/>
        <n v="346766" u="1"/>
        <n v="355022" u="1"/>
        <n v="355026" u="1"/>
        <n v="319267" u="1"/>
        <n v="355029" u="1"/>
        <n v="319270" u="1"/>
        <n v="355030" u="1"/>
        <n v="355031" u="1"/>
        <n v="355032" u="1"/>
        <n v="355033" u="1"/>
        <n v="355034" u="1"/>
        <n v="355035" u="1"/>
        <n v="355036" u="1"/>
        <n v="355037" u="1"/>
        <n v="355038" u="1"/>
        <n v="355040" u="1"/>
        <n v="355041" u="1"/>
        <n v="355046" u="1"/>
        <n v="355048" u="1"/>
        <n v="355049" u="1"/>
        <n v="355050" u="1"/>
        <n v="355052" u="1"/>
        <n v="355054" u="1"/>
        <n v="390814" u="1"/>
        <n v="390818" u="1"/>
        <n v="234332" u="1"/>
        <n v="294546" u="1"/>
        <n v="355066" u="1"/>
        <n v="216455" u="1"/>
        <n v="355068" u="1"/>
        <n v="216456" u="1"/>
        <n v="216457" u="1"/>
        <n v="379828" u="1"/>
        <n v="216458" u="1"/>
        <n v="216459" u="1"/>
        <n v="294559" u="1"/>
        <n v="216460" u="1"/>
        <n v="216461" u="1"/>
        <n v="216462" u="1"/>
        <n v="216463" u="1"/>
        <n v="216464" u="1"/>
        <n v="216465" u="1"/>
        <n v="216466" u="1"/>
        <n v="216467" u="1"/>
        <n v="1022122" u="1"/>
        <n v="216468" u="1"/>
        <n v="319333" u="1"/>
        <n v="319334" u="1"/>
        <n v="319336" u="1"/>
        <n v="319337" u="1"/>
        <n v="352346" u="1"/>
        <n v="319338" u="1"/>
        <n v="341344" u="1"/>
        <n v="341346" u="1"/>
        <n v="319341" u="1"/>
        <n v="1016643" u="1"/>
        <n v="319343" u="1"/>
        <n v="319348" u="1"/>
        <n v="355108" u="1"/>
        <n v="338610" u="1"/>
        <n v="338611" u="1"/>
        <n v="360619" u="1"/>
        <n v="338614" u="1"/>
        <n v="338616" u="1"/>
        <n v="305609" u="1"/>
        <n v="305611" u="1"/>
        <n v="305613" u="1"/>
        <n v="355131" u="1"/>
        <n v="216488" u="1"/>
        <n v="355133" u="1"/>
        <n v="305621" u="1"/>
        <n v="371640" u="1"/>
        <n v="216490" u="1"/>
        <n v="305623" u="1"/>
        <n v="216492" u="1"/>
        <n v="241250" u="1"/>
        <n v="305630" u="1"/>
        <n v="216494" u="1"/>
        <n v="305631" u="1"/>
        <n v="305632" u="1"/>
        <n v="216495" u="1"/>
        <n v="305633" u="1"/>
        <n v="305634" u="1"/>
        <n v="216496" u="1"/>
        <n v="344146" u="1"/>
        <n v="344147" u="1"/>
        <n v="216497" u="1"/>
        <n v="322142" u="1"/>
        <n v="344148" u="1"/>
        <n v="344149" u="1"/>
        <n v="216498" u="1"/>
        <n v="379910" u="1"/>
        <n v="344151" u="1"/>
        <n v="216499" u="1"/>
        <n v="379911" u="1"/>
        <n v="344152" u="1"/>
        <n v="216500" u="1"/>
        <n v="216501" u="1"/>
        <n v="216502" u="1"/>
        <n v="216503" u="1"/>
        <n v="216504" u="1"/>
        <n v="216505" u="1"/>
        <n v="371671" u="1"/>
        <n v="216506" u="1"/>
        <n v="1011274" u="1"/>
        <n v="216507" u="1"/>
        <n v="216508" u="1"/>
        <n v="216509" u="1"/>
        <n v="216510" u="1"/>
        <n v="216511" u="1"/>
        <n v="355180" u="1"/>
        <n v="216512" u="1"/>
        <n v="216513" u="1"/>
        <n v="352432" u="1"/>
        <n v="216514" u="1"/>
        <n v="216515" u="1"/>
        <n v="385445" u="1"/>
        <n v="344185" u="1"/>
        <n v="216516" u="1"/>
        <n v="344186" u="1"/>
        <n v="216517" u="1"/>
        <n v="344188" u="1"/>
        <n v="1022323" u="1"/>
        <n v="344189" u="1"/>
        <n v="1022324" u="1"/>
        <n v="216518" u="1"/>
        <n v="1022325" u="1"/>
        <n v="344190" u="1"/>
        <n v="216519" u="1"/>
        <n v="216520" u="1"/>
        <n v="216521" u="1"/>
        <n v="322191" u="1"/>
        <n v="216522" u="1"/>
        <n v="357952" u="1"/>
        <n v="344199" u="1"/>
        <n v="216523" u="1"/>
        <n v="216524" u="1"/>
        <n v="349704" u="1"/>
        <n v="216525" u="1"/>
        <n v="322199" u="1"/>
        <n v="216526" u="1"/>
        <n v="216527" u="1"/>
        <n v="264437" u="1"/>
        <n v="216528" u="1"/>
        <n v="346961" u="1"/>
        <n v="216529" u="1"/>
        <n v="216530" u="1"/>
        <n v="216531" u="1"/>
        <n v="216532" u="1"/>
        <n v="360722" u="1"/>
        <n v="216533" u="1"/>
        <n v="216534" u="1"/>
        <n v="216535" u="1"/>
        <n v="216536" u="1"/>
        <n v="216537" u="1"/>
        <n v="346979" u="1"/>
        <n v="216538" u="1"/>
        <n v="216539" u="1"/>
        <n v="216540" u="1"/>
        <n v="1016913" u="1"/>
        <n v="371747" u="1"/>
        <n v="371748" u="1"/>
        <n v="355245" u="1"/>
        <n v="355246" u="1"/>
        <n v="216545" u="1"/>
        <n v="346994" u="1"/>
        <n v="355253" u="1"/>
        <n v="382761" u="1"/>
        <n v="355258" u="1"/>
        <n v="360772" u="1"/>
        <n v="319520" u="1"/>
        <n v="385539" u="1"/>
        <n v="319522" u="1"/>
        <n v="347039" u="1"/>
        <n v="275522" u="1"/>
        <n v="325048" u="1"/>
        <n v="347054" u="1"/>
        <n v="325050" u="1"/>
        <n v="325052" u="1"/>
        <n v="377323" u="1"/>
        <n v="325066" u="1"/>
        <n v="330575" u="1"/>
        <n v="344335" u="1"/>
        <n v="344337" u="1"/>
        <n v="369095" u="1"/>
        <n v="369096" u="1"/>
        <n v="369097" u="1"/>
        <n v="369098" u="1"/>
        <n v="358097" u="1"/>
        <n v="358098" u="1"/>
        <n v="358099" u="1"/>
        <n v="358100" u="1"/>
        <n v="358101" u="1"/>
        <n v="358102" u="1"/>
        <n v="358103" u="1"/>
        <n v="358104" u="1"/>
        <n v="358105" u="1"/>
        <n v="358106" u="1"/>
        <n v="358107" u="1"/>
        <n v="358108" u="1"/>
        <n v="358109" u="1"/>
        <n v="358110" u="1"/>
        <n v="391119" u="1"/>
        <n v="355360" u="1"/>
        <n v="358111" u="1"/>
        <n v="358112" u="1"/>
        <n v="358113" u="1"/>
        <n v="358114" u="1"/>
        <n v="358115" u="1"/>
        <n v="358116" u="1"/>
        <n v="358117" u="1"/>
        <n v="358118" u="1"/>
        <n v="358119" u="1"/>
        <n v="358120" u="1"/>
        <n v="358121" u="1"/>
        <n v="358122" u="1"/>
        <n v="358123" u="1"/>
        <n v="358124" u="1"/>
        <n v="1022688" u="1"/>
        <n v="358125" u="1"/>
        <n v="358126" u="1"/>
        <n v="358127" u="1"/>
        <n v="358128" u="1"/>
        <n v="396639" u="1"/>
        <n v="396641" u="1"/>
        <n v="396642" u="1"/>
        <n v="396643" u="1"/>
        <n v="336128" u="1"/>
        <n v="358135" u="1"/>
        <n v="396646" u="1"/>
        <n v="336130" u="1"/>
        <n v="358136" u="1"/>
        <n v="396647" u="1"/>
        <n v="385647" u="1"/>
        <n v="363645" u="1"/>
        <n v="363646" u="1"/>
        <n v="363647" u="1"/>
        <n v="363648" u="1"/>
        <n v="385656" u="1"/>
        <n v="385664" u="1"/>
        <n v="385665" u="1"/>
        <n v="385666" u="1"/>
        <n v="385667" u="1"/>
        <n v="333405" u="1"/>
        <n v="333406" u="1"/>
        <n v="333407" u="1"/>
        <n v="333408" u="1"/>
        <n v="333409" u="1"/>
        <n v="333410" u="1"/>
        <n v="341668" u="1"/>
        <n v="322414" u="1"/>
        <n v="216634" u="1"/>
        <n v="322416" u="1"/>
        <n v="391185" u="1"/>
        <n v="382935" u="1"/>
        <n v="336175" u="1"/>
        <n v="349930" u="1"/>
        <n v="377440" u="1"/>
        <n v="396703" u="1"/>
        <n v="330687" u="1"/>
        <n v="341690" u="1"/>
        <n v="330688" u="1"/>
        <n v="360947" u="1"/>
        <n v="325215" u="1"/>
        <n v="341735" u="1"/>
        <n v="1006418" u="1"/>
        <n v="341738" u="1"/>
        <n v="317006" u="1"/>
        <n v="322509" u="1"/>
        <n v="322510" u="1"/>
        <n v="317009" u="1"/>
        <n v="341770" u="1"/>
        <n v="317014" u="1"/>
        <n v="330768" u="1"/>
        <n v="391285" u="1"/>
        <n v="330769" u="1"/>
        <n v="391286" u="1"/>
        <n v="306013" u="1"/>
        <n v="391289" u="1"/>
        <n v="295022" u="1"/>
        <n v="295025" u="1"/>
        <n v="295026" u="1"/>
        <n v="295027" u="1"/>
        <n v="295028" u="1"/>
        <n v="295030" u="1"/>
        <n v="295032" u="1"/>
        <n v="295033" u="1"/>
        <n v="295035" u="1"/>
        <n v="295036" u="1"/>
        <n v="295038" u="1"/>
        <n v="295041" u="1"/>
        <n v="295044" u="1"/>
        <n v="295046" u="1"/>
        <n v="295047" u="1"/>
        <n v="306051" u="1"/>
        <n v="204326" u="1"/>
        <n v="295049" u="1"/>
        <n v="391326" u="1"/>
        <n v="204327" u="1"/>
        <n v="1012079" u="1"/>
        <n v="352834" u="1"/>
        <n v="295070" u="1"/>
        <n v="358338" u="1"/>
        <n v="344588" u="1"/>
        <n v="295078" u="1"/>
        <n v="295079" u="1"/>
        <n v="358348" u="1"/>
        <n v="358349" u="1"/>
        <n v="369352" u="1"/>
        <n v="355599" u="1"/>
        <n v="275828" u="1"/>
        <n v="355601" u="1"/>
        <n v="275830" u="1"/>
        <n v="275833" u="1"/>
        <n v="295091" u="1"/>
        <n v="295092" u="1"/>
        <n v="295093" u="1"/>
        <n v="295097" u="1"/>
        <n v="295099" u="1"/>
        <n v="295102" u="1"/>
        <n v="355623" u="1"/>
        <n v="355624" u="1"/>
        <n v="355629" u="1"/>
        <n v="374888" u="1"/>
        <n v="278612" u="1"/>
        <n v="361135" u="1"/>
        <n v="270364" u="1"/>
        <n v="278617" u="1"/>
        <n v="295125" u="1"/>
        <n v="295135" u="1"/>
        <n v="322646" u="1"/>
        <n v="322650" u="1"/>
        <n v="1017758" u="1"/>
        <n v="330906" u="1"/>
        <n v="352913" u="1"/>
        <n v="317154" u="1"/>
        <n v="352914" u="1"/>
        <n v="1017773" u="1"/>
        <n v="317157" u="1"/>
        <n v="361173" u="1"/>
        <n v="361174" u="1"/>
        <n v="1017784" u="1"/>
        <n v="1017785" u="1"/>
        <n v="361175" u="1"/>
        <n v="322667" u="1"/>
        <n v="358433" u="1"/>
        <n v="1023312" u="1"/>
        <n v="361189" u="1"/>
        <n v="1023315" u="1"/>
        <n v="1023319" u="1"/>
        <n v="339188" u="1"/>
        <n v="352943" u="1"/>
        <n v="352945" u="1"/>
        <n v="361200" u="1"/>
        <n v="306186" u="1"/>
        <n v="361201" u="1"/>
        <n v="325445" u="1"/>
        <n v="355704" u="1"/>
        <n v="325446" u="1"/>
        <n v="355705" u="1"/>
        <n v="295196" u="1"/>
        <n v="352963" u="1"/>
        <n v="361216" u="1"/>
        <n v="355719" u="1"/>
        <n v="361222" u="1"/>
        <n v="355721" u="1"/>
        <n v="361223" u="1"/>
        <n v="322713" u="1"/>
        <n v="361226" u="1"/>
        <n v="361227" u="1"/>
        <n v="361228" u="1"/>
        <n v="361229" u="1"/>
        <n v="352982" u="1"/>
        <n v="297969" u="1"/>
        <n v="366742" u="1"/>
        <n v="366743" u="1"/>
        <n v="297977" u="1"/>
        <n v="344750" u="1"/>
        <n v="366758" u="1"/>
        <n v="289738" u="1"/>
        <n v="369517" u="1"/>
        <n v="369518" u="1"/>
        <n v="358516" u="1"/>
        <n v="372270" u="1"/>
        <n v="372280" u="1"/>
        <n v="1017991" u="1"/>
        <n v="372281" u="1"/>
        <n v="369532" u="1"/>
        <n v="314520" u="1"/>
        <n v="1018002" u="1"/>
        <n v="358536" u="1"/>
        <n v="355786" u="1"/>
        <n v="358537" u="1"/>
        <n v="358540" u="1"/>
        <n v="358541" u="1"/>
        <n v="355791" u="1"/>
        <n v="358543" u="1"/>
        <n v="328285" u="1"/>
        <n v="358545" u="1"/>
        <n v="358547" u="1"/>
        <n v="358548" u="1"/>
        <n v="358550" u="1"/>
        <n v="358551" u="1"/>
        <n v="342047" u="1"/>
        <n v="249832" u="1"/>
        <n v="249834" u="1"/>
        <n v="358558" u="1"/>
        <n v="358559" u="1"/>
        <n v="358560" u="1"/>
        <n v="358561" u="1"/>
        <n v="358562" u="1"/>
        <n v="328304" u="1"/>
        <n v="358564" u="1"/>
        <n v="344821" u="1"/>
        <n v="1007085" u="1"/>
        <n v="344822" u="1"/>
        <n v="344823" u="1"/>
        <n v="344824" u="1"/>
        <n v="358578" u="1"/>
        <n v="344825" u="1"/>
        <n v="358579" u="1"/>
        <n v="344826" u="1"/>
        <n v="358580" u="1"/>
        <n v="344827" u="1"/>
        <n v="344828" u="1"/>
        <n v="344829" u="1"/>
        <n v="344830" u="1"/>
        <n v="344832" u="1"/>
        <n v="344833" u="1"/>
        <n v="369590" u="1"/>
        <n v="383344" u="1"/>
        <n v="344834" u="1"/>
        <n v="344835" u="1"/>
        <n v="344836" u="1"/>
        <n v="344837" u="1"/>
        <n v="344841" u="1"/>
        <n v="344842" u="1"/>
        <n v="344843" u="1"/>
        <n v="344844" u="1"/>
        <n v="344845" u="1"/>
        <n v="1001640" u="1"/>
        <n v="1001642" u="1"/>
        <n v="1001644" u="1"/>
        <n v="1001652" u="1"/>
        <n v="372366" u="1"/>
        <n v="1023663" u="1"/>
        <n v="386123" u="1"/>
        <n v="344862" u="1"/>
        <n v="287101" u="1"/>
        <n v="1018178" u="1"/>
        <n v="1018199" u="1"/>
        <n v="1018206" u="1"/>
        <n v="333898" u="1"/>
        <n v="333899" u="1"/>
        <n v="333900" u="1"/>
        <n v="333901" u="1"/>
        <n v="333902" u="1"/>
        <n v="333903" u="1"/>
        <n v="314655" u="1"/>
        <n v="380682" u="1"/>
        <n v="366930" u="1"/>
        <n v="331171" u="1"/>
        <n v="366931" u="1"/>
        <n v="366932" u="1"/>
        <n v="331179" u="1"/>
        <n v="355936" u="1"/>
        <n v="331180" u="1"/>
        <n v="331181" u="1"/>
        <n v="331182" u="1"/>
        <n v="292672" u="1"/>
        <n v="314678" u="1"/>
        <n v="331183" u="1"/>
        <n v="300927" u="1"/>
        <n v="331188" u="1"/>
        <n v="300930" u="1"/>
        <n v="292680" u="1"/>
        <n v="383456" u="1"/>
        <n v="278928" u="1"/>
        <n v="300935" u="1"/>
        <n v="278931" u="1"/>
        <n v="364210" u="1"/>
        <n v="364211" u="1"/>
        <n v="336704" u="1"/>
        <n v="336706" u="1"/>
        <n v="1023864" u="1"/>
        <n v="1018366" u="1"/>
        <n v="336709" u="1"/>
        <n v="325708" u="1"/>
        <n v="380734" u="1"/>
        <n v="292713" u="1"/>
        <n v="328473" u="1"/>
        <n v="380738" u="1"/>
        <n v="350484" u="1"/>
        <n v="322977" u="1"/>
        <n v="328480" u="1"/>
        <n v="350487" u="1"/>
        <n v="322980" u="1"/>
        <n v="1001913" u="1"/>
        <n v="358741" u="1"/>
        <n v="328483" u="1"/>
        <n v="322985" u="1"/>
        <n v="378003" u="1"/>
        <n v="252681" u="1"/>
        <n v="1001933" u="1"/>
        <n v="331244" u="1"/>
        <n v="328494" u="1"/>
        <n v="328503" u="1"/>
        <n v="328504" u="1"/>
        <n v="328505" u="1"/>
        <n v="356013" u="1"/>
        <n v="358764" u="1"/>
        <n v="328506" u="1"/>
        <n v="328508" u="1"/>
        <n v="328509" u="1"/>
        <n v="218306" u="1"/>
        <n v="342269" u="1"/>
        <n v="342280" u="1"/>
        <n v="295521" u="1"/>
        <n v="320281" u="1"/>
        <n v="314782" u="1"/>
        <n v="295529" u="1"/>
        <n v="372550" u="1"/>
        <n v="314785" u="1"/>
        <n v="369804" u="1"/>
        <n v="369805" u="1"/>
        <n v="369806" u="1"/>
        <n v="369807" u="1"/>
        <n v="1007544" u="1"/>
        <n v="342302" u="1"/>
        <n v="342303" u="1"/>
        <n v="1013056" u="1"/>
        <n v="342307" u="1"/>
        <n v="1002060" u="1"/>
        <n v="342321" u="1"/>
        <n v="342322" u="1"/>
        <n v="342323" u="1"/>
        <n v="342324" u="1"/>
        <n v="342325" u="1"/>
        <n v="342326" u="1"/>
        <n v="342331" u="1"/>
        <n v="356097" u="1"/>
        <n v="218347" u="1"/>
        <n v="218348" u="1"/>
        <n v="218349" u="1"/>
        <n v="353354" u="1"/>
        <n v="356113" u="1"/>
        <n v="356115" u="1"/>
        <n v="356116" u="1"/>
        <n v="356117" u="1"/>
        <n v="356118" u="1"/>
        <n v="356134" u="1"/>
        <n v="350633" u="1"/>
        <n v="325877" u="1"/>
        <n v="350635" u="1"/>
        <n v="353391" u="1"/>
        <n v="342397" u="1"/>
        <n v="334158" u="1"/>
        <n v="358916" u="1"/>
        <n v="358917" u="1"/>
        <n v="358942" u="1"/>
        <n v="273669" u="1"/>
        <n v="358943" u="1"/>
        <n v="317683" u="1"/>
        <n v="356200" u="1"/>
        <n v="358959" u="1"/>
        <n v="1002352" u="1"/>
        <n v="1002353" u="1"/>
        <n v="1002357" u="1"/>
        <n v="353464" u="1"/>
        <n v="353466" u="1"/>
        <n v="375472" u="1"/>
        <n v="375473" u="1"/>
        <n v="342467" u="1"/>
        <n v="375476" u="1"/>
        <n v="279202" u="1"/>
        <n v="342471" u="1"/>
        <n v="375480" u="1"/>
        <n v="353478" u="1"/>
        <n v="353479" u="1"/>
        <n v="353481" u="1"/>
        <n v="356233" u="1"/>
        <n v="378239" u="1"/>
        <n v="342481" u="1"/>
        <n v="356235" u="1"/>
        <n v="356236" u="1"/>
        <n v="342483" u="1"/>
        <n v="356238" u="1"/>
        <n v="339734" u="1"/>
        <n v="358995" u="1"/>
        <n v="358996" u="1"/>
        <n v="378255" u="1"/>
        <n v="364505" u="1"/>
        <n v="364519" u="1"/>
        <n v="315011" u="1"/>
        <n v="315012" u="1"/>
        <n v="339771" u="1"/>
        <n v="339774" u="1"/>
        <n v="315018" u="1"/>
        <n v="315019" u="1"/>
        <n v="1013499" u="1"/>
        <n v="1013500" u="1"/>
        <n v="315025" u="1"/>
        <n v="315027" u="1"/>
        <n v="315028" u="1"/>
        <n v="353543" u="1"/>
        <n v="315034" u="1"/>
        <n v="315035" u="1"/>
        <n v="342544" u="1"/>
        <n v="342545" u="1"/>
        <n v="342546" u="1"/>
        <n v="342547" u="1"/>
        <n v="342548" u="1"/>
        <n v="342549" u="1"/>
        <n v="315042" u="1"/>
        <n v="315043" u="1"/>
        <n v="342551" u="1"/>
        <n v="315044" u="1"/>
        <n v="320549" u="1"/>
        <n v="364562" u="1"/>
        <n v="315054" u="1"/>
        <n v="315055" u="1"/>
        <n v="315056" u="1"/>
        <n v="320567" u="1"/>
        <n v="370081" u="1"/>
        <n v="372832" u="1"/>
        <n v="320568" u="1"/>
        <n v="359079" u="1"/>
        <n v="370083" u="1"/>
        <n v="370088" u="1"/>
        <n v="320577" u="1"/>
        <n v="370093" u="1"/>
        <n v="287572" u="1"/>
        <n v="320581" u="1"/>
        <n v="359092" u="1"/>
        <n v="287573" u="1"/>
        <n v="315081" u="1"/>
        <n v="287574" u="1"/>
        <n v="364596" u="1"/>
        <n v="287576" u="1"/>
        <n v="320585" u="1"/>
        <n v="320587" u="1"/>
        <n v="320591" u="1"/>
        <n v="320593" u="1"/>
        <n v="320594" u="1"/>
        <n v="364608" u="1"/>
        <n v="364609" u="1"/>
        <n v="372862" u="1"/>
        <n v="320598" u="1"/>
        <n v="364610" u="1"/>
        <n v="364611" u="1"/>
        <n v="320600" u="1"/>
        <n v="364613" u="1"/>
        <n v="290344" u="1"/>
        <n v="293095" u="1"/>
        <n v="293096" u="1"/>
        <n v="317853" u="1"/>
        <n v="320604" u="1"/>
        <n v="293097" u="1"/>
        <n v="293098" u="1"/>
        <n v="276595" u="1"/>
        <n v="320607" u="1"/>
        <n v="320609" u="1"/>
        <n v="359120" u="1"/>
        <n v="342625" u="1"/>
        <n v="317869" u="1"/>
        <n v="1013698" u="1"/>
        <n v="1013699" u="1"/>
        <n v="1013701" u="1"/>
        <n v="345381" u="1"/>
        <n v="353635" u="1"/>
        <n v="364646" u="1"/>
        <n v="293128" u="1"/>
        <n v="364648" u="1"/>
        <n v="334391" u="1"/>
        <n v="353647" u="1"/>
        <n v="353648" u="1"/>
        <n v="353649" u="1"/>
        <n v="317890" u="1"/>
        <n v="364654" u="1"/>
        <n v="317892" u="1"/>
        <n v="370159" u="1"/>
        <n v="372913" u="1"/>
        <n v="320666" u="1"/>
        <n v="359178" u="1"/>
        <n v="320668" u="1"/>
        <n v="334423" u="1"/>
        <n v="334425" u="1"/>
        <n v="320673" u="1"/>
        <n v="320676" u="1"/>
        <n v="320677" u="1"/>
        <n v="356437" u="1"/>
        <n v="359188" u="1"/>
        <n v="331683" u="1"/>
        <n v="315183" u="1"/>
        <n v="326189" u="1"/>
        <n v="342695" u="1"/>
        <n v="383957" u="1"/>
        <n v="342697" u="1"/>
        <n v="342699" u="1"/>
        <n v="262929" u="1"/>
        <n v="262939" u="1"/>
        <n v="342713" u="1"/>
        <n v="342719" u="1"/>
        <n v="342720" u="1"/>
        <n v="262949" u="1"/>
        <n v="342721" u="1"/>
        <n v="342722" u="1"/>
        <n v="359228" u="1"/>
        <n v="295961" u="1"/>
        <n v="342724" u="1"/>
        <n v="359230" u="1"/>
        <n v="342726" u="1"/>
        <n v="342727" u="1"/>
        <n v="342728" u="1"/>
        <n v="356487" u="1"/>
        <n v="331732" u="1"/>
        <n v="331733" u="1"/>
        <n v="293237" u="1"/>
        <n v="262989" u="1"/>
        <n v="384022" u="1"/>
        <n v="1013967" u="1"/>
        <n v="351020" u="1"/>
        <n v="329016" u="1"/>
        <n v="293260" u="1"/>
        <n v="293261" u="1"/>
        <n v="293264" u="1"/>
        <n v="329028" u="1"/>
        <n v="329030" u="1"/>
        <n v="351036" u="1"/>
        <n v="329031" u="1"/>
        <n v="274017" u="1"/>
        <n v="329032" u="1"/>
        <n v="329033" u="1"/>
        <n v="359292" u="1"/>
        <n v="329034" u="1"/>
        <n v="329035" u="1"/>
        <n v="359294" u="1"/>
        <n v="304280" u="1"/>
        <n v="329037" u="1"/>
        <n v="304281" u="1"/>
        <n v="1008526" u="1"/>
        <n v="329038" u="1"/>
        <n v="304283" u="1"/>
        <n v="304284" u="1"/>
        <n v="304285" u="1"/>
        <n v="304286" u="1"/>
        <n v="304288" u="1"/>
        <n v="304289" u="1"/>
        <n v="304290" u="1"/>
        <n v="373061" u="1"/>
        <n v="384069" u="1"/>
        <n v="373069" u="1"/>
        <n v="331811" u="1"/>
        <n v="351073" u="1"/>
        <n v="1003101" u="1"/>
        <n v="1003102" u="1"/>
        <n v="1003103" u="1"/>
        <n v="1003105" u="1"/>
        <n v="1008610" u="1"/>
        <n v="326330" u="1"/>
        <n v="326332" u="1"/>
        <n v="331834" u="1"/>
        <n v="351090" u="1"/>
        <n v="329085" u="1"/>
        <n v="326335" u="1"/>
        <n v="373099" u="1"/>
        <n v="359346" u="1"/>
        <n v="1008626" u="1"/>
        <n v="359347" u="1"/>
        <n v="359348" u="1"/>
        <n v="356600" u="1"/>
        <n v="356601" u="1"/>
        <n v="1008638" u="1"/>
        <n v="356602" u="1"/>
        <n v="356603" u="1"/>
        <n v="356604" u="1"/>
        <n v="351112" u="1"/>
        <n v="373123" u="1"/>
        <n v="389639" u="1"/>
        <n v="367635" u="1"/>
        <n v="359384" u="1"/>
        <n v="1008737" u="1"/>
        <n v="373157" u="1"/>
        <n v="271381" u="1"/>
        <n v="263131" u="1"/>
        <n v="290641" u="1"/>
        <n v="296149" u="1"/>
        <n v="290649" u="1"/>
        <n v="386941" u="1"/>
        <n v="386959" u="1"/>
        <n v="356716" u="1"/>
        <n v="290699" u="1"/>
        <n v="290704" u="1"/>
        <n v="318213" u="1"/>
        <n v="296214" u="1"/>
        <n v="290714" u="1"/>
        <n v="1003401" u="1"/>
        <n v="334728" u="1"/>
        <n v="1003402" u="1"/>
        <n v="1019912" u="1"/>
        <n v="1019913" u="1"/>
        <n v="290722" u="1"/>
        <n v="1014432" u="1"/>
        <n v="334743" u="1"/>
        <n v="334745" u="1"/>
        <n v="315496" u="1"/>
        <n v="285238" u="1"/>
        <n v="373271" u="1"/>
        <n v="381527" u="1"/>
        <n v="334766" u="1"/>
        <n v="321016" u="1"/>
        <n v="321017" u="1"/>
        <n v="321018" u="1"/>
        <n v="334773" u="1"/>
        <n v="1014508" u="1"/>
        <n v="1014510" u="1"/>
        <n v="370544" u="1"/>
        <n v="321031" u="1"/>
        <n v="370546" u="1"/>
        <n v="321033" u="1"/>
        <n v="370547" u="1"/>
        <n v="362297" u="1"/>
        <n v="321036" u="1"/>
        <n v="321038" u="1"/>
        <n v="370552" u="1"/>
        <n v="321039" u="1"/>
        <n v="370554" u="1"/>
        <n v="362303" u="1"/>
        <n v="370557" u="1"/>
        <n v="362305" u="1"/>
        <n v="370558" u="1"/>
        <n v="362306" u="1"/>
        <n v="362311" u="1"/>
        <n v="370565" u="1"/>
        <n v="395324" u="1"/>
        <n v="395325" u="1"/>
        <n v="395326" u="1"/>
        <n v="395328" u="1"/>
        <n v="356826" u="1"/>
        <n v="315565" u="1"/>
        <n v="345825" u="1"/>
        <n v="356833" u="1"/>
        <n v="315573" u="1"/>
        <n v="321076" u="1"/>
        <n v="321078" u="1"/>
        <n v="321079" u="1"/>
        <n v="321080" u="1"/>
        <n v="321081" u="1"/>
        <n v="321083" u="1"/>
        <n v="321085" u="1"/>
        <n v="337592" u="1"/>
        <n v="321089" u="1"/>
        <n v="321090" u="1"/>
        <n v="321091" u="1"/>
        <n v="321092" u="1"/>
        <n v="321094" u="1"/>
        <n v="321095" u="1"/>
        <n v="367858" u="1"/>
        <n v="321096" u="1"/>
        <n v="1014656" u="1"/>
        <n v="356860" u="1"/>
        <n v="290843" u="1"/>
        <n v="356861" u="1"/>
        <n v="290845" u="1"/>
        <n v="356863" u="1"/>
        <n v="362365" u="1"/>
        <n v="290847" u="1"/>
        <n v="290848" u="1"/>
        <n v="345867" u="1"/>
        <n v="290853" u="1"/>
        <n v="345868" u="1"/>
        <n v="362374" u="1"/>
        <n v="362375" u="1"/>
        <n v="376134" u="1"/>
        <n v="370633" u="1"/>
        <n v="362384" u="1"/>
        <n v="362385" u="1"/>
        <n v="395394" u="1"/>
        <n v="395395" u="1"/>
        <n v="370639" u="1"/>
        <n v="367889" u="1"/>
        <n v="266112" u="1"/>
        <n v="381646" u="1"/>
        <n v="354139" u="1"/>
        <n v="362394" u="1"/>
        <n v="318383" u="1"/>
        <n v="362395" u="1"/>
        <n v="354144" u="1"/>
        <n v="301880" u="1"/>
        <n v="318386" u="1"/>
        <n v="354147" u="1"/>
        <n v="395409" u="1"/>
        <n v="290881" u="1"/>
        <n v="301885" u="1"/>
        <n v="343147" u="1"/>
        <n v="290883" u="1"/>
        <n v="290884" u="1"/>
        <n v="367905" u="1"/>
        <n v="395413" u="1"/>
        <n v="321143" u="1"/>
        <n v="351402" u="1"/>
        <n v="301889" u="1"/>
        <n v="337649" u="1"/>
        <n v="395415" u="1"/>
        <n v="351404" u="1"/>
        <n v="351405" u="1"/>
        <n v="290891" u="1"/>
        <n v="395420" u="1"/>
        <n v="395421" u="1"/>
        <n v="290896" u="1"/>
        <n v="290897" u="1"/>
        <n v="359672" u="1"/>
        <n v="290904" u="1"/>
        <n v="359673" u="1"/>
        <n v="359674" u="1"/>
        <n v="359675" u="1"/>
        <n v="359676" u="1"/>
        <n v="359677" u="1"/>
        <n v="359678" u="1"/>
        <n v="343174" u="1"/>
        <n v="359679" u="1"/>
        <n v="359680" u="1"/>
        <n v="359681" u="1"/>
        <n v="359682" u="1"/>
        <n v="359683" u="1"/>
        <n v="359684" u="1"/>
        <n v="359685" u="1"/>
        <n v="359686" u="1"/>
        <n v="384443" u="1"/>
        <n v="359687" u="1"/>
        <n v="359688" u="1"/>
        <n v="290920" u="1"/>
        <n v="359689" u="1"/>
        <n v="351437" u="1"/>
        <n v="367942" u="1"/>
        <n v="367943" u="1"/>
        <n v="359691" u="1"/>
        <n v="359693" u="1"/>
        <n v="367946" u="1"/>
        <n v="359694" u="1"/>
        <n v="290928" u="1"/>
        <n v="318436" u="1"/>
        <n v="301933" u="1"/>
        <n v="301935" u="1"/>
        <n v="296435" u="1"/>
        <n v="362460" u="1"/>
        <n v="290945" u="1"/>
        <n v="354216" u="1"/>
        <n v="290953" u="1"/>
        <n v="354221" u="1"/>
        <n v="387231" u="1"/>
        <n v="296458" u="1"/>
        <n v="354224" u="1"/>
        <n v="318467" u="1"/>
        <n v="296463" u="1"/>
        <n v="304718" u="1"/>
        <n v="392742" u="1"/>
        <n v="304719" u="1"/>
        <n v="315726" u="1"/>
        <n v="362490" u="1"/>
        <n v="290973" u="1"/>
        <n v="354242" u="1"/>
        <n v="365248" u="1"/>
        <n v="290981" u="1"/>
        <n v="307488" u="1"/>
        <n v="392762" u="1"/>
        <n v="362512" u="1"/>
        <n v="318501" u="1"/>
        <n v="365264" u="1"/>
        <n v="290998" u="1"/>
        <n v="318507" u="1"/>
        <n v="318510" u="1"/>
        <n v="318513" u="1"/>
        <n v="291006" u="1"/>
        <n v="258696" u="1"/>
        <n v="318516" u="1"/>
        <n v="365280" u="1"/>
        <n v="318518" u="1"/>
        <n v="291011" u="1"/>
        <n v="318519" u="1"/>
        <n v="280009" u="1"/>
        <n v="318520" u="1"/>
        <n v="280010" u="1"/>
        <n v="280011" u="1"/>
        <n v="362534" u="1"/>
        <n v="280012" u="1"/>
        <n v="321274" u="1"/>
        <n v="1004003" u="1"/>
        <n v="280014" u="1"/>
        <n v="280016" u="1"/>
        <n v="291019" u="1"/>
        <n v="362539" u="1"/>
        <n v="1004010" u="1"/>
        <n v="318528" u="1"/>
        <n v="362540" u="1"/>
        <n v="280018" u="1"/>
        <n v="318529" u="1"/>
        <n v="280019" u="1"/>
        <n v="280020" u="1"/>
        <n v="296528" u="1"/>
        <n v="247703" u="1"/>
        <n v="236701" u="1"/>
        <n v="285530" u="1"/>
        <n v="285538" u="1"/>
        <n v="291051" u="1"/>
        <n v="291059" u="1"/>
        <n v="381845" u="1"/>
        <n v="227096" u="1"/>
        <n v="291075" u="1"/>
        <n v="291083" u="1"/>
        <n v="296588" u="1"/>
        <n v="291087" u="1"/>
        <n v="376368" u="1"/>
        <n v="302098" u="1"/>
        <n v="291101" u="1"/>
        <n v="362621" u="1"/>
        <n v="362627" u="1"/>
        <n v="354375" u="1"/>
        <n v="376382" u="1"/>
        <n v="291109" u="1"/>
        <n v="359878" u="1"/>
        <n v="348877" u="1"/>
        <n v="362632" u="1"/>
        <n v="354380" u="1"/>
        <n v="307619" u="1"/>
        <n v="362637" u="1"/>
        <n v="354388" u="1"/>
        <n v="376394" u="1"/>
        <n v="362641" u="1"/>
        <n v="376395" u="1"/>
        <n v="368143" u="1"/>
        <n v="376396" u="1"/>
        <n v="376397" u="1"/>
        <n v="376398" u="1"/>
        <n v="291132" u="1"/>
        <n v="362652" u="1"/>
        <n v="291140" u="1"/>
        <n v="1004263" u="1"/>
        <n v="343416" u="1"/>
        <n v="343417" u="1"/>
        <n v="343418" u="1"/>
        <n v="370926" u="1"/>
        <n v="373677" u="1"/>
        <n v="343419" u="1"/>
        <n v="395689" u="1"/>
        <n v="395690" u="1"/>
        <n v="354431" u="1"/>
        <n v="395694" u="1"/>
        <n v="395695" u="1"/>
        <n v="359938" u="1"/>
        <n v="395700" u="1"/>
        <n v="321434" u="1"/>
        <n v="395705" u="1"/>
        <n v="384703" u="1"/>
        <n v="362698" u="1"/>
        <n v="395707" u="1"/>
        <n v="266422" u="1"/>
        <n v="373703" u="1"/>
        <n v="384706" u="1"/>
        <n v="373706" u="1"/>
        <n v="384709" u="1"/>
        <n v="395712" u="1"/>
        <n v="266427" u="1"/>
        <n v="387465" u="1"/>
        <n v="373715" u="1"/>
        <n v="370966" u="1"/>
        <n v="373718" u="1"/>
        <n v="329712" u="1"/>
        <n v="354497" u="1"/>
        <n v="348996" u="1"/>
        <n v="282979" u="1"/>
        <n v="354500" u="1"/>
        <n v="337996" u="1"/>
        <n v="354502" u="1"/>
        <n v="282987" u="1"/>
        <n v="288491" u="1"/>
        <n v="335256" u="1"/>
        <n v="368267" u="1"/>
        <n v="282994" u="1"/>
        <n v="382024" u="1"/>
        <n v="283000" u="1"/>
        <n v="371038" u="1"/>
        <n v="390294" u="1"/>
        <n v="382043" u="1"/>
        <n v="371043" u="1"/>
        <n v="360046" u="1"/>
        <n v="318785" u="1"/>
        <n v="318786" u="1"/>
        <n v="318787" u="1"/>
        <n v="318788" u="1"/>
        <n v="318791" u="1"/>
        <n v="318792" u="1"/>
        <n v="318793" u="1"/>
        <n v="318794" u="1"/>
        <n v="382062" u="1"/>
        <n v="318796" u="1"/>
        <n v="318801" u="1"/>
        <n v="360066" u="1"/>
        <n v="382080" u="1"/>
        <n v="360076" u="1"/>
        <n v="395836" u="1"/>
        <n v="354576" u="1"/>
        <n v="395838" u="1"/>
        <n v="354579" u="1"/>
        <n v="395841" u="1"/>
        <n v="395844" u="1"/>
        <n v="395848" u="1"/>
        <n v="395850" u="1"/>
        <n v="395852" u="1"/>
        <n v="382099" u="1"/>
        <n v="360095" u="1"/>
        <n v="382117" u="1"/>
        <n v="321601" u="1"/>
        <n v="382137" u="1"/>
        <n v="395891" u="1"/>
        <n v="354631" u="1"/>
        <n v="351884" u="1"/>
        <n v="346383" u="1"/>
        <n v="346384" u="1"/>
        <n v="346385" u="1"/>
        <n v="379395" u="1"/>
        <n v="360143" u="1"/>
        <n v="338140" u="1"/>
        <n v="338141" u="1"/>
        <n v="346411" u="1"/>
        <n v="283145" u="1"/>
      </sharedItems>
    </cacheField>
    <cacheField name="Parent" numFmtId="0">
      <sharedItems containsString="0" containsBlank="1" containsNumber="1" containsInteger="1" minValue="216473" maxValue="1023794"/>
    </cacheField>
    <cacheField name="Type" numFmtId="0">
      <sharedItems containsBlank="1" count="7">
        <s v="Story"/>
        <s v="Feature"/>
        <s v="Task"/>
        <s v="Program Epic"/>
        <s v="Problem"/>
        <m/>
        <s v="Retrospective" u="1"/>
      </sharedItems>
    </cacheField>
    <cacheField name="Status" numFmtId="0">
      <sharedItems containsBlank="1" count="25">
        <s v="New"/>
        <s v="Draft"/>
        <s v="Done"/>
        <s v="Implementing"/>
        <s v="Analyzing"/>
        <s v="Approved"/>
        <s v="Approved to Decompose"/>
        <s v="Assessing"/>
        <s v="Cancelled"/>
        <s v="Closed"/>
        <m/>
        <s v="In Progress" u="1"/>
        <s v="Ready for IPT Review" u="1"/>
        <s v="Verifying" u="1"/>
        <s v="In Development" u="1"/>
        <s v="Ready (for Approval)" u="1"/>
        <s v="Ready for Acceptance" u="1"/>
        <s v="Deciding" u="1"/>
        <s v="Ready for PO Sync Approval" u="1"/>
        <s v="Testing" u="1"/>
        <s v="Ready for System IPT Approval" u="1"/>
        <s v="Invalid" u="1"/>
        <s v="Close Pending" u="1"/>
        <s v="In Test" u="1"/>
        <s v="Triage" u="1"/>
      </sharedItems>
    </cacheField>
    <cacheField name="Summary" numFmtId="0">
      <sharedItems containsBlank="1"/>
    </cacheField>
    <cacheField name="Planned For" numFmtId="0">
      <sharedItems containsBlank="1" containsMixedTypes="1" containsNumber="1" minValue="0.23076923076923078" maxValue="0.23076923076923078" count="49">
        <s v="Unassigned"/>
        <s v="Future"/>
        <s v="EA 12.1 (archived)"/>
        <s v="EA 12.3 (archived)"/>
        <s v="EA 12.4 (archived)"/>
        <s v="EA 12.5 (archived)"/>
        <s v="EA 12.6 (archived)"/>
        <s v="EA 12.7 (archived)"/>
        <s v="EA 12.2 (archived)"/>
        <s v="EA 14.1"/>
        <s v="EA 14.2"/>
        <s v="EA 14.3"/>
        <s v="EA 14.4"/>
        <s v="EA 14.5"/>
        <s v="EA 15.1"/>
        <s v="EA 15.2"/>
        <s v="EA 15.3"/>
        <s v="EA 15.4"/>
        <s v="EA 15.5"/>
        <s v="EA 16.1"/>
        <s v="EA 16.2"/>
        <s v="PI 16 - In Progress"/>
        <s v="EA 13.2 (archived)"/>
        <s v="EA 13.3 (archived)"/>
        <s v="EA 13.4 (archived)"/>
        <s v="EA 13.7 (archived)"/>
        <s v="EA 13.1 (archived)"/>
        <s v="EA 13.6 (archived)"/>
        <s v="EA 13.5 (archived)"/>
        <s v="EA 16.3"/>
        <s v="EA 16.4"/>
        <s v="EA 16.5"/>
        <s v="PI 16"/>
        <s v="PI 16 - Candidate"/>
        <s v="PI 17"/>
        <s v="PI 18"/>
        <s v="PI 22"/>
        <s v="EA 17.2"/>
        <s v="SB Future (archived)"/>
        <s v="EA 17.1"/>
        <s v="EA 17.3"/>
        <s v="PI 05 (archived) (archived)"/>
        <s v="PI 06 (archived)"/>
        <s v="PI 06 (archived) (archived)"/>
        <s v="PI 07 (archived) (archived)"/>
        <s v="PI 08 (archived) (archived)"/>
        <s v="PI 11 (archived)"/>
        <m/>
        <n v="0.23076923076923078" u="1"/>
      </sharedItems>
    </cacheField>
    <cacheField name="Story Points (numeric)" numFmtId="0">
      <sharedItems containsString="0" containsBlank="1" containsNumber="1" containsInteger="1" minValue="0" maxValue="20"/>
    </cacheField>
    <cacheField name="Target Deployment" numFmtId="0">
      <sharedItems containsBlank="1" count="19">
        <m/>
        <s v="EAD N/A"/>
        <s v="EAD OOC"/>
        <s v="EAD 18"/>
        <s v="EAD 15"/>
        <s v="Unassigned"/>
        <s v="EAD 17"/>
        <s v="EAD 16"/>
        <s v="EAD 14"/>
        <s v="EAD 10"/>
        <s v="EAD 11" u="1"/>
        <s v="EAD 12" u="1"/>
        <s v="EAD 13" u="1"/>
        <s v="EAD Long Lead" u="1"/>
        <s v="EAD 10 Candidate" u="1"/>
        <s v="EAD 11 Candidate" u="1"/>
        <s v="EAD 9.0" u="1"/>
        <s v="EAD 11 OOC" u="1"/>
        <s v="EAD 14 Documents" u="1"/>
      </sharedItems>
    </cacheField>
    <cacheField name="Depends On" numFmtId="0">
      <sharedItems containsBlank="1"/>
    </cacheField>
    <cacheField name="Filed Against" numFmtId="0">
      <sharedItems containsBlank="1"/>
    </cacheField>
    <cacheField name="Owned By" numFmtId="0">
      <sharedItems containsBlank="1"/>
    </cacheField>
    <cacheField name="Owner" numFmtId="0">
      <sharedItems containsBlank="1" count="69">
        <s v="TBD"/>
        <s v="Craig D"/>
        <s v="Derek"/>
        <s v="Dave C"/>
        <s v="Will"/>
        <s v="Tony"/>
        <s v="Ted"/>
        <s v="Chris"/>
        <s v="Conan"/>
        <s v="Randy"/>
        <s v="Mark K"/>
        <s v="Dave G"/>
        <s v="Gerald V"/>
        <s v="Brandon E"/>
        <e v="#N/A"/>
        <s v="John"/>
        <s v="Kent"/>
        <s v="Mike MD"/>
        <s v="Mike MG"/>
        <s v="Alice"/>
        <s v="Carol"/>
        <s v="Robert S"/>
        <s v="Dave H"/>
        <s v="Kirk"/>
        <s v="Shawn R"/>
        <s v="Mike K"/>
        <s v="Salazar, Charlie"/>
        <s v="Allen Y"/>
        <s v="Chris T"/>
        <s v="Michael V"/>
        <s v="Hemant"/>
        <s v="Mateo A"/>
        <s v="Joel A"/>
        <s v="Greg"/>
        <s v="Dustin D"/>
        <m/>
        <s v="Nicholas" u="1"/>
        <s v="Gerald" u="1"/>
        <s v="Chris M" u="1"/>
        <s v="Amie" u="1"/>
        <s v="Dan L" u="1"/>
        <s v="Rich N" u="1"/>
        <s v="Emory D" u="1"/>
        <s v="Joseph" u="1"/>
        <s v="Dave" u="1"/>
        <s v="Aaron S" u="1"/>
        <s v="Mike M" u="1"/>
        <s v="Eric N" u="1"/>
        <s v="Travis" u="1"/>
        <s v="Craig" u="1"/>
        <s v="Richard P" u="1"/>
        <s v="Nick" u="1"/>
        <s v="Bob N" u="1"/>
        <s v="Paul R" u="1"/>
        <s v="Craig F" u="1"/>
        <s v="Sally W" u="1"/>
        <s v="Bernie S" u="1"/>
        <s v="Francesco M" u="1"/>
        <s v="Ray L" u="1"/>
        <s v="Frencesco M" u="1"/>
        <s v="Josh W" u="1"/>
        <s v="Bob" u="1"/>
        <s v="Barry B" u="1"/>
        <s v="Other" u="1"/>
        <s v="Glen J" u="1"/>
        <s v="Amelia W" u="1"/>
        <s v="Ricardo M" u="1"/>
        <s v="Aaron" u="1"/>
        <s v="Mike D" u="1"/>
      </sharedItems>
    </cacheField>
    <cacheField name="Team" numFmtId="0">
      <sharedItems containsBlank="1" count="26">
        <s v="Cyber"/>
        <e v="#N/A"/>
        <s v="SIC"/>
        <s v="System Engineering"/>
        <s v="Magic"/>
        <s v="Okapi"/>
        <s v="TOFF"/>
        <m/>
        <s v="ETI" u="1"/>
        <s v="HBSS" u="1"/>
        <s v="SE" u="1"/>
        <s v="A&amp;A" u="1"/>
        <s v="WF_RAN" u="1"/>
        <s v="Alicorn" u="1"/>
        <s v="CSE" u="1"/>
        <s v="IETM-Training" u="1"/>
        <s v="CES" u="1"/>
        <s v="Obsolescence" u="1"/>
        <s v="RMF" u="1"/>
        <s v="RelMgt" u="1"/>
        <s v="UX" u="1"/>
        <s v="ILS" u="1"/>
        <s v="TBD" u="1"/>
        <s v="Laptops" u="1"/>
        <s v="SA" u="1"/>
        <s v="dep" u="1"/>
      </sharedItems>
    </cacheField>
    <cacheField name="PI 15 Rank" numFmtId="0">
      <sharedItems containsBlank="1" containsMixedTypes="1" containsNumber="1" containsInteger="1" minValue="2" maxValue="81"/>
    </cacheField>
    <cacheField name="PI13 Rank" numFmtId="0">
      <sharedItems containsBlank="1" containsMixedTypes="1" containsNumber="1" containsInteger="1" minValue="3" maxValue="119" count="71">
        <e v="#N/A"/>
        <n v="24"/>
        <n v="23"/>
        <n v="26"/>
        <n v="28"/>
        <n v="22"/>
        <n v="18"/>
        <n v="25"/>
        <n v="59"/>
        <n v="101"/>
        <n v="61"/>
        <n v="64"/>
        <n v="47"/>
        <n v="93"/>
        <n v="48"/>
        <n v="41"/>
        <n v="3"/>
        <n v="14"/>
        <n v="65"/>
        <n v="15"/>
        <n v="4"/>
        <n v="11"/>
        <n v="46"/>
        <n v="16"/>
        <n v="44"/>
        <m/>
        <n v="7" u="1"/>
        <n v="69" u="1"/>
        <n v="95" u="1"/>
        <n v="19" u="1"/>
        <n v="107" u="1"/>
        <n v="67" u="1"/>
        <n v="52" u="1"/>
        <n v="32" u="1"/>
        <n v="9" u="1"/>
        <n v="6" u="1"/>
        <n v="106" u="1"/>
        <n v="66" u="1"/>
        <n v="45" u="1"/>
        <n v="119" u="1"/>
        <n v="92" u="1"/>
        <n v="58" u="1"/>
        <n v="38" u="1"/>
        <n v="105" u="1"/>
        <n v="51" u="1"/>
        <n v="12" u="1"/>
        <n v="90" u="1"/>
        <n v="57" u="1"/>
        <n v="37" u="1"/>
        <n v="50" u="1"/>
        <n v="31" u="1"/>
        <n v="102" u="1"/>
        <n v="63" u="1"/>
        <n v="43" u="1"/>
        <n v="115" u="1"/>
        <n v="56" u="1"/>
        <n v="74" u="1"/>
        <n v="49" u="1"/>
        <n v="87" u="1"/>
        <n v="27" u="1"/>
        <n v="17" u="1"/>
        <n v="55" u="1"/>
        <n v="35" u="1"/>
        <n v="30" u="1"/>
        <n v="20" u="1"/>
        <n v="8" u="1"/>
        <n v="98" u="1"/>
        <n v="71" u="1"/>
        <n v="70" u="1"/>
        <n v="96" u="1"/>
        <n v="60" u="1"/>
      </sharedItems>
    </cacheField>
    <cacheField name="Error" numFmtId="0">
      <sharedItems containsBlank="1" count="9">
        <s v=""/>
        <s v="ParentNotInCyberQuery"/>
        <s v="FeatureHasNoStories"/>
        <m/>
        <s v="Missing_ParentEntry" u="1"/>
        <s v="Warning: StoryParentIs_Story_NotFeature" u="1"/>
        <s v="MissingGrandparent" u="1"/>
        <s v="ZeroEntry" u="1"/>
        <s v="ParentNotInCyber" u="1"/>
      </sharedItems>
    </cacheField>
    <cacheField name="Epic" numFmtId="0">
      <sharedItems containsBlank="1" containsMixedTypes="1" containsNumber="1" containsInteger="1" minValue="216552" maxValue="1022688" count="15">
        <n v="216552"/>
        <n v="244386"/>
        <n v="245559"/>
        <n v="245560"/>
        <n v="350955"/>
        <n v="352941"/>
        <n v="352942"/>
        <n v="360670"/>
        <n v="1022362"/>
        <n v="1022688"/>
        <s v="MT"/>
        <s v="N/A"/>
        <e v="#N/A"/>
        <m/>
        <n v="245561" u="1"/>
      </sharedItems>
    </cacheField>
    <cacheField name="Feature" numFmtId="0">
      <sharedItems containsString="0" containsBlank="1" containsNumber="1" containsInteger="1" minValue="0" maxValue="1023839" count="236">
        <n v="325227"/>
        <n v="335885"/>
        <n v="335969"/>
        <n v="336108"/>
        <n v="354169"/>
        <n v="354228"/>
        <n v="371502"/>
        <n v="372921"/>
        <n v="386931"/>
        <n v="390286"/>
        <n v="364204"/>
        <n v="385260"/>
        <n v="365530"/>
        <n v="342384"/>
        <n v="360670"/>
        <n v="369840"/>
        <n v="370599"/>
        <n v="371201"/>
        <n v="380721"/>
        <n v="380735"/>
        <n v="380749"/>
        <n v="392530"/>
        <n v="395373"/>
        <n v="395688"/>
        <n v="395835"/>
        <n v="395853"/>
        <n v="395897"/>
        <n v="1001636"/>
        <n v="1012503"/>
        <n v="1014737"/>
        <n v="1020010"/>
        <n v="1020011"/>
        <n v="0"/>
        <n v="350268"/>
        <n v="351017"/>
        <n v="351050"/>
        <n v="351068"/>
        <n v="351070"/>
        <n v="351086"/>
        <n v="351087"/>
        <n v="351105"/>
        <n v="351109"/>
        <n v="351942"/>
        <n v="351959"/>
        <n v="351977"/>
        <n v="351997"/>
        <n v="352189"/>
        <n v="385655"/>
        <n v="1022870"/>
        <n v="1022319"/>
        <n v="1023424"/>
        <n v="1023428"/>
        <n v="216473"/>
        <n v="318430"/>
        <n v="327793"/>
        <n v="338744"/>
        <n v="339182"/>
        <n v="341770"/>
        <n v="342054"/>
        <n v="342163"/>
        <n v="346976"/>
        <n v="354537"/>
        <n v="354646"/>
        <n v="354847"/>
        <n v="354871"/>
        <n v="355738"/>
        <n v="355947"/>
        <n v="360622"/>
        <n v="363293"/>
        <n v="363379"/>
        <n v="363450"/>
        <n v="363784"/>
        <n v="366348"/>
        <n v="367689"/>
        <n v="367777"/>
        <n v="368169"/>
        <n v="368267"/>
        <n v="368860"/>
        <n v="369358"/>
        <n v="369509"/>
        <n v="369527"/>
        <n v="369608"/>
        <n v="369613"/>
        <n v="369618"/>
        <n v="369623"/>
        <n v="369754"/>
        <n v="370032"/>
        <n v="370104"/>
        <n v="371037"/>
        <n v="371344"/>
        <n v="376446"/>
        <n v="377437"/>
        <n v="379001"/>
        <n v="380598"/>
        <n v="380808"/>
        <n v="381216"/>
        <n v="381608"/>
        <n v="381627"/>
        <n v="381659"/>
        <n v="382682"/>
        <n v="383332"/>
        <n v="383908"/>
        <n v="384036"/>
        <n v="384136"/>
        <n v="385422"/>
        <n v="385856"/>
        <n v="386935"/>
        <n v="388053"/>
        <n v="388549"/>
        <n v="389941"/>
        <n v="389965"/>
        <n v="393391"/>
        <n v="395174"/>
        <n v="395538"/>
        <n v="396308"/>
        <n v="396492"/>
        <n v="1000471"/>
        <n v="1002345"/>
        <n v="1004094"/>
        <n v="1004171"/>
        <n v="1005321"/>
        <n v="1005740"/>
        <n v="1006191"/>
        <n v="1007569"/>
        <n v="1008506"/>
        <n v="1011025"/>
        <n v="1011070"/>
        <n v="1012738"/>
        <n v="1012748"/>
        <n v="1013196"/>
        <n v="1013452"/>
        <n v="1013961"/>
        <n v="1014162"/>
        <n v="1014362"/>
        <n v="1014387"/>
        <n v="1014595"/>
        <n v="1014596"/>
        <n v="1014597"/>
        <n v="1014602"/>
        <n v="1015004"/>
        <n v="1015005"/>
        <n v="1016383"/>
        <n v="1019230"/>
        <n v="1019464"/>
        <n v="1019473"/>
        <n v="1021044"/>
        <n v="1021169"/>
        <n v="1021439"/>
        <n v="1021904"/>
        <n v="1022398"/>
        <n v="1022616"/>
        <n v="1023514"/>
        <n v="1023792"/>
        <n v="1023794"/>
        <n v="324842"/>
        <n v="324993"/>
        <n v="375516"/>
        <m/>
        <n v="290983" u="1"/>
        <n v="1006408" u="1"/>
        <n v="1007900" u="1"/>
        <n v="302643" u="1"/>
        <n v="395893" u="1"/>
        <n v="324932" u="1"/>
        <n v="322974" u="1"/>
        <n v="327823" u="1"/>
        <n v="1007536" u="1"/>
        <n v="354680" u="1"/>
        <n v="292669" u="1"/>
        <n v="302184" u="1"/>
        <n v="310578" u="1"/>
        <n v="306009" u="1"/>
        <n v="310299" u="1"/>
        <n v="325126" u="1"/>
        <n v="293238" u="1"/>
        <n v="320564" u="1"/>
        <n v="381643" u="1"/>
        <n v="291098" u="1"/>
        <n v="328212" u="1"/>
        <n v="320566" u="1"/>
        <n v="294363" u="1"/>
        <n v="392743" u="1"/>
        <n v="291008" u="1"/>
        <n v="244686" u="1"/>
        <n v="355075" u="1"/>
        <n v="325142" u="1"/>
        <n v="276005" u="1"/>
        <n v="291671" u="1"/>
        <n v="384084" u="1"/>
        <n v="324591" u="1"/>
        <n v="310609" u="1"/>
        <n v="228282" u="1"/>
        <n v="388195" u="1"/>
        <n v="1023839" u="1"/>
        <n v="244696" u="1"/>
        <n v="316302" u="1"/>
        <n v="296254" u="1"/>
        <n v="316303" u="1"/>
        <n v="1013962" u="1"/>
        <n v="320595" u="1"/>
        <n v="231643" u="1"/>
        <n v="355661" u="1"/>
        <n v="316310" u="1"/>
        <n v="316311" u="1"/>
        <n v="296263" u="1"/>
        <n v="295518" u="1"/>
        <n v="309972" u="1"/>
        <n v="310532" u="1"/>
        <n v="393432" u="1"/>
        <n v="325080" u="1"/>
        <n v="316315" u="1"/>
        <n v="367886" u="1"/>
        <n v="316321" u="1"/>
        <n v="332640" u="1"/>
        <n v="379825" u="1"/>
        <n v="329380" u="1"/>
        <n v="279306" u="1"/>
        <n v="358755" u="1"/>
        <n v="219764" u="1"/>
        <n v="295160" u="1"/>
        <n v="325746" u="1"/>
        <n v="238135" u="1"/>
        <n v="311386" u="1"/>
        <n v="291060" u="1"/>
        <n v="1003390" u="1"/>
        <n v="305610" u="1"/>
        <n v="385526" u="1"/>
        <n v="367902" u="1"/>
        <n v="216598" u="1"/>
        <n v="1015153" u="1"/>
        <n v="1001912" u="1"/>
        <n v="296198" u="1"/>
        <n v="381524" u="1"/>
        <n v="291072" u="1"/>
        <n v="332289" u="1"/>
        <n v="328562" u="1"/>
      </sharedItems>
    </cacheField>
    <cacheField name="Story" numFmtId="0">
      <sharedItems containsString="0" containsBlank="1" containsNumber="1" containsInteger="1" minValue="0" maxValue="102462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96">
  <r>
    <x v="0"/>
    <n v="325227"/>
    <x v="0"/>
    <x v="0"/>
    <s v="Feature 325227: FM Servers - General Configuration Settings to resolve Cyber RMF Findings - part 2"/>
    <x v="0"/>
    <n v="13"/>
    <x v="0"/>
    <m/>
    <s v="MUOS/Agile Teams/Cyber"/>
    <s v="Unassigned"/>
    <x v="0"/>
    <x v="0"/>
    <e v="#N/A"/>
    <x v="0"/>
    <x v="0"/>
    <x v="0"/>
    <x v="0"/>
    <n v="352877"/>
  </r>
  <r>
    <x v="1"/>
    <n v="216552"/>
    <x v="1"/>
    <x v="1"/>
    <s v="Feature 335885: Remediate IA Findings (Identified Q4 2018) for Solaris 9 NMF Ericsson servers"/>
    <x v="1"/>
    <m/>
    <x v="0"/>
    <m/>
    <s v="MUOS/Agile Teams/Cyber"/>
    <s v="Unassigned"/>
    <x v="0"/>
    <x v="0"/>
    <e v="#N/A"/>
    <x v="0"/>
    <x v="1"/>
    <x v="0"/>
    <x v="1"/>
    <n v="0"/>
  </r>
  <r>
    <x v="2"/>
    <n v="335885"/>
    <x v="0"/>
    <x v="0"/>
    <s v="Feature 335885: Solaris 9 servers in NMF FOUO - Login Banners"/>
    <x v="0"/>
    <n v="1"/>
    <x v="0"/>
    <m/>
    <s v="MUOS/Agile Teams/Cyber"/>
    <s v="Unassigned"/>
    <x v="0"/>
    <x v="0"/>
    <e v="#N/A"/>
    <x v="0"/>
    <x v="0"/>
    <x v="0"/>
    <x v="1"/>
    <n v="335966"/>
  </r>
  <r>
    <x v="3"/>
    <n v="335885"/>
    <x v="0"/>
    <x v="0"/>
    <s v="Feature 335885: Solaris 9 servers in NMF FOUO - Internet Transport and Routing configurations"/>
    <x v="0"/>
    <n v="1"/>
    <x v="0"/>
    <m/>
    <s v="MUOS/Agile Teams/Cyber"/>
    <s v="Unassigned"/>
    <x v="0"/>
    <x v="0"/>
    <e v="#N/A"/>
    <x v="0"/>
    <x v="0"/>
    <x v="0"/>
    <x v="1"/>
    <n v="335965"/>
  </r>
  <r>
    <x v="4"/>
    <n v="335885"/>
    <x v="0"/>
    <x v="0"/>
    <s v="Feature 335885: Solaris 9 servers in NMF FOUO - Syslog and Audits (audit log rotations, audit password protection"/>
    <x v="0"/>
    <n v="1"/>
    <x v="0"/>
    <m/>
    <s v="MUOS/Agile Teams/Cyber"/>
    <s v="Unassigned"/>
    <x v="0"/>
    <x v="0"/>
    <e v="#N/A"/>
    <x v="0"/>
    <x v="0"/>
    <x v="0"/>
    <x v="1"/>
    <n v="335964"/>
  </r>
  <r>
    <x v="5"/>
    <n v="335885"/>
    <x v="0"/>
    <x v="0"/>
    <s v="Feature 335885: Solaris 9 servers in NMF FOUO - File Integrity and Host Protection (HBSS, system package management)"/>
    <x v="0"/>
    <n v="1"/>
    <x v="0"/>
    <m/>
    <s v="MUOS/Agile Teams/Cyber"/>
    <s v="Unassigned"/>
    <x v="0"/>
    <x v="0"/>
    <e v="#N/A"/>
    <x v="0"/>
    <x v="0"/>
    <x v="0"/>
    <x v="1"/>
    <n v="335963"/>
  </r>
  <r>
    <x v="6"/>
    <n v="335885"/>
    <x v="0"/>
    <x v="0"/>
    <s v="Feature 335885: Solaris 9 servers in NMF FOUO - Access Control (password complexity, password expiry, crypto, UID, GID, etc.)"/>
    <x v="0"/>
    <n v="1"/>
    <x v="0"/>
    <m/>
    <s v="MUOS/Agile Teams/Cyber"/>
    <s v="Unassigned"/>
    <x v="0"/>
    <x v="0"/>
    <e v="#N/A"/>
    <x v="0"/>
    <x v="0"/>
    <x v="0"/>
    <x v="1"/>
    <n v="335961"/>
  </r>
  <r>
    <x v="7"/>
    <n v="335885"/>
    <x v="0"/>
    <x v="0"/>
    <s v="Feature 335885: Solaris 9 servers in NMF FOUO - OS Configuration (non-executable stacks, system access control, directory paths, etc.)"/>
    <x v="0"/>
    <n v="1"/>
    <x v="0"/>
    <m/>
    <s v="MUOS/Agile Teams/Cyber"/>
    <s v="Unassigned"/>
    <x v="0"/>
    <x v="0"/>
    <e v="#N/A"/>
    <x v="0"/>
    <x v="0"/>
    <x v="0"/>
    <x v="1"/>
    <n v="335960"/>
  </r>
  <r>
    <x v="8"/>
    <n v="335885"/>
    <x v="0"/>
    <x v="0"/>
    <s v="Feature 335885: Solaris 9 servers in NMF FOUO - Directory Access Controls (public directories, /etc directories, ftp access, etc.)"/>
    <x v="0"/>
    <n v="1"/>
    <x v="0"/>
    <m/>
    <s v="MUOS/Agile Teams/Cyber"/>
    <s v="Unassigned"/>
    <x v="0"/>
    <x v="0"/>
    <e v="#N/A"/>
    <x v="0"/>
    <x v="0"/>
    <x v="0"/>
    <x v="1"/>
    <n v="335959"/>
  </r>
  <r>
    <x v="9"/>
    <n v="335885"/>
    <x v="0"/>
    <x v="0"/>
    <s v="Feature 335885: Solaris 9 servers in NMF FOUO - NTP Updates"/>
    <x v="0"/>
    <n v="1"/>
    <x v="0"/>
    <m/>
    <s v="MUOS/Agile Teams/Cyber"/>
    <s v="Unassigned"/>
    <x v="0"/>
    <x v="0"/>
    <e v="#N/A"/>
    <x v="0"/>
    <x v="0"/>
    <x v="0"/>
    <x v="1"/>
    <n v="335958"/>
  </r>
  <r>
    <x v="10"/>
    <n v="335885"/>
    <x v="0"/>
    <x v="0"/>
    <s v="Feature 335885: Solaris 9 servers in NMF FOUO - SSL Cert fixes."/>
    <x v="0"/>
    <n v="1"/>
    <x v="0"/>
    <m/>
    <s v="MUOS/Agile Teams/Cyber"/>
    <s v="Unassigned"/>
    <x v="0"/>
    <x v="0"/>
    <e v="#N/A"/>
    <x v="0"/>
    <x v="0"/>
    <x v="0"/>
    <x v="1"/>
    <n v="335957"/>
  </r>
  <r>
    <x v="11"/>
    <n v="335885"/>
    <x v="0"/>
    <x v="0"/>
    <s v="Feature 335885: Solaris 9 servers in NMF FOUO - Update Webserver Configuration"/>
    <x v="0"/>
    <n v="1"/>
    <x v="0"/>
    <m/>
    <s v="MUOS/Agile Teams/Cyber"/>
    <s v="Unassigned"/>
    <x v="0"/>
    <x v="0"/>
    <e v="#N/A"/>
    <x v="0"/>
    <x v="0"/>
    <x v="0"/>
    <x v="1"/>
    <n v="335955"/>
  </r>
  <r>
    <x v="12"/>
    <n v="335885"/>
    <x v="0"/>
    <x v="0"/>
    <s v="Feature 335885: Solaris 9 servers in NMF FOUO - Remove Track/Trace for HTTP"/>
    <x v="0"/>
    <n v="1"/>
    <x v="0"/>
    <m/>
    <s v="MUOS/Agile Teams/Cyber"/>
    <s v="Unassigned"/>
    <x v="0"/>
    <x v="0"/>
    <e v="#N/A"/>
    <x v="0"/>
    <x v="0"/>
    <x v="0"/>
    <x v="1"/>
    <n v="335954"/>
  </r>
  <r>
    <x v="13"/>
    <n v="335885"/>
    <x v="0"/>
    <x v="0"/>
    <s v="Feature 335885: Solaris 9 servers in NMF FOUO - Fix Citrix published applications, etc."/>
    <x v="0"/>
    <n v="1"/>
    <x v="0"/>
    <m/>
    <s v="MUOS/Agile Teams/Cyber"/>
    <s v="Unassigned"/>
    <x v="0"/>
    <x v="0"/>
    <e v="#N/A"/>
    <x v="0"/>
    <x v="0"/>
    <x v="0"/>
    <x v="1"/>
    <n v="335952"/>
  </r>
  <r>
    <x v="14"/>
    <n v="335885"/>
    <x v="0"/>
    <x v="0"/>
    <s v="Feature 335885: Solaris 9 servers in NMF FOUO - LDAP server update (fix NULL searches)"/>
    <x v="0"/>
    <n v="1"/>
    <x v="0"/>
    <m/>
    <s v="MUOS/Agile Teams/Cyber"/>
    <s v="Unassigned"/>
    <x v="0"/>
    <x v="0"/>
    <e v="#N/A"/>
    <x v="0"/>
    <x v="0"/>
    <x v="0"/>
    <x v="1"/>
    <n v="335949"/>
  </r>
  <r>
    <x v="15"/>
    <n v="335885"/>
    <x v="0"/>
    <x v="0"/>
    <s v="Feature 335885: Solaris 9 servers in NMF FOUO - Configure Run Control Script"/>
    <x v="0"/>
    <n v="1"/>
    <x v="0"/>
    <m/>
    <s v="MUOS/Agile Teams/Cyber"/>
    <s v="Unassigned"/>
    <x v="0"/>
    <x v="0"/>
    <e v="#N/A"/>
    <x v="0"/>
    <x v="0"/>
    <x v="0"/>
    <x v="1"/>
    <n v="335946"/>
  </r>
  <r>
    <x v="16"/>
    <n v="335885"/>
    <x v="0"/>
    <x v="0"/>
    <s v="Feature 335885: Solaris 9 servers in NMF FOUO - Remove host files"/>
    <x v="0"/>
    <n v="1"/>
    <x v="0"/>
    <m/>
    <s v="MUOS/Agile Teams/Cyber"/>
    <s v="Unassigned"/>
    <x v="0"/>
    <x v="0"/>
    <e v="#N/A"/>
    <x v="0"/>
    <x v="0"/>
    <x v="0"/>
    <x v="1"/>
    <n v="335944"/>
  </r>
  <r>
    <x v="17"/>
    <n v="335885"/>
    <x v="0"/>
    <x v="0"/>
    <s v="Feature 335885: Solaris 9 servers in NMF FOUO - Boot only from boot device configuration"/>
    <x v="0"/>
    <n v="1"/>
    <x v="0"/>
    <m/>
    <s v="MUOS/Agile Teams/Cyber"/>
    <s v="Unassigned"/>
    <x v="0"/>
    <x v="0"/>
    <e v="#N/A"/>
    <x v="0"/>
    <x v="0"/>
    <x v="0"/>
    <x v="1"/>
    <n v="335942"/>
  </r>
  <r>
    <x v="18"/>
    <n v="335885"/>
    <x v="0"/>
    <x v="0"/>
    <s v="Feature 335885: Solaris 9 servers in NMF FOUO - eDirectory eHost configuration changes"/>
    <x v="0"/>
    <n v="1"/>
    <x v="0"/>
    <m/>
    <s v="MUOS/Agile Teams/Cyber"/>
    <s v="Unassigned"/>
    <x v="0"/>
    <x v="0"/>
    <e v="#N/A"/>
    <x v="0"/>
    <x v="0"/>
    <x v="0"/>
    <x v="1"/>
    <n v="335941"/>
  </r>
  <r>
    <x v="19"/>
    <n v="335885"/>
    <x v="0"/>
    <x v="0"/>
    <s v="Feature 335885: Solaris 9 servers in NMF FOUO - SNMP v3 Updates"/>
    <x v="0"/>
    <n v="1"/>
    <x v="0"/>
    <m/>
    <s v="MUOS/Agile Teams/Cyber"/>
    <s v="Unassigned"/>
    <x v="0"/>
    <x v="0"/>
    <e v="#N/A"/>
    <x v="0"/>
    <x v="0"/>
    <x v="0"/>
    <x v="1"/>
    <n v="335934"/>
  </r>
  <r>
    <x v="20"/>
    <n v="335885"/>
    <x v="0"/>
    <x v="0"/>
    <s v="Feature 335885: Solaris 9 servers in NMF FOUO - Remove unneeded services."/>
    <x v="0"/>
    <n v="1"/>
    <x v="0"/>
    <m/>
    <s v="MUOS/Agile Teams/Cyber"/>
    <s v="Unassigned"/>
    <x v="0"/>
    <x v="0"/>
    <e v="#N/A"/>
    <x v="0"/>
    <x v="0"/>
    <x v="0"/>
    <x v="1"/>
    <n v="335932"/>
  </r>
  <r>
    <x v="21"/>
    <n v="335885"/>
    <x v="2"/>
    <x v="0"/>
    <s v="Feature 335885: Hold Feature Review with SMEs"/>
    <x v="0"/>
    <m/>
    <x v="0"/>
    <m/>
    <s v="Unassigned"/>
    <s v="Unassigned"/>
    <x v="0"/>
    <x v="1"/>
    <e v="#N/A"/>
    <x v="0"/>
    <x v="0"/>
    <x v="0"/>
    <x v="1"/>
    <n v="335899"/>
  </r>
  <r>
    <x v="22"/>
    <n v="335885"/>
    <x v="0"/>
    <x v="0"/>
    <s v="Feature 335885: Agile Team Test (Unit Test, Install, PCR Verification, STCD Dev &amp; Test) Part 3 of N"/>
    <x v="0"/>
    <n v="5"/>
    <x v="0"/>
    <m/>
    <s v="MUOS/Agile Teams/Cyber"/>
    <s v="Unassigned"/>
    <x v="0"/>
    <x v="0"/>
    <e v="#N/A"/>
    <x v="0"/>
    <x v="0"/>
    <x v="0"/>
    <x v="1"/>
    <n v="335898"/>
  </r>
  <r>
    <x v="23"/>
    <n v="335885"/>
    <x v="0"/>
    <x v="0"/>
    <s v="Feature 335885: Agile Team Test (Unit Test, Install, PCR Verification, STCD Dev &amp; Test) Part 2 of N"/>
    <x v="0"/>
    <n v="5"/>
    <x v="0"/>
    <m/>
    <s v="MUOS/Agile Teams/Cyber"/>
    <s v="Unassigned"/>
    <x v="0"/>
    <x v="0"/>
    <e v="#N/A"/>
    <x v="0"/>
    <x v="0"/>
    <x v="0"/>
    <x v="1"/>
    <n v="335897"/>
  </r>
  <r>
    <x v="24"/>
    <n v="335885"/>
    <x v="0"/>
    <x v="0"/>
    <s v="Feature 335885: Initiate CM PDO Processing for all CI's"/>
    <x v="0"/>
    <n v="1"/>
    <x v="0"/>
    <s v="#335887"/>
    <s v="MUOS/Agile Teams/Cyber"/>
    <s v="Unassigned"/>
    <x v="0"/>
    <x v="0"/>
    <e v="#N/A"/>
    <x v="0"/>
    <x v="0"/>
    <x v="0"/>
    <x v="1"/>
    <n v="335896"/>
  </r>
  <r>
    <x v="25"/>
    <n v="335885"/>
    <x v="0"/>
    <x v="0"/>
    <s v="Feature 335885: ILS IETM Development and Integration updates part 1 of N"/>
    <x v="0"/>
    <n v="1"/>
    <x v="0"/>
    <m/>
    <s v="MUOS/Agile Teams/Cyber"/>
    <s v="Unassigned"/>
    <x v="0"/>
    <x v="0"/>
    <e v="#N/A"/>
    <x v="0"/>
    <x v="0"/>
    <x v="0"/>
    <x v="1"/>
    <n v="335894"/>
  </r>
  <r>
    <x v="26"/>
    <n v="335885"/>
    <x v="0"/>
    <x v="0"/>
    <s v="Feature 335885: ILS IETM update"/>
    <x v="0"/>
    <n v="3"/>
    <x v="0"/>
    <s v="#335889"/>
    <s v="MUOS/ILS: IETM and Documentation (CDRLs)"/>
    <s v="Dixon, Craig R"/>
    <x v="1"/>
    <x v="1"/>
    <e v="#N/A"/>
    <x v="0"/>
    <x v="0"/>
    <x v="0"/>
    <x v="1"/>
    <n v="335893"/>
  </r>
  <r>
    <x v="27"/>
    <n v="335885"/>
    <x v="0"/>
    <x v="0"/>
    <s v="Feature 335885:  Agile Team Test (Unit Test, Install, PCR Verification, STCD Dev &amp; Test) Part 1 of N"/>
    <x v="0"/>
    <n v="2"/>
    <x v="0"/>
    <m/>
    <s v="MUOS/Agile Teams/Cyber"/>
    <s v="Unassigned"/>
    <x v="0"/>
    <x v="0"/>
    <e v="#N/A"/>
    <x v="0"/>
    <x v="0"/>
    <x v="0"/>
    <x v="1"/>
    <n v="335892"/>
  </r>
  <r>
    <x v="28"/>
    <n v="335885"/>
    <x v="0"/>
    <x v="0"/>
    <s v="Feature 335885: IA Patching and STIGs Part 1 of N"/>
    <x v="0"/>
    <n v="5"/>
    <x v="0"/>
    <s v="#335886"/>
    <s v="MUOS/Agile Teams/Cyber"/>
    <s v="Unassigned"/>
    <x v="0"/>
    <x v="0"/>
    <e v="#N/A"/>
    <x v="0"/>
    <x v="0"/>
    <x v="0"/>
    <x v="1"/>
    <n v="335891"/>
  </r>
  <r>
    <x v="29"/>
    <n v="335885"/>
    <x v="0"/>
    <x v="0"/>
    <s v="Feature 335885: Deployment Notes and Operator Impact Inputs Part 1 of N"/>
    <x v="0"/>
    <n v="2"/>
    <x v="0"/>
    <m/>
    <s v="MUOS/Agile Teams/Cyber"/>
    <s v="Unassigned"/>
    <x v="0"/>
    <x v="0"/>
    <e v="#N/A"/>
    <x v="0"/>
    <x v="0"/>
    <x v="0"/>
    <x v="1"/>
    <n v="335890"/>
  </r>
  <r>
    <x v="30"/>
    <n v="335885"/>
    <x v="0"/>
    <x v="0"/>
    <s v="Feature 335885: Engineering IETM Development and Integration updates part 1 of N"/>
    <x v="0"/>
    <n v="3"/>
    <x v="0"/>
    <m/>
    <s v="MUOS/Agile Teams/Cyber"/>
    <s v="Unassigned"/>
    <x v="0"/>
    <x v="0"/>
    <e v="#N/A"/>
    <x v="0"/>
    <x v="0"/>
    <x v="0"/>
    <x v="1"/>
    <n v="335889"/>
  </r>
  <r>
    <x v="31"/>
    <n v="335885"/>
    <x v="0"/>
    <x v="0"/>
    <s v="Feature 335885: IA Posture Assessment"/>
    <x v="0"/>
    <n v="8"/>
    <x v="0"/>
    <s v="#335891"/>
    <s v="MUOS/Agile Teams/Cyber"/>
    <s v="Unassigned"/>
    <x v="0"/>
    <x v="0"/>
    <e v="#N/A"/>
    <x v="0"/>
    <x v="0"/>
    <x v="0"/>
    <x v="1"/>
    <n v="335888"/>
  </r>
  <r>
    <x v="32"/>
    <n v="335885"/>
    <x v="0"/>
    <x v="0"/>
    <s v="Feature 335885: Feature Demo – Customer Demo Event "/>
    <x v="0"/>
    <n v="1"/>
    <x v="0"/>
    <s v="#335888_x000a_#335890_x000a_#335892_x000a_#335893_x000a_#335897_x000a_#335898"/>
    <s v="MUOS/Agile Teams/Cyber"/>
    <s v="Unassigned"/>
    <x v="0"/>
    <x v="0"/>
    <e v="#N/A"/>
    <x v="0"/>
    <x v="0"/>
    <x v="0"/>
    <x v="1"/>
    <n v="335887"/>
  </r>
  <r>
    <x v="33"/>
    <n v="335885"/>
    <x v="0"/>
    <x v="0"/>
    <s v="Feature 335885: IA - Define Patch/ Stig Requirements"/>
    <x v="0"/>
    <n v="2"/>
    <x v="0"/>
    <m/>
    <s v="MUOS/Agile Teams/Cyber"/>
    <s v="Unassigned"/>
    <x v="0"/>
    <x v="0"/>
    <e v="#N/A"/>
    <x v="0"/>
    <x v="0"/>
    <x v="0"/>
    <x v="1"/>
    <n v="335886"/>
  </r>
  <r>
    <x v="34"/>
    <n v="216552"/>
    <x v="1"/>
    <x v="1"/>
    <s v="Feature 335969: Remediate IA Findings (Identified Q4 2018) for Solaris 9 DNS Servers"/>
    <x v="1"/>
    <m/>
    <x v="0"/>
    <m/>
    <s v="MUOS/Agile Teams/Cyber"/>
    <s v="Unassigned"/>
    <x v="0"/>
    <x v="0"/>
    <e v="#N/A"/>
    <x v="0"/>
    <x v="1"/>
    <x v="0"/>
    <x v="2"/>
    <n v="0"/>
  </r>
  <r>
    <x v="35"/>
    <n v="335969"/>
    <x v="0"/>
    <x v="0"/>
    <s v="Feature 335969: Solaris 9 DNS servers - Update Login Banners"/>
    <x v="0"/>
    <n v="1"/>
    <x v="0"/>
    <m/>
    <s v="MUOS/Agile Teams/Cyber"/>
    <s v="Unassigned"/>
    <x v="0"/>
    <x v="0"/>
    <e v="#N/A"/>
    <x v="0"/>
    <x v="0"/>
    <x v="0"/>
    <x v="2"/>
    <n v="336074"/>
  </r>
  <r>
    <x v="36"/>
    <n v="335969"/>
    <x v="0"/>
    <x v="0"/>
    <s v="Feature 335969: Solaris 9 DNS servers - Update SNMP v3 (for default name, get bulk, etc.)"/>
    <x v="0"/>
    <n v="1"/>
    <x v="0"/>
    <m/>
    <s v="MUOS/Agile Teams/Cyber"/>
    <s v="Unassigned"/>
    <x v="0"/>
    <x v="0"/>
    <e v="#N/A"/>
    <x v="0"/>
    <x v="0"/>
    <x v="0"/>
    <x v="2"/>
    <n v="336073"/>
  </r>
  <r>
    <x v="37"/>
    <n v="335969"/>
    <x v="0"/>
    <x v="0"/>
    <s v="Feature 335969: Solaris 9 DNS servers - Update Internet Transport and Routing Configurations"/>
    <x v="0"/>
    <n v="1"/>
    <x v="0"/>
    <m/>
    <s v="MUOS/Agile Teams/Cyber"/>
    <s v="Unassigned"/>
    <x v="0"/>
    <x v="0"/>
    <e v="#N/A"/>
    <x v="0"/>
    <x v="0"/>
    <x v="0"/>
    <x v="2"/>
    <n v="336072"/>
  </r>
  <r>
    <x v="38"/>
    <n v="335969"/>
    <x v="0"/>
    <x v="0"/>
    <s v="Feature 335969: Solaris 9 DNS servers - Update Syslog and Audits (audit log rotations, audit password protection)"/>
    <x v="0"/>
    <n v="1"/>
    <x v="0"/>
    <m/>
    <s v="MUOS/Agile Teams/Cyber"/>
    <s v="Unassigned"/>
    <x v="0"/>
    <x v="0"/>
    <e v="#N/A"/>
    <x v="0"/>
    <x v="0"/>
    <x v="0"/>
    <x v="2"/>
    <n v="336071"/>
  </r>
  <r>
    <x v="39"/>
    <n v="335969"/>
    <x v="0"/>
    <x v="0"/>
    <s v="Feature 335969: Solaris 9 DNS servers - Update OS Configuration (root account management, access control program, dynamic kernel functions)"/>
    <x v="0"/>
    <n v="1"/>
    <x v="0"/>
    <m/>
    <s v="MUOS/Agile Teams/Cyber"/>
    <s v="Unassigned"/>
    <x v="0"/>
    <x v="0"/>
    <e v="#N/A"/>
    <x v="0"/>
    <x v="0"/>
    <x v="0"/>
    <x v="2"/>
    <n v="336070"/>
  </r>
  <r>
    <x v="40"/>
    <n v="335969"/>
    <x v="0"/>
    <x v="0"/>
    <s v="Feature 335969: Solaris 9 DNS servers - File Integrity and Host Protection (HBSS, system package management)"/>
    <x v="0"/>
    <n v="1"/>
    <x v="0"/>
    <m/>
    <s v="MUOS/Agile Teams/Cyber"/>
    <s v="Unassigned"/>
    <x v="0"/>
    <x v="0"/>
    <e v="#N/A"/>
    <x v="0"/>
    <x v="0"/>
    <x v="0"/>
    <x v="2"/>
    <n v="336066"/>
  </r>
  <r>
    <x v="41"/>
    <n v="335969"/>
    <x v="0"/>
    <x v="0"/>
    <s v="Feature 335969: Solaris 9 DNS servers - Access Control (password complexity, password expiry, crypto, UID, GID, etc.)"/>
    <x v="0"/>
    <n v="1"/>
    <x v="0"/>
    <m/>
    <s v="MUOS/Agile Teams/Cyber"/>
    <s v="Unassigned"/>
    <x v="0"/>
    <x v="0"/>
    <e v="#N/A"/>
    <x v="0"/>
    <x v="0"/>
    <x v="0"/>
    <x v="2"/>
    <n v="336063"/>
  </r>
  <r>
    <x v="42"/>
    <n v="335969"/>
    <x v="0"/>
    <x v="0"/>
    <s v="Feature 335969: Solaris 9 DNS servers - Apply NTP Updates ."/>
    <x v="0"/>
    <n v="1"/>
    <x v="0"/>
    <m/>
    <s v="MUOS/Agile Teams/Cyber"/>
    <s v="Unassigned"/>
    <x v="0"/>
    <x v="0"/>
    <e v="#N/A"/>
    <x v="0"/>
    <x v="0"/>
    <x v="0"/>
    <x v="2"/>
    <n v="336062"/>
  </r>
  <r>
    <x v="43"/>
    <n v="335969"/>
    <x v="0"/>
    <x v="0"/>
    <s v="Feature 335969: Solaris 9 DNS servers - Update the Web Server Configuration (HTTP Trace/Track, Apache Server, etc.)."/>
    <x v="0"/>
    <n v="1"/>
    <x v="0"/>
    <m/>
    <s v="MUOS/Agile Teams/Cyber"/>
    <s v="Unassigned"/>
    <x v="0"/>
    <x v="0"/>
    <e v="#N/A"/>
    <x v="0"/>
    <x v="0"/>
    <x v="0"/>
    <x v="2"/>
    <n v="336061"/>
  </r>
  <r>
    <x v="44"/>
    <n v="335969"/>
    <x v="0"/>
    <x v="0"/>
    <s v="Feature 335969: Solaris 9 DNS servers - Configure Run Control Script (limit execution rights)"/>
    <x v="0"/>
    <n v="1"/>
    <x v="0"/>
    <m/>
    <s v="MUOS/Agile Teams/Cyber"/>
    <s v="Unassigned"/>
    <x v="0"/>
    <x v="0"/>
    <e v="#N/A"/>
    <x v="0"/>
    <x v="0"/>
    <x v="0"/>
    <x v="2"/>
    <n v="336057"/>
  </r>
  <r>
    <x v="45"/>
    <n v="335969"/>
    <x v="0"/>
    <x v="0"/>
    <s v="Feature 335969: Solaris 9 DNS servers - Remove unneeded services (rlogin, rsh, telnet, etc.)"/>
    <x v="0"/>
    <n v="1"/>
    <x v="0"/>
    <m/>
    <s v="MUOS/Agile Teams/Cyber"/>
    <s v="Unassigned"/>
    <x v="0"/>
    <x v="0"/>
    <e v="#N/A"/>
    <x v="0"/>
    <x v="0"/>
    <x v="0"/>
    <x v="2"/>
    <n v="336053"/>
  </r>
  <r>
    <x v="46"/>
    <n v="335969"/>
    <x v="0"/>
    <x v="0"/>
    <s v="Feature 335969: Solaris 9 DNS servers - Update OS Configuration attributes"/>
    <x v="0"/>
    <n v="1"/>
    <x v="0"/>
    <m/>
    <s v="MUOS/Agile Teams/Cyber"/>
    <s v="Unassigned"/>
    <x v="0"/>
    <x v="0"/>
    <e v="#N/A"/>
    <x v="0"/>
    <x v="0"/>
    <x v="0"/>
    <x v="2"/>
    <n v="336052"/>
  </r>
  <r>
    <x v="47"/>
    <n v="335969"/>
    <x v="0"/>
    <x v="0"/>
    <s v="Feature 335969: Solaris 9 DNS servers - Directory and File Access Controls"/>
    <x v="0"/>
    <n v="1"/>
    <x v="0"/>
    <m/>
    <s v="MUOS/Agile Teams/Cyber"/>
    <s v="Unassigned"/>
    <x v="0"/>
    <x v="0"/>
    <e v="#N/A"/>
    <x v="0"/>
    <x v="0"/>
    <x v="0"/>
    <x v="2"/>
    <n v="336049"/>
  </r>
  <r>
    <x v="48"/>
    <n v="335969"/>
    <x v="0"/>
    <x v="0"/>
    <s v="Feature 335969: Solaris 9 DNS servers - Remove Host Files (.rhosts, .shosts, .host.equiv, .forward, etc.)"/>
    <x v="0"/>
    <n v="1"/>
    <x v="0"/>
    <m/>
    <s v="MUOS/Agile Teams/Cyber"/>
    <s v="Unassigned"/>
    <x v="0"/>
    <x v="0"/>
    <e v="#N/A"/>
    <x v="0"/>
    <x v="0"/>
    <x v="0"/>
    <x v="2"/>
    <n v="336048"/>
  </r>
  <r>
    <x v="49"/>
    <n v="335969"/>
    <x v="0"/>
    <x v="0"/>
    <s v="Feature 335969: Solaris 9 DNS servers - Boot from Boot Device"/>
    <x v="0"/>
    <n v="1"/>
    <x v="0"/>
    <m/>
    <s v="MUOS/Agile Teams/Cyber"/>
    <s v="Unassigned"/>
    <x v="0"/>
    <x v="0"/>
    <e v="#N/A"/>
    <x v="0"/>
    <x v="0"/>
    <x v="0"/>
    <x v="2"/>
    <n v="336043"/>
  </r>
  <r>
    <x v="50"/>
    <n v="335969"/>
    <x v="2"/>
    <x v="0"/>
    <s v="Feature 335969: Hold Feature Review with SMEs"/>
    <x v="0"/>
    <m/>
    <x v="0"/>
    <m/>
    <s v="Unassigned"/>
    <s v="Unassigned"/>
    <x v="0"/>
    <x v="1"/>
    <e v="#N/A"/>
    <x v="0"/>
    <x v="0"/>
    <x v="0"/>
    <x v="2"/>
    <n v="335983"/>
  </r>
  <r>
    <x v="51"/>
    <n v="335969"/>
    <x v="0"/>
    <x v="0"/>
    <s v="Feature 335969: Agile Team Test (Unit Test, Install, PCR Verification, STCD Dev &amp; Test) Part 3 of N"/>
    <x v="0"/>
    <n v="5"/>
    <x v="0"/>
    <m/>
    <s v="MUOS/Agile Teams/Cyber"/>
    <s v="Unassigned"/>
    <x v="0"/>
    <x v="0"/>
    <e v="#N/A"/>
    <x v="0"/>
    <x v="0"/>
    <x v="0"/>
    <x v="2"/>
    <n v="335982"/>
  </r>
  <r>
    <x v="52"/>
    <n v="335969"/>
    <x v="0"/>
    <x v="0"/>
    <s v="Feature 335969: Agile Team Test (Unit Test, Install, PCR Verification, STCD Dev &amp; Test) Part 2 of N"/>
    <x v="0"/>
    <n v="5"/>
    <x v="0"/>
    <m/>
    <s v="MUOS/Agile Teams/Cyber"/>
    <s v="Unassigned"/>
    <x v="0"/>
    <x v="0"/>
    <e v="#N/A"/>
    <x v="0"/>
    <x v="0"/>
    <x v="0"/>
    <x v="2"/>
    <n v="335981"/>
  </r>
  <r>
    <x v="53"/>
    <n v="335969"/>
    <x v="0"/>
    <x v="0"/>
    <s v="Feature 335969: Initiate CM PDO Processing for all CI's"/>
    <x v="0"/>
    <n v="1"/>
    <x v="0"/>
    <s v="#335971"/>
    <s v="MUOS/Agile Teams/Cyber"/>
    <s v="Unassigned"/>
    <x v="0"/>
    <x v="0"/>
    <e v="#N/A"/>
    <x v="0"/>
    <x v="0"/>
    <x v="0"/>
    <x v="2"/>
    <n v="335980"/>
  </r>
  <r>
    <x v="54"/>
    <n v="335969"/>
    <x v="0"/>
    <x v="0"/>
    <s v="Feature 335969: ILS IETM Development and Integration updates part 1 of N"/>
    <x v="0"/>
    <n v="1"/>
    <x v="0"/>
    <m/>
    <s v="MUOS/Agile Teams/Cyber"/>
    <s v="Unassigned"/>
    <x v="0"/>
    <x v="0"/>
    <e v="#N/A"/>
    <x v="0"/>
    <x v="0"/>
    <x v="0"/>
    <x v="2"/>
    <n v="335978"/>
  </r>
  <r>
    <x v="55"/>
    <n v="335969"/>
    <x v="0"/>
    <x v="0"/>
    <s v="Feature 335969: ILS IETM update"/>
    <x v="0"/>
    <n v="3"/>
    <x v="0"/>
    <s v="#335973"/>
    <s v="MUOS/ILS: IETM and Documentation (CDRLs)"/>
    <s v="Dixon, Craig R"/>
    <x v="1"/>
    <x v="1"/>
    <e v="#N/A"/>
    <x v="0"/>
    <x v="0"/>
    <x v="0"/>
    <x v="2"/>
    <n v="335977"/>
  </r>
  <r>
    <x v="56"/>
    <n v="335969"/>
    <x v="0"/>
    <x v="0"/>
    <s v="Feature 335969: Agile Team Test (Unit Test, Install, PCR Verification, STCD Dev &amp; Test) Part 1 of N"/>
    <x v="0"/>
    <n v="2"/>
    <x v="0"/>
    <m/>
    <s v="MUOS/Agile Teams/Cyber"/>
    <s v="Unassigned"/>
    <x v="0"/>
    <x v="0"/>
    <e v="#N/A"/>
    <x v="0"/>
    <x v="0"/>
    <x v="0"/>
    <x v="2"/>
    <n v="335976"/>
  </r>
  <r>
    <x v="57"/>
    <n v="335969"/>
    <x v="0"/>
    <x v="0"/>
    <s v="Feature 335969: IA Patching and STIGs Part 1 of N"/>
    <x v="0"/>
    <n v="5"/>
    <x v="0"/>
    <s v="#335970"/>
    <s v="MUOS/Agile Teams/Cyber"/>
    <s v="Unassigned"/>
    <x v="0"/>
    <x v="0"/>
    <e v="#N/A"/>
    <x v="0"/>
    <x v="0"/>
    <x v="0"/>
    <x v="2"/>
    <n v="335975"/>
  </r>
  <r>
    <x v="58"/>
    <n v="335969"/>
    <x v="0"/>
    <x v="0"/>
    <s v="Feature 335969: Deployment Notes and Operator Impact Inputs Part 1 of N"/>
    <x v="0"/>
    <n v="2"/>
    <x v="0"/>
    <m/>
    <s v="MUOS/Agile Teams/Cyber"/>
    <s v="Unassigned"/>
    <x v="0"/>
    <x v="0"/>
    <e v="#N/A"/>
    <x v="0"/>
    <x v="0"/>
    <x v="0"/>
    <x v="2"/>
    <n v="335974"/>
  </r>
  <r>
    <x v="59"/>
    <n v="335969"/>
    <x v="0"/>
    <x v="0"/>
    <s v="Feature 335969: Engineering IETM Development and Integration updates part 1 of N"/>
    <x v="0"/>
    <n v="3"/>
    <x v="0"/>
    <m/>
    <s v="MUOS/Agile Teams/Cyber"/>
    <s v="Unassigned"/>
    <x v="0"/>
    <x v="0"/>
    <e v="#N/A"/>
    <x v="0"/>
    <x v="0"/>
    <x v="0"/>
    <x v="2"/>
    <n v="335973"/>
  </r>
  <r>
    <x v="60"/>
    <n v="335969"/>
    <x v="0"/>
    <x v="0"/>
    <s v="Feature 335969: IA Posture Assessment"/>
    <x v="0"/>
    <n v="8"/>
    <x v="0"/>
    <s v="#335975"/>
    <s v="MUOS/Agile Teams/Cyber"/>
    <s v="Unassigned"/>
    <x v="0"/>
    <x v="0"/>
    <e v="#N/A"/>
    <x v="0"/>
    <x v="0"/>
    <x v="0"/>
    <x v="2"/>
    <n v="335972"/>
  </r>
  <r>
    <x v="61"/>
    <n v="335969"/>
    <x v="0"/>
    <x v="0"/>
    <s v="Feature 335969: Feature Demo – Customer Demo Event "/>
    <x v="0"/>
    <n v="1"/>
    <x v="0"/>
    <s v="#335972_x000a_#335974_x000a_#335976_x000a_#335977_x000a_#335981_x000a_#335982"/>
    <s v="MUOS/Agile Teams/Cyber"/>
    <s v="Unassigned"/>
    <x v="0"/>
    <x v="0"/>
    <e v="#N/A"/>
    <x v="0"/>
    <x v="0"/>
    <x v="0"/>
    <x v="2"/>
    <n v="335971"/>
  </r>
  <r>
    <x v="62"/>
    <n v="335969"/>
    <x v="0"/>
    <x v="0"/>
    <s v="Feature 335969: IA - Define Patch/ Stig Requirements"/>
    <x v="0"/>
    <n v="2"/>
    <x v="0"/>
    <m/>
    <s v="MUOS/Agile Teams/Cyber"/>
    <s v="Unassigned"/>
    <x v="0"/>
    <x v="0"/>
    <e v="#N/A"/>
    <x v="0"/>
    <x v="0"/>
    <x v="0"/>
    <x v="2"/>
    <n v="335970"/>
  </r>
  <r>
    <x v="63"/>
    <n v="216552"/>
    <x v="1"/>
    <x v="1"/>
    <s v="Feature 336108: Remediate IA Findings (identified Q4 2018) for Windows 2003 NMF FCAP/FCAPS servers"/>
    <x v="1"/>
    <m/>
    <x v="0"/>
    <m/>
    <s v="MUOS/Agile Teams/Cyber"/>
    <s v="Johnson, Derek T"/>
    <x v="2"/>
    <x v="0"/>
    <e v="#N/A"/>
    <x v="0"/>
    <x v="1"/>
    <x v="0"/>
    <x v="3"/>
    <n v="0"/>
  </r>
  <r>
    <x v="64"/>
    <n v="336108"/>
    <x v="0"/>
    <x v="0"/>
    <s v="Feature 336108: Windows 2003 NMF FCAPS Servers in FOUO and Secret Enclaves - OS Configuration"/>
    <x v="0"/>
    <n v="5"/>
    <x v="0"/>
    <m/>
    <s v="MUOS/Agile Teams/Cyber"/>
    <s v="Unassigned"/>
    <x v="0"/>
    <x v="0"/>
    <e v="#N/A"/>
    <x v="0"/>
    <x v="0"/>
    <x v="0"/>
    <x v="3"/>
    <n v="336200"/>
  </r>
  <r>
    <x v="65"/>
    <n v="336108"/>
    <x v="0"/>
    <x v="0"/>
    <s v="Feature 336108: Windows 2003 NMF FCAPS Servers in FOUO and Secret Enclaves - OS Configuration"/>
    <x v="0"/>
    <n v="1"/>
    <x v="0"/>
    <m/>
    <s v="MUOS/Agile Teams/Cyber"/>
    <s v="Unassigned"/>
    <x v="0"/>
    <x v="0"/>
    <e v="#N/A"/>
    <x v="0"/>
    <x v="0"/>
    <x v="0"/>
    <x v="3"/>
    <n v="336199"/>
  </r>
  <r>
    <x v="66"/>
    <n v="336108"/>
    <x v="0"/>
    <x v="0"/>
    <s v="Feature 336108: Windows 2003 NMF FCAPS Servers in FOUO and Secret Enclaves - Access Control"/>
    <x v="0"/>
    <n v="1"/>
    <x v="0"/>
    <m/>
    <s v="MUOS/Agile Teams/Cyber"/>
    <s v="Unassigned"/>
    <x v="0"/>
    <x v="0"/>
    <e v="#N/A"/>
    <x v="0"/>
    <x v="0"/>
    <x v="0"/>
    <x v="3"/>
    <n v="336197"/>
  </r>
  <r>
    <x v="67"/>
    <n v="336108"/>
    <x v="0"/>
    <x v="0"/>
    <s v="Feature 336108: Windows 2003 NMF FCAPS Servers in FOUO and Secret Enclaves - SQL"/>
    <x v="0"/>
    <n v="1"/>
    <x v="0"/>
    <m/>
    <s v="MUOS/Agile Teams/Cyber"/>
    <s v="Unassigned"/>
    <x v="0"/>
    <x v="0"/>
    <e v="#N/A"/>
    <x v="0"/>
    <x v="0"/>
    <x v="0"/>
    <x v="3"/>
    <n v="336194"/>
  </r>
  <r>
    <x v="68"/>
    <n v="336108"/>
    <x v="0"/>
    <x v="0"/>
    <s v="Feature 336108: Windows 2003 NMF FCAPS Servers in FOUO and Secret Enclaves - Audit and Syslog"/>
    <x v="0"/>
    <n v="1"/>
    <x v="0"/>
    <m/>
    <s v="MUOS/Agile Teams/Cyber"/>
    <s v="Unassigned"/>
    <x v="0"/>
    <x v="0"/>
    <e v="#N/A"/>
    <x v="0"/>
    <x v="0"/>
    <x v="0"/>
    <x v="3"/>
    <n v="336190"/>
  </r>
  <r>
    <x v="69"/>
    <n v="336108"/>
    <x v="0"/>
    <x v="0"/>
    <s v="Feature 336108: Windows 2003 NMF FCAPS Servers in FOUO and Secret Enclaves - Remove Unneeded Services"/>
    <x v="0"/>
    <n v="1"/>
    <x v="0"/>
    <m/>
    <s v="MUOS/Agile Teams/Cyber"/>
    <s v="Unassigned"/>
    <x v="0"/>
    <x v="0"/>
    <e v="#N/A"/>
    <x v="0"/>
    <x v="0"/>
    <x v="0"/>
    <x v="3"/>
    <n v="336189"/>
  </r>
  <r>
    <x v="70"/>
    <n v="336108"/>
    <x v="0"/>
    <x v="0"/>
    <s v="Feature 336108: Windows 2003 NMF FCAPS Servers in FOUO and Secret Enclaves - SSL Configuration"/>
    <x v="0"/>
    <n v="1"/>
    <x v="0"/>
    <m/>
    <s v="MUOS/Agile Teams/Cyber"/>
    <s v="Unassigned"/>
    <x v="0"/>
    <x v="0"/>
    <e v="#N/A"/>
    <x v="0"/>
    <x v="0"/>
    <x v="0"/>
    <x v="3"/>
    <n v="336186"/>
  </r>
  <r>
    <x v="71"/>
    <n v="336108"/>
    <x v="0"/>
    <x v="0"/>
    <s v="Feature 336108: Windows 2003 NMF FCAPS Servers in FOUO and Secret Enclaves - Web Server Configuration"/>
    <x v="0"/>
    <n v="5"/>
    <x v="0"/>
    <m/>
    <s v="MUOS/Agile Teams/Cyber"/>
    <s v="Unassigned"/>
    <x v="0"/>
    <x v="0"/>
    <e v="#N/A"/>
    <x v="0"/>
    <x v="0"/>
    <x v="0"/>
    <x v="3"/>
    <n v="336184"/>
  </r>
  <r>
    <x v="72"/>
    <n v="336108"/>
    <x v="0"/>
    <x v="0"/>
    <s v="Feature 336108: Windows 2003 NMF FCAPS Servers in FOUO and Secret Enclaves - File and Host Intrusion Protection"/>
    <x v="0"/>
    <n v="5"/>
    <x v="0"/>
    <m/>
    <s v="MUOS/Agile Teams/Cyber"/>
    <s v="Unassigned"/>
    <x v="0"/>
    <x v="0"/>
    <e v="#N/A"/>
    <x v="0"/>
    <x v="0"/>
    <x v="0"/>
    <x v="3"/>
    <n v="336177"/>
  </r>
  <r>
    <x v="73"/>
    <n v="336108"/>
    <x v="0"/>
    <x v="0"/>
    <s v="Feature 336108: Windows 2003 NMF FCAPS Servers in FOUO and Secret Enclaves - File and Host Intrusion Protection"/>
    <x v="0"/>
    <n v="1"/>
    <x v="0"/>
    <m/>
    <s v="MUOS/Agile Teams/Cyber"/>
    <s v="Unassigned"/>
    <x v="0"/>
    <x v="0"/>
    <e v="#N/A"/>
    <x v="0"/>
    <x v="0"/>
    <x v="0"/>
    <x v="3"/>
    <n v="336176"/>
  </r>
  <r>
    <x v="74"/>
    <n v="336108"/>
    <x v="0"/>
    <x v="0"/>
    <s v="Feature 336108: Windows 2003 NMF FCAPS Servers in FOUO and Secret Enclaves - Fault Management Application Replacement"/>
    <x v="0"/>
    <n v="1"/>
    <x v="0"/>
    <m/>
    <s v="MUOS/Agile Teams/Cyber"/>
    <s v="Unassigned"/>
    <x v="0"/>
    <x v="0"/>
    <e v="#N/A"/>
    <x v="0"/>
    <x v="0"/>
    <x v="0"/>
    <x v="3"/>
    <n v="336171"/>
  </r>
  <r>
    <x v="75"/>
    <n v="336108"/>
    <x v="0"/>
    <x v="0"/>
    <s v="Feature 336108: Windows 2003 NMF FCAPS Servers in FOUO and Secret Enclaves - Fault Management Application Replacement"/>
    <x v="0"/>
    <n v="5"/>
    <x v="0"/>
    <m/>
    <s v="MUOS/Agile Teams/Cyber"/>
    <s v="Unassigned"/>
    <x v="0"/>
    <x v="0"/>
    <e v="#N/A"/>
    <x v="0"/>
    <x v="0"/>
    <x v="0"/>
    <x v="3"/>
    <n v="336155"/>
  </r>
  <r>
    <x v="76"/>
    <n v="336108"/>
    <x v="0"/>
    <x v="0"/>
    <s v="Feature 336108: Windows 2003 NMF FCAPS Servers in FOUO and Secret Enclaves - Routing Protocols"/>
    <x v="0"/>
    <n v="1"/>
    <x v="0"/>
    <m/>
    <s v="MUOS/Agile Teams/Cyber"/>
    <s v="Unassigned"/>
    <x v="0"/>
    <x v="0"/>
    <e v="#N/A"/>
    <x v="0"/>
    <x v="0"/>
    <x v="0"/>
    <x v="3"/>
    <n v="336148"/>
  </r>
  <r>
    <x v="77"/>
    <n v="336108"/>
    <x v="2"/>
    <x v="0"/>
    <s v="Feature 336108: Hold Feature Review with SMEs"/>
    <x v="0"/>
    <m/>
    <x v="0"/>
    <m/>
    <s v="Unassigned"/>
    <s v="Unassigned"/>
    <x v="0"/>
    <x v="1"/>
    <e v="#N/A"/>
    <x v="0"/>
    <x v="0"/>
    <x v="0"/>
    <x v="3"/>
    <n v="336122"/>
  </r>
  <r>
    <x v="78"/>
    <n v="336108"/>
    <x v="0"/>
    <x v="0"/>
    <s v="Feature 336108:  Agile Team Test (Unit Test, Install, PCR Verification, STCD Dev &amp; Test) Part 3 of N"/>
    <x v="0"/>
    <n v="5"/>
    <x v="0"/>
    <m/>
    <s v="MUOS/Agile Teams/Cyber"/>
    <s v="Unassigned"/>
    <x v="0"/>
    <x v="0"/>
    <e v="#N/A"/>
    <x v="0"/>
    <x v="0"/>
    <x v="0"/>
    <x v="3"/>
    <n v="336121"/>
  </r>
  <r>
    <x v="79"/>
    <n v="336108"/>
    <x v="0"/>
    <x v="0"/>
    <s v="Feature 336108: Agile Team Test (Unit Test, Install, PCR Verification, STCD Dev &amp; Test) Part 2 of N"/>
    <x v="0"/>
    <n v="5"/>
    <x v="0"/>
    <m/>
    <s v="MUOS/Agile Teams/Cyber"/>
    <s v="Unassigned"/>
    <x v="0"/>
    <x v="0"/>
    <e v="#N/A"/>
    <x v="0"/>
    <x v="0"/>
    <x v="0"/>
    <x v="3"/>
    <n v="336120"/>
  </r>
  <r>
    <x v="80"/>
    <n v="336108"/>
    <x v="0"/>
    <x v="0"/>
    <s v="Feature 336108:  Initiate CM PDO Processing for all CI's"/>
    <x v="0"/>
    <n v="1"/>
    <x v="0"/>
    <s v="#336110"/>
    <s v="MUOS/Agile Teams/Cyber"/>
    <s v="Unassigned"/>
    <x v="0"/>
    <x v="0"/>
    <e v="#N/A"/>
    <x v="0"/>
    <x v="0"/>
    <x v="0"/>
    <x v="3"/>
    <n v="336119"/>
  </r>
  <r>
    <x v="81"/>
    <n v="336108"/>
    <x v="0"/>
    <x v="0"/>
    <s v="Feature 336108:  ILS IETM Development and Integration updates part 1 of N"/>
    <x v="0"/>
    <n v="1"/>
    <x v="0"/>
    <m/>
    <s v="MUOS/Agile Teams/Cyber"/>
    <s v="Unassigned"/>
    <x v="0"/>
    <x v="0"/>
    <e v="#N/A"/>
    <x v="0"/>
    <x v="0"/>
    <x v="0"/>
    <x v="3"/>
    <n v="336117"/>
  </r>
  <r>
    <x v="82"/>
    <n v="336108"/>
    <x v="0"/>
    <x v="0"/>
    <s v="Feature 336108: ILS IETM update"/>
    <x v="0"/>
    <n v="3"/>
    <x v="0"/>
    <s v="#336112"/>
    <s v="MUOS/ILS: IETM and Documentation (CDRLs)"/>
    <s v="Dixon, Craig R"/>
    <x v="1"/>
    <x v="1"/>
    <e v="#N/A"/>
    <x v="0"/>
    <x v="0"/>
    <x v="0"/>
    <x v="3"/>
    <n v="336116"/>
  </r>
  <r>
    <x v="83"/>
    <n v="336108"/>
    <x v="0"/>
    <x v="0"/>
    <s v="Feature 336108:  Agile Team Test (Unit Test, Install, PCR Verification, STCD Dev &amp; Test) Part 1 of N"/>
    <x v="0"/>
    <n v="2"/>
    <x v="0"/>
    <m/>
    <s v="MUOS/Agile Teams/Cyber"/>
    <s v="Unassigned"/>
    <x v="0"/>
    <x v="0"/>
    <e v="#N/A"/>
    <x v="0"/>
    <x v="0"/>
    <x v="0"/>
    <x v="3"/>
    <n v="336115"/>
  </r>
  <r>
    <x v="84"/>
    <n v="336108"/>
    <x v="0"/>
    <x v="0"/>
    <s v="Feature 336108:  IA Patching and STIGs Part 1 of N"/>
    <x v="0"/>
    <n v="5"/>
    <x v="0"/>
    <s v="#336109"/>
    <s v="MUOS/Agile Teams/Cyber"/>
    <s v="Unassigned"/>
    <x v="0"/>
    <x v="0"/>
    <e v="#N/A"/>
    <x v="0"/>
    <x v="0"/>
    <x v="0"/>
    <x v="3"/>
    <n v="336114"/>
  </r>
  <r>
    <x v="85"/>
    <n v="336108"/>
    <x v="0"/>
    <x v="0"/>
    <s v="Feature 336108: Deployment Notes and Operator Impact Inputs Part 1 of N"/>
    <x v="0"/>
    <n v="2"/>
    <x v="0"/>
    <m/>
    <s v="MUOS/Agile Teams/Cyber"/>
    <s v="Unassigned"/>
    <x v="0"/>
    <x v="0"/>
    <e v="#N/A"/>
    <x v="0"/>
    <x v="0"/>
    <x v="0"/>
    <x v="3"/>
    <n v="336113"/>
  </r>
  <r>
    <x v="86"/>
    <n v="336108"/>
    <x v="0"/>
    <x v="0"/>
    <s v="Feature 336108:  Engineering IETM Development and Integration updates part 1 of N"/>
    <x v="0"/>
    <n v="3"/>
    <x v="0"/>
    <m/>
    <s v="MUOS/Agile Teams/Cyber"/>
    <s v="Unassigned"/>
    <x v="0"/>
    <x v="0"/>
    <e v="#N/A"/>
    <x v="0"/>
    <x v="0"/>
    <x v="0"/>
    <x v="3"/>
    <n v="336112"/>
  </r>
  <r>
    <x v="87"/>
    <n v="336108"/>
    <x v="0"/>
    <x v="0"/>
    <s v="Feature 336108: IA Posture Assessment"/>
    <x v="0"/>
    <n v="8"/>
    <x v="0"/>
    <s v="#336114"/>
    <s v="MUOS/Agile Teams/Cyber"/>
    <s v="Unassigned"/>
    <x v="0"/>
    <x v="0"/>
    <e v="#N/A"/>
    <x v="0"/>
    <x v="0"/>
    <x v="0"/>
    <x v="3"/>
    <n v="336111"/>
  </r>
  <r>
    <x v="88"/>
    <n v="336108"/>
    <x v="0"/>
    <x v="0"/>
    <s v="Feature 336108: Feature Demo – Customer Demo Event "/>
    <x v="0"/>
    <n v="1"/>
    <x v="0"/>
    <s v="#336111_x000a_#336113_x000a_#336115_x000a_#336116_x000a_#336120_x000a_#336121"/>
    <s v="MUOS/Agile Teams/Cyber"/>
    <s v="Unassigned"/>
    <x v="0"/>
    <x v="0"/>
    <e v="#N/A"/>
    <x v="0"/>
    <x v="0"/>
    <x v="0"/>
    <x v="3"/>
    <n v="336110"/>
  </r>
  <r>
    <x v="89"/>
    <n v="336108"/>
    <x v="0"/>
    <x v="0"/>
    <s v="Feature 336108: IA - Define Patch/ Stig Requirements"/>
    <x v="0"/>
    <n v="2"/>
    <x v="0"/>
    <m/>
    <s v="MUOS/Agile Teams/Cyber"/>
    <s v="Unassigned"/>
    <x v="0"/>
    <x v="0"/>
    <e v="#N/A"/>
    <x v="0"/>
    <x v="0"/>
    <x v="0"/>
    <x v="3"/>
    <n v="336109"/>
  </r>
  <r>
    <x v="90"/>
    <n v="354169"/>
    <x v="0"/>
    <x v="2"/>
    <s v="Develop guidelines for CyberSecurity Assessment"/>
    <x v="2"/>
    <n v="3"/>
    <x v="0"/>
    <m/>
    <s v="MUOS/Agile Teams/Cyber"/>
    <s v="Corcoran, David G"/>
    <x v="3"/>
    <x v="0"/>
    <e v="#N/A"/>
    <x v="0"/>
    <x v="0"/>
    <x v="0"/>
    <x v="4"/>
    <n v="378107"/>
  </r>
  <r>
    <x v="91"/>
    <n v="354169"/>
    <x v="0"/>
    <x v="2"/>
    <s v="Map CAT I CSI findings to POA&amp;M -  Part 2 - 12.3"/>
    <x v="3"/>
    <n v="5"/>
    <x v="0"/>
    <m/>
    <s v="MUOS/Agile Teams/Cyber"/>
    <s v="Murray, Will-P67105"/>
    <x v="4"/>
    <x v="0"/>
    <e v="#N/A"/>
    <x v="0"/>
    <x v="0"/>
    <x v="0"/>
    <x v="4"/>
    <n v="376941"/>
  </r>
  <r>
    <x v="92"/>
    <n v="354169"/>
    <x v="0"/>
    <x v="2"/>
    <s v="Map CAT I CSI findings to POA&amp;M -  Part 1 - 12.3"/>
    <x v="3"/>
    <n v="1"/>
    <x v="0"/>
    <m/>
    <s v="MUOS/Agile Teams/Cyber"/>
    <s v="Sokol, Anthony W"/>
    <x v="5"/>
    <x v="0"/>
    <e v="#N/A"/>
    <x v="0"/>
    <x v="0"/>
    <x v="0"/>
    <x v="4"/>
    <n v="371627"/>
  </r>
  <r>
    <x v="93"/>
    <n v="354169"/>
    <x v="0"/>
    <x v="2"/>
    <s v="Update WVPA metric and spreadsheet - 12.4"/>
    <x v="4"/>
    <n v="1"/>
    <x v="0"/>
    <m/>
    <s v="MUOS/Agile Teams/Cyber"/>
    <s v="Sokol, Anthony W"/>
    <x v="5"/>
    <x v="0"/>
    <e v="#N/A"/>
    <x v="0"/>
    <x v="0"/>
    <x v="0"/>
    <x v="4"/>
    <n v="371629"/>
  </r>
  <r>
    <x v="94"/>
    <n v="354169"/>
    <x v="0"/>
    <x v="2"/>
    <s v="Map CAT I CSI findings to POA&amp;M - Part 3"/>
    <x v="4"/>
    <n v="1"/>
    <x v="0"/>
    <m/>
    <s v="MUOS/Agile Teams/Cyber"/>
    <s v="Murray, Will-P67105"/>
    <x v="4"/>
    <x v="0"/>
    <e v="#N/A"/>
    <x v="0"/>
    <x v="0"/>
    <x v="0"/>
    <x v="4"/>
    <n v="371628"/>
  </r>
  <r>
    <x v="95"/>
    <n v="354169"/>
    <x v="0"/>
    <x v="2"/>
    <s v="Update Topology Diagram with CDS information"/>
    <x v="5"/>
    <n v="2"/>
    <x v="0"/>
    <m/>
    <s v="MUOS/Agile Teams/Cyber"/>
    <s v="Milzarski, Ted-P63490"/>
    <x v="6"/>
    <x v="0"/>
    <e v="#N/A"/>
    <x v="0"/>
    <x v="0"/>
    <x v="0"/>
    <x v="4"/>
    <n v="371632"/>
  </r>
  <r>
    <x v="96"/>
    <n v="354169"/>
    <x v="0"/>
    <x v="2"/>
    <s v="Review PMW draft patch Strategy - Part 2"/>
    <x v="6"/>
    <n v="2"/>
    <x v="0"/>
    <m/>
    <s v="MUOS/Agile Teams/Cyber"/>
    <s v="Milzarski, Ted-P63490"/>
    <x v="6"/>
    <x v="0"/>
    <e v="#N/A"/>
    <x v="0"/>
    <x v="0"/>
    <x v="0"/>
    <x v="4"/>
    <n v="371631"/>
  </r>
  <r>
    <x v="97"/>
    <n v="354169"/>
    <x v="0"/>
    <x v="2"/>
    <s v="Review PMW draft IA Patch Strategy - Part 1"/>
    <x v="6"/>
    <n v="2"/>
    <x v="0"/>
    <m/>
    <s v="MUOS/Agile Teams/Cyber"/>
    <s v="Milzarski, Ted-P63490"/>
    <x v="6"/>
    <x v="0"/>
    <e v="#N/A"/>
    <x v="0"/>
    <x v="0"/>
    <x v="0"/>
    <x v="4"/>
    <n v="371630"/>
  </r>
  <r>
    <x v="98"/>
    <n v="354169"/>
    <x v="0"/>
    <x v="2"/>
    <s v="Draft Vulnerability Management Plan - part 3"/>
    <x v="7"/>
    <n v="3"/>
    <x v="0"/>
    <m/>
    <s v="MUOS/Agile Teams/Cyber"/>
    <s v="Curtis, Chris B"/>
    <x v="7"/>
    <x v="0"/>
    <e v="#N/A"/>
    <x v="0"/>
    <x v="0"/>
    <x v="0"/>
    <x v="4"/>
    <n v="390574"/>
  </r>
  <r>
    <x v="99"/>
    <n v="354169"/>
    <x v="0"/>
    <x v="2"/>
    <s v="Draft Vulnerability Management Plan (VMP) - part 1"/>
    <x v="7"/>
    <n v="3"/>
    <x v="0"/>
    <m/>
    <s v="MUOS/Agile Teams/Cyber"/>
    <s v="Corcoran, David G"/>
    <x v="3"/>
    <x v="0"/>
    <e v="#N/A"/>
    <x v="0"/>
    <x v="0"/>
    <x v="0"/>
    <x v="4"/>
    <n v="376961"/>
  </r>
  <r>
    <x v="100"/>
    <n v="354169"/>
    <x v="0"/>
    <x v="2"/>
    <s v="Draft Vulnerability Management Plan - part 2"/>
    <x v="7"/>
    <n v="3"/>
    <x v="0"/>
    <m/>
    <s v="MUOS/Agile Teams/Cyber"/>
    <s v="Murray, Will-P67105"/>
    <x v="4"/>
    <x v="0"/>
    <e v="#N/A"/>
    <x v="0"/>
    <x v="0"/>
    <x v="0"/>
    <x v="4"/>
    <n v="371633"/>
  </r>
  <r>
    <x v="101"/>
    <n v="216552"/>
    <x v="1"/>
    <x v="2"/>
    <s v="Resolve May 2019 RMF ATO conditions based on PMW identified priorities"/>
    <x v="7"/>
    <m/>
    <x v="1"/>
    <m/>
    <s v="MUOS/Agile Teams/Cyber"/>
    <s v="Johnson, Derek T"/>
    <x v="2"/>
    <x v="0"/>
    <e v="#N/A"/>
    <x v="0"/>
    <x v="1"/>
    <x v="0"/>
    <x v="4"/>
    <n v="0"/>
  </r>
  <r>
    <x v="102"/>
    <n v="216552"/>
    <x v="1"/>
    <x v="1"/>
    <s v="Respond to PMW Access Control Policy reccomendations"/>
    <x v="1"/>
    <m/>
    <x v="1"/>
    <m/>
    <s v="MUOS/Agile Teams/Cyber"/>
    <s v="Dailey, Conan B"/>
    <x v="8"/>
    <x v="0"/>
    <e v="#N/A"/>
    <x v="0"/>
    <x v="1"/>
    <x v="0"/>
    <x v="5"/>
    <n v="0"/>
  </r>
  <r>
    <x v="103"/>
    <n v="371502"/>
    <x v="0"/>
    <x v="2"/>
    <s v="Support PMW Validator development of refined ACAS scanning plan"/>
    <x v="2"/>
    <n v="1"/>
    <x v="0"/>
    <m/>
    <s v="MUOS/Agile Teams/Cyber"/>
    <s v="Curtis, Chris B"/>
    <x v="7"/>
    <x v="0"/>
    <e v="#N/A"/>
    <x v="0"/>
    <x v="0"/>
    <x v="0"/>
    <x v="6"/>
    <n v="371503"/>
  </r>
  <r>
    <x v="104"/>
    <n v="371502"/>
    <x v="0"/>
    <x v="2"/>
    <s v="Compile summary of the number of instances of each software in provided list to support end customer request."/>
    <x v="5"/>
    <n v="1"/>
    <x v="0"/>
    <m/>
    <s v="MUOS/Agile Teams/Cyber"/>
    <s v="Morton, Randall-P57014"/>
    <x v="9"/>
    <x v="0"/>
    <e v="#N/A"/>
    <x v="0"/>
    <x v="0"/>
    <x v="0"/>
    <x v="6"/>
    <n v="387504"/>
  </r>
  <r>
    <x v="105"/>
    <n v="371502"/>
    <x v="0"/>
    <x v="2"/>
    <s v="STIG Matrix Update - part 2"/>
    <x v="6"/>
    <n v="5"/>
    <x v="0"/>
    <m/>
    <s v="MUOS/Agile Teams/Cyber"/>
    <s v="Murray, Will-P67105"/>
    <x v="4"/>
    <x v="0"/>
    <e v="#N/A"/>
    <x v="0"/>
    <x v="0"/>
    <x v="0"/>
    <x v="6"/>
    <n v="386934"/>
  </r>
  <r>
    <x v="106"/>
    <n v="371502"/>
    <x v="0"/>
    <x v="2"/>
    <s v="STIG Matrix Update - part 1"/>
    <x v="6"/>
    <n v="3"/>
    <x v="0"/>
    <m/>
    <s v="MUOS/Agile Teams/SIC"/>
    <s v="Kaya, Mark-P63210"/>
    <x v="10"/>
    <x v="2"/>
    <e v="#N/A"/>
    <x v="0"/>
    <x v="0"/>
    <x v="0"/>
    <x v="6"/>
    <n v="386932"/>
  </r>
  <r>
    <x v="107"/>
    <n v="371502"/>
    <x v="0"/>
    <x v="2"/>
    <s v="Develop ACAS white paper impact statement - 12.7"/>
    <x v="7"/>
    <n v="1"/>
    <x v="0"/>
    <m/>
    <s v="MUOS/Agile Teams/Cyber"/>
    <s v="Curtis, Chris B"/>
    <x v="7"/>
    <x v="0"/>
    <e v="#N/A"/>
    <x v="0"/>
    <x v="0"/>
    <x v="0"/>
    <x v="6"/>
    <n v="371506"/>
  </r>
  <r>
    <x v="108"/>
    <n v="216552"/>
    <x v="1"/>
    <x v="2"/>
    <s v="Cyber Sustainment RMF Step 6  - GD  support to PMW-146"/>
    <x v="7"/>
    <m/>
    <x v="1"/>
    <m/>
    <s v="MUOS/Agile Teams/Cyber"/>
    <s v="Johnson, Derek T"/>
    <x v="2"/>
    <x v="0"/>
    <e v="#N/A"/>
    <x v="0"/>
    <x v="1"/>
    <x v="0"/>
    <x v="6"/>
    <n v="0"/>
  </r>
  <r>
    <x v="109"/>
    <n v="372921"/>
    <x v="0"/>
    <x v="2"/>
    <s v="Support RMF IATT effort for call banks - PI-12.1"/>
    <x v="2"/>
    <n v="5"/>
    <x v="0"/>
    <m/>
    <s v="MUOS/Agile Teams/Cyber"/>
    <s v="Morton, Randall-P57014"/>
    <x v="9"/>
    <x v="0"/>
    <n v="11"/>
    <x v="0"/>
    <x v="0"/>
    <x v="0"/>
    <x v="7"/>
    <n v="376308"/>
  </r>
  <r>
    <x v="110"/>
    <n v="372921"/>
    <x v="0"/>
    <x v="2"/>
    <s v="Support RMF IATT effort for call banks - PI-12"/>
    <x v="2"/>
    <n v="2"/>
    <x v="0"/>
    <m/>
    <s v="MUOS/Agile Teams/System Engineering"/>
    <s v="Dailey, Conan B"/>
    <x v="8"/>
    <x v="3"/>
    <n v="11"/>
    <x v="0"/>
    <x v="0"/>
    <x v="0"/>
    <x v="7"/>
    <n v="373094"/>
  </r>
  <r>
    <x v="111"/>
    <n v="372921"/>
    <x v="0"/>
    <x v="2"/>
    <s v="Support RMF IATT effort for call banks - PI-12"/>
    <x v="8"/>
    <n v="2"/>
    <x v="0"/>
    <m/>
    <s v="MUOS/Agile Teams/System Engineering"/>
    <s v="Dailey, Conan B"/>
    <x v="8"/>
    <x v="3"/>
    <n v="11"/>
    <x v="0"/>
    <x v="0"/>
    <x v="0"/>
    <x v="7"/>
    <n v="375821"/>
  </r>
  <r>
    <x v="112"/>
    <n v="372921"/>
    <x v="0"/>
    <x v="2"/>
    <s v="Support RMF IATT effort for call banks - PI-12.3"/>
    <x v="3"/>
    <n v="3"/>
    <x v="0"/>
    <m/>
    <s v="MUOS/Agile Teams/Cyber"/>
    <s v="Morton, Randall-P57014"/>
    <x v="9"/>
    <x v="0"/>
    <n v="11"/>
    <x v="0"/>
    <x v="0"/>
    <x v="0"/>
    <x v="7"/>
    <n v="376307"/>
  </r>
  <r>
    <x v="113"/>
    <n v="372921"/>
    <x v="0"/>
    <x v="2"/>
    <s v="Support RMF IATT effort for call banks - PI-12.4"/>
    <x v="4"/>
    <n v="2"/>
    <x v="0"/>
    <m/>
    <s v="MUOS/Agile Teams/Cyber"/>
    <s v="Morton, Randall-P57014"/>
    <x v="9"/>
    <x v="0"/>
    <n v="11"/>
    <x v="0"/>
    <x v="0"/>
    <x v="0"/>
    <x v="7"/>
    <n v="382486"/>
  </r>
  <r>
    <x v="114"/>
    <n v="372921"/>
    <x v="0"/>
    <x v="2"/>
    <s v="Support RMF IATT effort for call banks - PI-12"/>
    <x v="4"/>
    <n v="1"/>
    <x v="0"/>
    <m/>
    <s v="MUOS/Agile Teams/System Engineering"/>
    <s v="Dailey, Conan B"/>
    <x v="8"/>
    <x v="3"/>
    <n v="11"/>
    <x v="0"/>
    <x v="0"/>
    <x v="0"/>
    <x v="7"/>
    <n v="375823"/>
  </r>
  <r>
    <x v="115"/>
    <n v="372921"/>
    <x v="0"/>
    <x v="2"/>
    <s v="Support RMF IATT effort for call banks - PI-12"/>
    <x v="4"/>
    <n v="1"/>
    <x v="0"/>
    <m/>
    <s v="MUOS/Agile Teams/System Engineering"/>
    <s v="Dailey, Conan B"/>
    <x v="8"/>
    <x v="3"/>
    <n v="11"/>
    <x v="0"/>
    <x v="0"/>
    <x v="0"/>
    <x v="7"/>
    <n v="375822"/>
  </r>
  <r>
    <x v="116"/>
    <n v="372921"/>
    <x v="0"/>
    <x v="2"/>
    <s v="Support RMF IATT effort for call banks - PI-12"/>
    <x v="5"/>
    <n v="1"/>
    <x v="0"/>
    <m/>
    <s v="MUOS/Agile Teams/System Engineering"/>
    <s v="Dailey, Conan B"/>
    <x v="8"/>
    <x v="3"/>
    <n v="11"/>
    <x v="0"/>
    <x v="0"/>
    <x v="0"/>
    <x v="7"/>
    <n v="375825"/>
  </r>
  <r>
    <x v="117"/>
    <n v="372921"/>
    <x v="0"/>
    <x v="2"/>
    <s v="Support RMF IATT effort for call banks - PI-12"/>
    <x v="6"/>
    <n v="1"/>
    <x v="0"/>
    <m/>
    <s v="MUOS/Agile Teams/System Engineering"/>
    <s v="Dailey, Conan B"/>
    <x v="8"/>
    <x v="3"/>
    <n v="11"/>
    <x v="0"/>
    <x v="0"/>
    <x v="0"/>
    <x v="7"/>
    <n v="375826"/>
  </r>
  <r>
    <x v="118"/>
    <n v="372921"/>
    <x v="0"/>
    <x v="2"/>
    <s v="Support RMF IATT effort for call banks (Cyber) - 14.1"/>
    <x v="9"/>
    <n v="3"/>
    <x v="0"/>
    <m/>
    <s v="MUOS/Agile Teams/Cyber"/>
    <s v="Curtis, Chris B"/>
    <x v="7"/>
    <x v="0"/>
    <n v="11"/>
    <x v="0"/>
    <x v="0"/>
    <x v="0"/>
    <x v="7"/>
    <n v="1001673"/>
  </r>
  <r>
    <x v="119"/>
    <n v="372921"/>
    <x v="0"/>
    <x v="2"/>
    <s v="Support RMF IATT effort for call banks (Systems) - 14.1"/>
    <x v="9"/>
    <n v="1"/>
    <x v="0"/>
    <m/>
    <s v="MUOS/Agile Teams/System Engineering"/>
    <s v="Dailey, Conan B"/>
    <x v="8"/>
    <x v="3"/>
    <n v="11"/>
    <x v="0"/>
    <x v="0"/>
    <x v="0"/>
    <x v="7"/>
    <n v="1001658"/>
  </r>
  <r>
    <x v="120"/>
    <n v="372921"/>
    <x v="0"/>
    <x v="2"/>
    <s v="Support RMF IATT effort for call banks (Cyber) - 14.2"/>
    <x v="10"/>
    <n v="3"/>
    <x v="0"/>
    <m/>
    <s v="MUOS/Agile Teams/Cyber"/>
    <s v="Curtis, Chris B"/>
    <x v="7"/>
    <x v="0"/>
    <n v="11"/>
    <x v="0"/>
    <x v="0"/>
    <x v="0"/>
    <x v="7"/>
    <n v="1011049"/>
  </r>
  <r>
    <x v="121"/>
    <n v="372921"/>
    <x v="0"/>
    <x v="2"/>
    <s v="Support RMF IATT effort for call banks (Systems) - 14.2"/>
    <x v="10"/>
    <n v="1"/>
    <x v="0"/>
    <m/>
    <s v="MUOS/Agile Teams/System Engineering"/>
    <s v="Dailey, Conan B"/>
    <x v="8"/>
    <x v="3"/>
    <n v="11"/>
    <x v="0"/>
    <x v="0"/>
    <x v="0"/>
    <x v="7"/>
    <n v="1001659"/>
  </r>
  <r>
    <x v="122"/>
    <n v="372921"/>
    <x v="0"/>
    <x v="2"/>
    <s v="Support RMF IATT effort for call banks (Cyber) - 14.3"/>
    <x v="11"/>
    <n v="5"/>
    <x v="0"/>
    <m/>
    <s v="MUOS/Agile Teams/Cyber"/>
    <s v="Curtis, Chris B"/>
    <x v="7"/>
    <x v="0"/>
    <n v="11"/>
    <x v="0"/>
    <x v="0"/>
    <x v="0"/>
    <x v="7"/>
    <n v="1012780"/>
  </r>
  <r>
    <x v="123"/>
    <n v="372921"/>
    <x v="0"/>
    <x v="2"/>
    <s v="Support RMF IATT effort for call banks (Cyber) - 14.3"/>
    <x v="11"/>
    <n v="3"/>
    <x v="0"/>
    <m/>
    <s v="MUOS/Agile Teams/Cyber"/>
    <s v="Morton, Randall-P57014"/>
    <x v="9"/>
    <x v="0"/>
    <n v="11"/>
    <x v="0"/>
    <x v="0"/>
    <x v="0"/>
    <x v="7"/>
    <n v="1001674"/>
  </r>
  <r>
    <x v="124"/>
    <n v="372921"/>
    <x v="0"/>
    <x v="2"/>
    <s v="Support RMF IATT effort for call banks (Systems) - 14.3"/>
    <x v="11"/>
    <n v="1"/>
    <x v="0"/>
    <m/>
    <s v="MUOS/Agile Teams/System Engineering"/>
    <s v="Dailey, Conan B"/>
    <x v="8"/>
    <x v="3"/>
    <n v="11"/>
    <x v="0"/>
    <x v="0"/>
    <x v="0"/>
    <x v="7"/>
    <n v="1001661"/>
  </r>
  <r>
    <x v="125"/>
    <n v="372921"/>
    <x v="0"/>
    <x v="2"/>
    <s v="Support RMF IATT effort for call banks (Cyber) - 14.4"/>
    <x v="12"/>
    <n v="2"/>
    <x v="0"/>
    <m/>
    <s v="MUOS/Agile Teams/Cyber"/>
    <s v="Garrison, David D"/>
    <x v="11"/>
    <x v="0"/>
    <n v="11"/>
    <x v="0"/>
    <x v="0"/>
    <x v="0"/>
    <x v="7"/>
    <n v="1014657"/>
  </r>
  <r>
    <x v="126"/>
    <n v="372921"/>
    <x v="0"/>
    <x v="2"/>
    <s v="Support RMF IATT effort for call banks (Cyber) - 14.4"/>
    <x v="12"/>
    <n v="3"/>
    <x v="0"/>
    <m/>
    <s v="MUOS/Agile Teams/Cyber"/>
    <s v="Morton, Randall-P57014"/>
    <x v="9"/>
    <x v="0"/>
    <n v="11"/>
    <x v="0"/>
    <x v="0"/>
    <x v="0"/>
    <x v="7"/>
    <n v="1008804"/>
  </r>
  <r>
    <x v="127"/>
    <n v="372921"/>
    <x v="0"/>
    <x v="2"/>
    <s v="Support RMF IATT effort for call banks (Systems) - 14.4"/>
    <x v="12"/>
    <n v="1"/>
    <x v="0"/>
    <m/>
    <s v="MUOS/Agile Teams/System Engineering"/>
    <s v="Dailey, Conan B"/>
    <x v="8"/>
    <x v="3"/>
    <n v="11"/>
    <x v="0"/>
    <x v="0"/>
    <x v="0"/>
    <x v="7"/>
    <n v="1001663"/>
  </r>
  <r>
    <x v="128"/>
    <n v="372921"/>
    <x v="0"/>
    <x v="2"/>
    <s v="Support RMF IATT effort for call banks (Cyber) - 14.5"/>
    <x v="13"/>
    <n v="3"/>
    <x v="0"/>
    <m/>
    <s v="MUOS/Agile Teams/Cyber"/>
    <s v="Morton, Randall-P57014"/>
    <x v="9"/>
    <x v="0"/>
    <n v="11"/>
    <x v="0"/>
    <x v="0"/>
    <x v="0"/>
    <x v="7"/>
    <n v="1001675"/>
  </r>
  <r>
    <x v="129"/>
    <n v="372921"/>
    <x v="0"/>
    <x v="2"/>
    <s v="Support RMF IATT effort for call banks (Systems) - 14.5"/>
    <x v="13"/>
    <n v="1"/>
    <x v="0"/>
    <m/>
    <s v="MUOS/Agile Teams/System Engineering"/>
    <s v="Dailey, Conan B"/>
    <x v="8"/>
    <x v="3"/>
    <n v="11"/>
    <x v="0"/>
    <x v="0"/>
    <x v="0"/>
    <x v="7"/>
    <n v="1001664"/>
  </r>
  <r>
    <x v="130"/>
    <n v="372921"/>
    <x v="0"/>
    <x v="2"/>
    <s v="Support RMF IATT effort for call banks (Cyber) - 15.1"/>
    <x v="14"/>
    <n v="2"/>
    <x v="0"/>
    <m/>
    <s v="MUOS/Agile Teams/Cyber"/>
    <s v="Vaughn, Gerald D (NE)"/>
    <x v="12"/>
    <x v="0"/>
    <n v="11"/>
    <x v="0"/>
    <x v="0"/>
    <x v="0"/>
    <x v="7"/>
    <n v="1019215"/>
  </r>
  <r>
    <x v="131"/>
    <n v="372921"/>
    <x v="0"/>
    <x v="2"/>
    <s v="Support RMF IATT effort for call banks (Systems) - 15.1"/>
    <x v="14"/>
    <n v="1"/>
    <x v="0"/>
    <m/>
    <s v="MUOS/Agile Teams/System Engineering"/>
    <s v="Dailey, Conan B"/>
    <x v="8"/>
    <x v="3"/>
    <n v="11"/>
    <x v="0"/>
    <x v="0"/>
    <x v="0"/>
    <x v="7"/>
    <n v="1001667"/>
  </r>
  <r>
    <x v="132"/>
    <n v="372921"/>
    <x v="0"/>
    <x v="2"/>
    <s v="Support RMF IATT effort for call banks (Cyber) - 15.1"/>
    <x v="14"/>
    <n v="3"/>
    <x v="0"/>
    <m/>
    <s v="MUOS/Agile Teams/Cyber"/>
    <s v="Morton, Randall-P57014"/>
    <x v="9"/>
    <x v="0"/>
    <n v="11"/>
    <x v="0"/>
    <x v="0"/>
    <x v="0"/>
    <x v="7"/>
    <n v="373095"/>
  </r>
  <r>
    <x v="133"/>
    <n v="372921"/>
    <x v="0"/>
    <x v="2"/>
    <s v="Support RMF IATT effort for call banks (Cyber) - 15.2"/>
    <x v="15"/>
    <n v="5"/>
    <x v="0"/>
    <m/>
    <s v="MUOS/Agile Teams/Cyber"/>
    <s v="Vaughn, Gerald D (NE)"/>
    <x v="12"/>
    <x v="0"/>
    <n v="11"/>
    <x v="0"/>
    <x v="0"/>
    <x v="0"/>
    <x v="7"/>
    <n v="1014652"/>
  </r>
  <r>
    <x v="134"/>
    <n v="372921"/>
    <x v="0"/>
    <x v="2"/>
    <s v="Support RMF IATT effort for call banks (Cyber) - 15.1 "/>
    <x v="15"/>
    <n v="2"/>
    <x v="0"/>
    <m/>
    <s v="MUOS/Agile Teams/Cyber"/>
    <s v="Curtis, Chris B"/>
    <x v="7"/>
    <x v="0"/>
    <n v="11"/>
    <x v="0"/>
    <x v="0"/>
    <x v="0"/>
    <x v="7"/>
    <n v="1014651"/>
  </r>
  <r>
    <x v="135"/>
    <n v="372921"/>
    <x v="0"/>
    <x v="2"/>
    <s v="Support RMF IATT effort for call banks (Systems) - 15.2"/>
    <x v="15"/>
    <n v="1"/>
    <x v="0"/>
    <m/>
    <s v="MUOS/Agile Teams/System Engineering"/>
    <s v="Dailey, Conan B"/>
    <x v="8"/>
    <x v="3"/>
    <n v="11"/>
    <x v="0"/>
    <x v="0"/>
    <x v="0"/>
    <x v="7"/>
    <n v="1001668"/>
  </r>
  <r>
    <x v="136"/>
    <n v="372921"/>
    <x v="0"/>
    <x v="2"/>
    <s v="Support RMF IATT effort for call banks (Cyber) - 15.2"/>
    <x v="15"/>
    <n v="3"/>
    <x v="0"/>
    <m/>
    <s v="MUOS/Agile Teams/Cyber"/>
    <s v="Morton, Randall-P57014"/>
    <x v="9"/>
    <x v="0"/>
    <n v="11"/>
    <x v="0"/>
    <x v="0"/>
    <x v="0"/>
    <x v="7"/>
    <n v="373096"/>
  </r>
  <r>
    <x v="137"/>
    <n v="372921"/>
    <x v="0"/>
    <x v="2"/>
    <s v="Support RMF IATT effort for call banks (Cyber) - 15.3"/>
    <x v="16"/>
    <n v="5"/>
    <x v="0"/>
    <m/>
    <s v="MUOS/Agile Teams/Cyber"/>
    <s v="Vaughn, Gerald D (NE)"/>
    <x v="12"/>
    <x v="0"/>
    <n v="11"/>
    <x v="0"/>
    <x v="0"/>
    <x v="0"/>
    <x v="7"/>
    <n v="1022042"/>
  </r>
  <r>
    <x v="138"/>
    <n v="372921"/>
    <x v="0"/>
    <x v="2"/>
    <s v="Support RMF IATT effort for call banks (Cyber) - 15.3"/>
    <x v="16"/>
    <n v="2"/>
    <x v="0"/>
    <m/>
    <s v="MUOS/Agile Teams/Cyber"/>
    <s v="Garrison, David D"/>
    <x v="11"/>
    <x v="0"/>
    <n v="11"/>
    <x v="0"/>
    <x v="0"/>
    <x v="0"/>
    <x v="7"/>
    <n v="1014653"/>
  </r>
  <r>
    <x v="139"/>
    <n v="372921"/>
    <x v="0"/>
    <x v="2"/>
    <s v="Support RMF IATT effort for call banks (Systems) - 15.4"/>
    <x v="16"/>
    <n v="1"/>
    <x v="0"/>
    <m/>
    <s v="MUOS/Agile Teams/System Engineering"/>
    <s v="Dailey, Conan B"/>
    <x v="8"/>
    <x v="3"/>
    <n v="11"/>
    <x v="0"/>
    <x v="0"/>
    <x v="0"/>
    <x v="7"/>
    <n v="1001670"/>
  </r>
  <r>
    <x v="140"/>
    <n v="372921"/>
    <x v="0"/>
    <x v="2"/>
    <s v="Support RMF IATT effort for call banks (Systems) - 15.3"/>
    <x v="16"/>
    <n v="3"/>
    <x v="0"/>
    <m/>
    <s v="MUOS/Agile Teams/System Engineering"/>
    <s v="Dailey, Conan B"/>
    <x v="8"/>
    <x v="3"/>
    <n v="11"/>
    <x v="0"/>
    <x v="0"/>
    <x v="0"/>
    <x v="7"/>
    <n v="1001669"/>
  </r>
  <r>
    <x v="141"/>
    <n v="372921"/>
    <x v="0"/>
    <x v="2"/>
    <s v="Support RMF IATT effort for call banks (Cyber) - 15.3"/>
    <x v="16"/>
    <n v="3"/>
    <x v="0"/>
    <m/>
    <s v="MUOS/Agile Teams/Cyber"/>
    <s v="Morton, Randall-P57014"/>
    <x v="9"/>
    <x v="0"/>
    <n v="11"/>
    <x v="0"/>
    <x v="0"/>
    <x v="0"/>
    <x v="7"/>
    <n v="373097"/>
  </r>
  <r>
    <x v="142"/>
    <n v="372921"/>
    <x v="0"/>
    <x v="2"/>
    <s v="Support RMF IATT effort for call banks (Cyber) - 15.4"/>
    <x v="17"/>
    <n v="5"/>
    <x v="0"/>
    <m/>
    <s v="MUOS/Agile Teams/Cyber"/>
    <s v="Vaughn, Gerald D (NE)"/>
    <x v="12"/>
    <x v="0"/>
    <n v="11"/>
    <x v="0"/>
    <x v="0"/>
    <x v="0"/>
    <x v="7"/>
    <n v="1022776"/>
  </r>
  <r>
    <x v="143"/>
    <n v="372921"/>
    <x v="0"/>
    <x v="2"/>
    <s v="Support RMF IATT effort for call banks (Cyber) - 15.4"/>
    <x v="17"/>
    <n v="2"/>
    <x v="0"/>
    <m/>
    <s v="MUOS/Agile Teams/Cyber"/>
    <s v="Curtis, Chris B"/>
    <x v="7"/>
    <x v="0"/>
    <n v="11"/>
    <x v="0"/>
    <x v="0"/>
    <x v="0"/>
    <x v="7"/>
    <n v="1014654"/>
  </r>
  <r>
    <x v="144"/>
    <n v="372921"/>
    <x v="0"/>
    <x v="2"/>
    <s v="Support RMF IATT effort for call banks (Cyber) - 15.4"/>
    <x v="17"/>
    <n v="3"/>
    <x v="0"/>
    <m/>
    <s v="MUOS/Agile Teams/Cyber"/>
    <s v="Morton, Randall-P57014"/>
    <x v="9"/>
    <x v="0"/>
    <n v="11"/>
    <x v="0"/>
    <x v="0"/>
    <x v="0"/>
    <x v="7"/>
    <n v="373098"/>
  </r>
  <r>
    <x v="145"/>
    <n v="372921"/>
    <x v="0"/>
    <x v="3"/>
    <s v="Support RMF IATT effort for call banks (Cyber) - 15.5"/>
    <x v="18"/>
    <n v="2"/>
    <x v="0"/>
    <m/>
    <s v="MUOS/Agile Teams/Cyber"/>
    <s v="Garrison, David D"/>
    <x v="11"/>
    <x v="0"/>
    <n v="11"/>
    <x v="0"/>
    <x v="0"/>
    <x v="0"/>
    <x v="7"/>
    <n v="1014658"/>
  </r>
  <r>
    <x v="146"/>
    <n v="372921"/>
    <x v="0"/>
    <x v="0"/>
    <s v="Support RMF IATT effort for call banks (Cyber) - 15.5"/>
    <x v="18"/>
    <n v="3"/>
    <x v="0"/>
    <m/>
    <s v="MUOS/Agile Teams/Cyber"/>
    <s v="Morton, Randall-P57014"/>
    <x v="9"/>
    <x v="0"/>
    <n v="11"/>
    <x v="0"/>
    <x v="0"/>
    <x v="0"/>
    <x v="7"/>
    <n v="1014581"/>
  </r>
  <r>
    <x v="147"/>
    <n v="372921"/>
    <x v="0"/>
    <x v="0"/>
    <s v="Support RMF IATT effort for call banks (Systems) - 15.5"/>
    <x v="18"/>
    <n v="1"/>
    <x v="0"/>
    <m/>
    <s v="MUOS/Agile Teams/System Engineering"/>
    <s v="Dailey, Conan B"/>
    <x v="8"/>
    <x v="3"/>
    <n v="11"/>
    <x v="0"/>
    <x v="0"/>
    <x v="0"/>
    <x v="7"/>
    <n v="1001671"/>
  </r>
  <r>
    <x v="148"/>
    <n v="372921"/>
    <x v="0"/>
    <x v="0"/>
    <s v="Support RMF IATT effort for call banks (Cyber) - 16.1"/>
    <x v="19"/>
    <n v="5"/>
    <x v="0"/>
    <m/>
    <s v="MUOS/Agile Teams/Cyber"/>
    <s v="Morton, Randall-P57014"/>
    <x v="9"/>
    <x v="0"/>
    <n v="11"/>
    <x v="0"/>
    <x v="0"/>
    <x v="0"/>
    <x v="7"/>
    <n v="1023603"/>
  </r>
  <r>
    <x v="149"/>
    <n v="372921"/>
    <x v="0"/>
    <x v="0"/>
    <s v="Support RMF IATT effort for call banks (Systems) - 16.1"/>
    <x v="19"/>
    <n v="3"/>
    <x v="0"/>
    <m/>
    <s v="MUOS/Agile Teams/Cyber"/>
    <s v="Dailey, Conan B"/>
    <x v="8"/>
    <x v="0"/>
    <n v="11"/>
    <x v="0"/>
    <x v="0"/>
    <x v="0"/>
    <x v="7"/>
    <n v="1023601"/>
  </r>
  <r>
    <x v="150"/>
    <n v="372921"/>
    <x v="0"/>
    <x v="0"/>
    <s v="Support RMF IATT effort for call banks (Cyber) - 16.2"/>
    <x v="20"/>
    <n v="5"/>
    <x v="0"/>
    <m/>
    <s v="MUOS/Agile Teams/Cyber"/>
    <s v="Morton, Randall-P57014"/>
    <x v="9"/>
    <x v="0"/>
    <n v="11"/>
    <x v="0"/>
    <x v="0"/>
    <x v="0"/>
    <x v="7"/>
    <n v="1023604"/>
  </r>
  <r>
    <x v="151"/>
    <n v="372921"/>
    <x v="0"/>
    <x v="0"/>
    <s v="Support RMF IATT effort for call banks (Systems) - 16.2"/>
    <x v="20"/>
    <n v="3"/>
    <x v="0"/>
    <m/>
    <s v="MUOS/Agile Teams/Cyber"/>
    <s v="Dailey, Conan B"/>
    <x v="8"/>
    <x v="0"/>
    <n v="11"/>
    <x v="0"/>
    <x v="0"/>
    <x v="0"/>
    <x v="7"/>
    <n v="1023602"/>
  </r>
  <r>
    <x v="152"/>
    <n v="216552"/>
    <x v="1"/>
    <x v="3"/>
    <s v="Cyber: RMF Accreditation of Call Bank Radio System"/>
    <x v="21"/>
    <m/>
    <x v="1"/>
    <m/>
    <s v="MUOS/Agile Teams/Cyber"/>
    <s v="Morton, Randall-P57014"/>
    <x v="9"/>
    <x v="0"/>
    <n v="11"/>
    <x v="0"/>
    <x v="1"/>
    <x v="0"/>
    <x v="7"/>
    <n v="0"/>
  </r>
  <r>
    <x v="153"/>
    <n v="386931"/>
    <x v="0"/>
    <x v="2"/>
    <s v="Support WH Site Assessment: Trip 1 Person C  [13.2] 11/18 to 11/20"/>
    <x v="22"/>
    <n v="3"/>
    <x v="0"/>
    <m/>
    <s v="MUOS/Agile Teams/Magic"/>
    <s v="Vaughn, Gerald D (NE)"/>
    <x v="12"/>
    <x v="4"/>
    <e v="#N/A"/>
    <x v="1"/>
    <x v="0"/>
    <x v="0"/>
    <x v="8"/>
    <n v="391278"/>
  </r>
  <r>
    <x v="154"/>
    <n v="386931"/>
    <x v="0"/>
    <x v="2"/>
    <s v="Support WH Site Assessment: Trip 1 Person B  [13.2] 11/18 to 11/20"/>
    <x v="22"/>
    <n v="3"/>
    <x v="0"/>
    <m/>
    <s v="MUOS/Agile Teams/Okapi"/>
    <s v="Ebert, Brandon L"/>
    <x v="13"/>
    <x v="5"/>
    <e v="#N/A"/>
    <x v="1"/>
    <x v="0"/>
    <x v="0"/>
    <x v="8"/>
    <n v="390731"/>
  </r>
  <r>
    <x v="155"/>
    <n v="386931"/>
    <x v="0"/>
    <x v="2"/>
    <s v="Support WH Site Assessment: Trip 1 Person A  [13.2] 11/18 to 11/20"/>
    <x v="22"/>
    <n v="3"/>
    <x v="0"/>
    <m/>
    <s v="MUOS/Agile Teams/Cyber"/>
    <s v="Johnson, Derek T"/>
    <x v="2"/>
    <x v="0"/>
    <e v="#N/A"/>
    <x v="1"/>
    <x v="0"/>
    <x v="0"/>
    <x v="8"/>
    <n v="386960"/>
  </r>
  <r>
    <x v="156"/>
    <n v="386931"/>
    <x v="0"/>
    <x v="2"/>
    <s v="Support WH Site Assessment: Trip 2 Person F  [13.3] 12/02 to 12/04"/>
    <x v="23"/>
    <n v="3"/>
    <x v="0"/>
    <m/>
    <s v="MUOS/Agile Teams/Cyber"/>
    <s v="Milzarski, Ted-P63490"/>
    <x v="6"/>
    <x v="0"/>
    <e v="#N/A"/>
    <x v="1"/>
    <x v="0"/>
    <x v="0"/>
    <x v="8"/>
    <n v="391281"/>
  </r>
  <r>
    <x v="157"/>
    <n v="386931"/>
    <x v="0"/>
    <x v="2"/>
    <s v="Support WH Site Assessment: Trip 1 Person C  [13.3] 11/21 to 11/22"/>
    <x v="23"/>
    <n v="2"/>
    <x v="0"/>
    <m/>
    <s v="MUOS/Agile Teams/Magic"/>
    <s v="Vaughn, Gerald D (NE)"/>
    <x v="12"/>
    <x v="4"/>
    <e v="#N/A"/>
    <x v="1"/>
    <x v="0"/>
    <x v="0"/>
    <x v="8"/>
    <n v="391280"/>
  </r>
  <r>
    <x v="158"/>
    <n v="386931"/>
    <x v="0"/>
    <x v="2"/>
    <s v="Support WH Site Assessment: Trip 1 Person B  [13.3] 11/21 to 11/22"/>
    <x v="23"/>
    <n v="2"/>
    <x v="0"/>
    <m/>
    <s v="MUOS/Agile Teams/Okapi"/>
    <s v="Ebert, Brandon L"/>
    <x v="13"/>
    <x v="5"/>
    <e v="#N/A"/>
    <x v="1"/>
    <x v="0"/>
    <x v="0"/>
    <x v="8"/>
    <n v="390805"/>
  </r>
  <r>
    <x v="159"/>
    <n v="386931"/>
    <x v="0"/>
    <x v="2"/>
    <s v="Support WH Site Assessment: Trip 1 Person A  [13.3] 11/21 to 11/22"/>
    <x v="23"/>
    <n v="2"/>
    <x v="0"/>
    <m/>
    <s v="MUOS/Agile Teams/Cyber"/>
    <s v="Johnson, Derek T"/>
    <x v="2"/>
    <x v="0"/>
    <e v="#N/A"/>
    <x v="1"/>
    <x v="0"/>
    <x v="0"/>
    <x v="8"/>
    <n v="390802"/>
  </r>
  <r>
    <x v="160"/>
    <n v="386931"/>
    <x v="0"/>
    <x v="2"/>
    <s v="Support WH Site Assessment: Trip 2 Person E  [13.3] 12/02 to 12/04"/>
    <x v="23"/>
    <n v="3"/>
    <x v="0"/>
    <m/>
    <s v="MUOS/Agile Teams/Okapi"/>
    <s v="Ruiz, Dom V"/>
    <x v="14"/>
    <x v="5"/>
    <e v="#N/A"/>
    <x v="1"/>
    <x v="0"/>
    <x v="0"/>
    <x v="8"/>
    <n v="390736"/>
  </r>
  <r>
    <x v="161"/>
    <n v="386931"/>
    <x v="0"/>
    <x v="2"/>
    <s v="Support WH Site Assessment: Trip 2 Person D  [13.3] 12/02 to 12/04"/>
    <x v="23"/>
    <n v="3"/>
    <x v="0"/>
    <m/>
    <s v="MUOS/Agile Teams/Cyber"/>
    <s v="Johnson, Derek T"/>
    <x v="2"/>
    <x v="0"/>
    <e v="#N/A"/>
    <x v="1"/>
    <x v="0"/>
    <x v="0"/>
    <x v="8"/>
    <n v="390733"/>
  </r>
  <r>
    <x v="162"/>
    <n v="386931"/>
    <x v="0"/>
    <x v="2"/>
    <s v="Support WH Site Assessment: Trip 2 Person E1  [13.4] 12/09 to 12/13"/>
    <x v="24"/>
    <n v="5"/>
    <x v="0"/>
    <m/>
    <s v="MUOS/Agile Teams/Cyber"/>
    <s v="Burnett, Johnathan D"/>
    <x v="15"/>
    <x v="0"/>
    <e v="#N/A"/>
    <x v="1"/>
    <x v="0"/>
    <x v="0"/>
    <x v="8"/>
    <n v="392468"/>
  </r>
  <r>
    <x v="163"/>
    <n v="386931"/>
    <x v="0"/>
    <x v="2"/>
    <s v="Support WH Site Assessment: Trip 2 Person G  [13.4] 12/09 to 12/13"/>
    <x v="24"/>
    <n v="5"/>
    <x v="0"/>
    <m/>
    <s v="MUOS/Agile Teams/Cyber"/>
    <s v="Tang, Kent-P22339"/>
    <x v="16"/>
    <x v="0"/>
    <e v="#N/A"/>
    <x v="1"/>
    <x v="0"/>
    <x v="0"/>
    <x v="8"/>
    <n v="391284"/>
  </r>
  <r>
    <x v="164"/>
    <n v="386931"/>
    <x v="0"/>
    <x v="2"/>
    <s v="Support WH Site Assessment: Trip 2 Person F  [13.4] 12/05 to 12/06"/>
    <x v="24"/>
    <n v="2"/>
    <x v="0"/>
    <m/>
    <s v="MUOS/Agile Teams/Cyber"/>
    <s v="Milzarski, Ted-P63490"/>
    <x v="6"/>
    <x v="0"/>
    <e v="#N/A"/>
    <x v="1"/>
    <x v="0"/>
    <x v="0"/>
    <x v="8"/>
    <n v="391283"/>
  </r>
  <r>
    <x v="165"/>
    <n v="386931"/>
    <x v="0"/>
    <x v="2"/>
    <s v="Support WH Site Assessment: Trip 2 Person D  [13.4] 12/05 to 12/13"/>
    <x v="24"/>
    <n v="8"/>
    <x v="0"/>
    <m/>
    <s v="MUOS/Agile Teams/Cyber"/>
    <s v="Johnson, Derek T"/>
    <x v="2"/>
    <x v="0"/>
    <e v="#N/A"/>
    <x v="1"/>
    <x v="0"/>
    <x v="0"/>
    <x v="8"/>
    <n v="390812"/>
  </r>
  <r>
    <x v="166"/>
    <n v="386931"/>
    <x v="0"/>
    <x v="2"/>
    <s v="Support WH Site Assessment: Trip 2 Person E  [13.4] 12/05 to 12/6"/>
    <x v="24"/>
    <n v="2"/>
    <x v="0"/>
    <m/>
    <s v="MUOS/Agile Teams/Okapi"/>
    <s v="Ruiz, Dom V"/>
    <x v="14"/>
    <x v="5"/>
    <e v="#N/A"/>
    <x v="1"/>
    <x v="0"/>
    <x v="0"/>
    <x v="8"/>
    <n v="390810"/>
  </r>
  <r>
    <x v="167"/>
    <n v="216552"/>
    <x v="1"/>
    <x v="2"/>
    <s v="Cyber May 2020 RMF ATO Data Collection"/>
    <x v="25"/>
    <m/>
    <x v="1"/>
    <m/>
    <s v="MUOS/Agile Teams/Cyber"/>
    <s v="Johnson, Derek T"/>
    <x v="2"/>
    <x v="0"/>
    <e v="#N/A"/>
    <x v="1"/>
    <x v="1"/>
    <x v="0"/>
    <x v="8"/>
    <n v="0"/>
  </r>
  <r>
    <x v="168"/>
    <n v="390286"/>
    <x v="0"/>
    <x v="2"/>
    <s v="Feature 390286: Coordinate audit/update of default passwords for suspect devices (Part 1)"/>
    <x v="26"/>
    <n v="2"/>
    <x v="0"/>
    <m/>
    <s v="MUOS/Agile Teams/Cyber"/>
    <s v="Garrison, David D"/>
    <x v="11"/>
    <x v="0"/>
    <e v="#N/A"/>
    <x v="2"/>
    <x v="0"/>
    <x v="0"/>
    <x v="9"/>
    <n v="393062"/>
  </r>
  <r>
    <x v="169"/>
    <n v="390286"/>
    <x v="0"/>
    <x v="2"/>
    <s v="Feature 390286: NTLMv2 removal impact"/>
    <x v="26"/>
    <n v="1"/>
    <x v="0"/>
    <m/>
    <s v="MUOS/Agile Teams/TOFF"/>
    <s v="MacDonald, Michael W"/>
    <x v="17"/>
    <x v="6"/>
    <e v="#N/A"/>
    <x v="2"/>
    <x v="0"/>
    <x v="0"/>
    <x v="9"/>
    <n v="392692"/>
  </r>
  <r>
    <x v="170"/>
    <n v="390286"/>
    <x v="0"/>
    <x v="2"/>
    <s v="Feature 390286: Coordinate BlueSheet effort"/>
    <x v="26"/>
    <n v="3"/>
    <x v="0"/>
    <m/>
    <s v="MUOS/Agile Teams/System Engineering"/>
    <s v="Dailey, Conan B"/>
    <x v="8"/>
    <x v="3"/>
    <e v="#N/A"/>
    <x v="2"/>
    <x v="0"/>
    <x v="0"/>
    <x v="9"/>
    <n v="390290"/>
  </r>
  <r>
    <x v="171"/>
    <n v="390286"/>
    <x v="0"/>
    <x v="2"/>
    <s v="Feature 390286: SMBv1 removal impact"/>
    <x v="26"/>
    <n v="3"/>
    <x v="0"/>
    <m/>
    <s v="MUOS/Agile Teams/TOFF"/>
    <s v="MacDonald, Michael W"/>
    <x v="17"/>
    <x v="6"/>
    <e v="#N/A"/>
    <x v="2"/>
    <x v="0"/>
    <x v="0"/>
    <x v="9"/>
    <n v="390289"/>
  </r>
  <r>
    <x v="172"/>
    <n v="390286"/>
    <x v="0"/>
    <x v="2"/>
    <s v="Feature 390286: Investigate LLMWR and NetBIOS Name Server restrictions"/>
    <x v="26"/>
    <n v="2"/>
    <x v="0"/>
    <m/>
    <s v="MUOS/Agile Teams/Magic"/>
    <s v="McGrew II, Michael-P65920"/>
    <x v="18"/>
    <x v="4"/>
    <e v="#N/A"/>
    <x v="2"/>
    <x v="0"/>
    <x v="0"/>
    <x v="9"/>
    <n v="390287"/>
  </r>
  <r>
    <x v="173"/>
    <n v="390286"/>
    <x v="0"/>
    <x v="2"/>
    <s v="Feature 390286: Coordinate BlueSheet effort"/>
    <x v="22"/>
    <n v="1"/>
    <x v="0"/>
    <m/>
    <s v="MUOS/Agile Teams/System Engineering"/>
    <s v="Dailey, Conan B"/>
    <x v="8"/>
    <x v="3"/>
    <e v="#N/A"/>
    <x v="2"/>
    <x v="0"/>
    <x v="0"/>
    <x v="9"/>
    <n v="395398"/>
  </r>
  <r>
    <x v="174"/>
    <n v="390286"/>
    <x v="0"/>
    <x v="2"/>
    <s v="Feature 390286: Coordinate audit/update of default passwords for suspect devices (Part 2)"/>
    <x v="22"/>
    <n v="1"/>
    <x v="0"/>
    <m/>
    <s v="MUOS/Agile Teams/Cyber"/>
    <s v="Garrison, David D"/>
    <x v="11"/>
    <x v="0"/>
    <e v="#N/A"/>
    <x v="2"/>
    <x v="0"/>
    <x v="0"/>
    <x v="9"/>
    <n v="395340"/>
  </r>
  <r>
    <x v="175"/>
    <n v="390286"/>
    <x v="0"/>
    <x v="2"/>
    <s v="Feature 390286: 802.1X investigation"/>
    <x v="22"/>
    <n v="2"/>
    <x v="0"/>
    <m/>
    <s v="MUOS/Agile Teams/Magic"/>
    <s v="McGrew II, Michael-P65920"/>
    <x v="18"/>
    <x v="4"/>
    <e v="#N/A"/>
    <x v="2"/>
    <x v="0"/>
    <x v="0"/>
    <x v="9"/>
    <n v="390291"/>
  </r>
  <r>
    <x v="176"/>
    <n v="390286"/>
    <x v="0"/>
    <x v="2"/>
    <s v="Feature 390286: Deployment Notes and Operator Impact Inputs (tied to Account Maint Plan (GS AMP) Update Story) - 13.3"/>
    <x v="23"/>
    <n v="2"/>
    <x v="0"/>
    <m/>
    <s v="MUOS/Agile Teams/Cyber"/>
    <s v="Stevens, Alice L"/>
    <x v="19"/>
    <x v="0"/>
    <e v="#N/A"/>
    <x v="2"/>
    <x v="0"/>
    <x v="0"/>
    <x v="9"/>
    <n v="393492"/>
  </r>
  <r>
    <x v="177"/>
    <n v="390286"/>
    <x v="0"/>
    <x v="2"/>
    <s v="Feature 390286: FEP analysis and testing for improved resilliency"/>
    <x v="23"/>
    <n v="5"/>
    <x v="0"/>
    <m/>
    <s v="MUOS/Agile Teams/Cyber"/>
    <s v="Urban, Carol A"/>
    <x v="20"/>
    <x v="0"/>
    <e v="#N/A"/>
    <x v="2"/>
    <x v="0"/>
    <x v="0"/>
    <x v="9"/>
    <n v="393063"/>
  </r>
  <r>
    <x v="178"/>
    <n v="390286"/>
    <x v="0"/>
    <x v="2"/>
    <s v="Feature 390286: MPC preparation to deploy NetBIOS and LLMNR fix"/>
    <x v="23"/>
    <n v="3"/>
    <x v="0"/>
    <m/>
    <s v="MUOS/Agile Teams/Magic"/>
    <s v="McGrew II, Michael-P65920"/>
    <x v="18"/>
    <x v="4"/>
    <e v="#N/A"/>
    <x v="2"/>
    <x v="0"/>
    <x v="0"/>
    <x v="9"/>
    <n v="392704"/>
  </r>
  <r>
    <x v="179"/>
    <n v="390286"/>
    <x v="0"/>
    <x v="2"/>
    <s v="Feature 390286: Support MPCs to update the Windows Server 2012 CI SVD portion of this BLUESHEET effort (Part 1) - 13.4"/>
    <x v="24"/>
    <n v="3"/>
    <x v="1"/>
    <m/>
    <s v="MUOS/Agile Teams/Cyber"/>
    <s v="Stevens, Alice L"/>
    <x v="19"/>
    <x v="0"/>
    <e v="#N/A"/>
    <x v="2"/>
    <x v="0"/>
    <x v="0"/>
    <x v="9"/>
    <n v="1004590"/>
  </r>
  <r>
    <x v="180"/>
    <n v="390286"/>
    <x v="0"/>
    <x v="2"/>
    <s v="Feature 390286: Support MPCs to update the WIN10 Workstation CI SVD portion of this BLUESHEET effort (Part 1) - 13.4"/>
    <x v="24"/>
    <n v="3"/>
    <x v="1"/>
    <m/>
    <s v="MUOS/Agile Teams/Cyber"/>
    <s v="Stevens, Alice L"/>
    <x v="19"/>
    <x v="0"/>
    <e v="#N/A"/>
    <x v="2"/>
    <x v="0"/>
    <x v="0"/>
    <x v="9"/>
    <n v="393061"/>
  </r>
  <r>
    <x v="181"/>
    <n v="390286"/>
    <x v="2"/>
    <x v="2"/>
    <s v="Feature 390286: Verify AMP common document redlines"/>
    <x v="27"/>
    <m/>
    <x v="0"/>
    <m/>
    <s v="MUOS/Agile Teams/Cyber"/>
    <s v="Stevens, Alice L"/>
    <x v="19"/>
    <x v="0"/>
    <e v="#N/A"/>
    <x v="2"/>
    <x v="0"/>
    <x v="0"/>
    <x v="9"/>
    <n v="1003015"/>
  </r>
  <r>
    <x v="182"/>
    <n v="390286"/>
    <x v="0"/>
    <x v="2"/>
    <s v="Feature 390286: Support MPCs to update the Windows Server 2012 CI SVD portion of this BLUESHEET effort (Part 2:  vLab validation &amp; AAA SVD rebase story)- 13.7"/>
    <x v="25"/>
    <n v="2"/>
    <x v="1"/>
    <m/>
    <s v="MUOS/Agile Teams/Cyber"/>
    <s v="Stevens, Alice L"/>
    <x v="19"/>
    <x v="0"/>
    <e v="#N/A"/>
    <x v="2"/>
    <x v="0"/>
    <x v="0"/>
    <x v="9"/>
    <n v="1002513"/>
  </r>
  <r>
    <x v="183"/>
    <n v="390286"/>
    <x v="2"/>
    <x v="2"/>
    <s v="Feature 390286: Cyber Blue Sheets: Coordinate incorporation of changes to AMP with Laptop team."/>
    <x v="9"/>
    <m/>
    <x v="0"/>
    <m/>
    <s v="MUOS/Agile Teams/Cyber"/>
    <s v="Tang, Kent-P22339"/>
    <x v="16"/>
    <x v="0"/>
    <e v="#N/A"/>
    <x v="2"/>
    <x v="0"/>
    <x v="0"/>
    <x v="9"/>
    <n v="1010710"/>
  </r>
  <r>
    <x v="184"/>
    <n v="390286"/>
    <x v="0"/>
    <x v="2"/>
    <s v="Feature 390286: Apply Update to GPO in VLAB"/>
    <x v="9"/>
    <n v="1"/>
    <x v="1"/>
    <m/>
    <s v="MUOS/Agile Teams/TOFF"/>
    <s v="MacDonald, Michael W"/>
    <x v="17"/>
    <x v="6"/>
    <e v="#N/A"/>
    <x v="2"/>
    <x v="0"/>
    <x v="0"/>
    <x v="9"/>
    <n v="1008013"/>
  </r>
  <r>
    <x v="185"/>
    <n v="390286"/>
    <x v="0"/>
    <x v="2"/>
    <s v="Feature 390286: Resolve Issues with “MUOS Password Policy&quot; document"/>
    <x v="10"/>
    <n v="2"/>
    <x v="0"/>
    <m/>
    <s v="MUOS/Agile Teams/Cyber"/>
    <s v="Garrison, David D"/>
    <x v="11"/>
    <x v="0"/>
    <e v="#N/A"/>
    <x v="2"/>
    <x v="0"/>
    <x v="0"/>
    <x v="9"/>
    <n v="1010393"/>
  </r>
  <r>
    <x v="186"/>
    <n v="390286"/>
    <x v="0"/>
    <x v="2"/>
    <s v="Feature 390286: Support MPC to Disable LLMNR and NetBIOS (Phase 1 of N)"/>
    <x v="11"/>
    <n v="5"/>
    <x v="0"/>
    <m/>
    <s v="MUOS/Agile Teams/Cyber"/>
    <s v="Vaughn, Gerald D (NE)"/>
    <x v="12"/>
    <x v="0"/>
    <e v="#N/A"/>
    <x v="2"/>
    <x v="0"/>
    <x v="0"/>
    <x v="9"/>
    <n v="1008555"/>
  </r>
  <r>
    <x v="187"/>
    <n v="390286"/>
    <x v="0"/>
    <x v="2"/>
    <s v="Feature 390286: Verify GPO Changes in VLAB and Test"/>
    <x v="11"/>
    <n v="3"/>
    <x v="1"/>
    <m/>
    <s v="MUOS/Agile Teams/Cyber"/>
    <s v="Vaughn, Gerald D (NE)"/>
    <x v="12"/>
    <x v="0"/>
    <e v="#N/A"/>
    <x v="2"/>
    <x v="0"/>
    <x v="0"/>
    <x v="9"/>
    <n v="1008015"/>
  </r>
  <r>
    <x v="188"/>
    <n v="390286"/>
    <x v="0"/>
    <x v="2"/>
    <s v="Disable LLMWR and NetBIOS on Windows 2003 Machines (Part 1)"/>
    <x v="12"/>
    <n v="8"/>
    <x v="0"/>
    <m/>
    <s v="MUOS/Agile Teams/Cyber"/>
    <s v="Milzarski, Ted-P63490"/>
    <x v="6"/>
    <x v="0"/>
    <e v="#N/A"/>
    <x v="2"/>
    <x v="0"/>
    <x v="0"/>
    <x v="9"/>
    <n v="1014745"/>
  </r>
  <r>
    <x v="189"/>
    <n v="390286"/>
    <x v="0"/>
    <x v="2"/>
    <s v="Disable LLMWR and NetBIOS on Windows 2003 Machines (Part 2)"/>
    <x v="13"/>
    <n v="8"/>
    <x v="0"/>
    <m/>
    <s v="MUOS/Agile Teams/Cyber"/>
    <s v="Milzarski, Ted-P63490"/>
    <x v="6"/>
    <x v="0"/>
    <e v="#N/A"/>
    <x v="2"/>
    <x v="0"/>
    <x v="0"/>
    <x v="9"/>
    <n v="1014747"/>
  </r>
  <r>
    <x v="190"/>
    <n v="216552"/>
    <x v="1"/>
    <x v="2"/>
    <s v="Cyber BlueSheets"/>
    <x v="13"/>
    <m/>
    <x v="2"/>
    <m/>
    <s v="MUOS/Agile Teams/Cyber"/>
    <s v="Dailey, Conan B"/>
    <x v="8"/>
    <x v="0"/>
    <e v="#N/A"/>
    <x v="2"/>
    <x v="1"/>
    <x v="0"/>
    <x v="9"/>
    <n v="0"/>
  </r>
  <r>
    <x v="191"/>
    <n v="364204"/>
    <x v="0"/>
    <x v="2"/>
    <s v="Feature 364204: gather scan/STIG data and submit MFR package"/>
    <x v="6"/>
    <n v="5"/>
    <x v="1"/>
    <m/>
    <s v="MUOS/Agile Teams/Magic"/>
    <s v="Vaughn, Gerald D (NE)"/>
    <x v="12"/>
    <x v="4"/>
    <e v="#N/A"/>
    <x v="3"/>
    <x v="0"/>
    <x v="1"/>
    <x v="10"/>
    <n v="364209"/>
  </r>
  <r>
    <x v="192"/>
    <n v="364204"/>
    <x v="0"/>
    <x v="2"/>
    <s v="Feature 364204: MAGIC support of MFR 3 process after Connected AWARE package is submitted"/>
    <x v="7"/>
    <n v="3"/>
    <x v="1"/>
    <m/>
    <s v="MUOS/Agile Teams/Magic"/>
    <s v="Vaughn, Gerald D (NE)"/>
    <x v="12"/>
    <x v="4"/>
    <e v="#N/A"/>
    <x v="3"/>
    <x v="0"/>
    <x v="1"/>
    <x v="10"/>
    <n v="375075"/>
  </r>
  <r>
    <x v="193"/>
    <n v="364204"/>
    <x v="0"/>
    <x v="2"/>
    <s v="Feature 364204: CSE support of MFR 3 process after Connected AWARE package is submitted"/>
    <x v="22"/>
    <n v="2"/>
    <x v="0"/>
    <m/>
    <s v="MUOS/Agile Teams/Cyber"/>
    <s v="Garrison, David D"/>
    <x v="11"/>
    <x v="0"/>
    <e v="#N/A"/>
    <x v="3"/>
    <x v="0"/>
    <x v="1"/>
    <x v="10"/>
    <n v="375074"/>
  </r>
  <r>
    <x v="194"/>
    <n v="244386"/>
    <x v="1"/>
    <x v="2"/>
    <s v="TD19-10: Prepare AWARE MFR 3 Package for WH"/>
    <x v="23"/>
    <m/>
    <x v="1"/>
    <m/>
    <s v="MUOS/Agile Teams/Cyber"/>
    <s v="Corcoran, David G"/>
    <x v="3"/>
    <x v="0"/>
    <e v="#N/A"/>
    <x v="3"/>
    <x v="1"/>
    <x v="1"/>
    <x v="10"/>
    <n v="0"/>
  </r>
  <r>
    <x v="195"/>
    <n v="385260"/>
    <x v="0"/>
    <x v="2"/>
    <s v="Feature 385260: MFR 2 – CSE Performs initial Cybersecurity Assessment"/>
    <x v="26"/>
    <n v="5"/>
    <x v="0"/>
    <s v="#385265"/>
    <s v="MUOS/Agile Teams/Cyber"/>
    <s v="Corcoran, David G"/>
    <x v="3"/>
    <x v="0"/>
    <e v="#N/A"/>
    <x v="4"/>
    <x v="0"/>
    <x v="1"/>
    <x v="11"/>
    <n v="385266"/>
  </r>
  <r>
    <x v="196"/>
    <n v="385260"/>
    <x v="0"/>
    <x v="2"/>
    <s v="Feature 385260: MFR 2 – CSE Completes Final CAP - 13.6"/>
    <x v="27"/>
    <n v="3"/>
    <x v="0"/>
    <s v="#385272"/>
    <s v="MUOS/Agile Teams/Cyber"/>
    <s v="Stevens, Alice L"/>
    <x v="19"/>
    <x v="0"/>
    <e v="#N/A"/>
    <x v="4"/>
    <x v="0"/>
    <x v="1"/>
    <x v="11"/>
    <n v="385273"/>
  </r>
  <r>
    <x v="197"/>
    <n v="244386"/>
    <x v="1"/>
    <x v="2"/>
    <s v="TD19-10: Prepare AWARE MFR 2 Package for SC"/>
    <x v="25"/>
    <m/>
    <x v="1"/>
    <m/>
    <s v="MUOS/Agile Teams/Cyber"/>
    <s v="Johnson, Derek T"/>
    <x v="2"/>
    <x v="0"/>
    <e v="#N/A"/>
    <x v="4"/>
    <x v="1"/>
    <x v="1"/>
    <x v="11"/>
    <n v="0"/>
  </r>
  <r>
    <x v="198"/>
    <n v="245559"/>
    <x v="1"/>
    <x v="1"/>
    <s v="Cyber Assesment laptops"/>
    <x v="1"/>
    <m/>
    <x v="0"/>
    <m/>
    <s v="MUOS/Agile Teams/Cyber"/>
    <s v="Johnson, Derek T"/>
    <x v="2"/>
    <x v="0"/>
    <e v="#N/A"/>
    <x v="0"/>
    <x v="1"/>
    <x v="2"/>
    <x v="12"/>
    <n v="0"/>
  </r>
  <r>
    <x v="199"/>
    <n v="342384"/>
    <x v="0"/>
    <x v="0"/>
    <s v="Feature 342384 remove Adobe Reader: update HSM"/>
    <x v="1"/>
    <n v="3"/>
    <x v="0"/>
    <m/>
    <s v="MUOS/Agile Teams/Cyber"/>
    <s v="Unassigned"/>
    <x v="0"/>
    <x v="0"/>
    <e v="#N/A"/>
    <x v="0"/>
    <x v="0"/>
    <x v="3"/>
    <x v="13"/>
    <n v="342538"/>
  </r>
  <r>
    <x v="200"/>
    <n v="342384"/>
    <x v="0"/>
    <x v="0"/>
    <s v="Feature 342384 remove Adobe Reader: update Windows 2012 SVD"/>
    <x v="1"/>
    <n v="3"/>
    <x v="0"/>
    <m/>
    <s v="MUOS/Agile Teams/Cyber"/>
    <s v="Unassigned"/>
    <x v="0"/>
    <x v="0"/>
    <e v="#N/A"/>
    <x v="0"/>
    <x v="0"/>
    <x v="3"/>
    <x v="13"/>
    <n v="342537"/>
  </r>
  <r>
    <x v="201"/>
    <n v="342384"/>
    <x v="0"/>
    <x v="0"/>
    <s v="Feature 342384 remove Adobe Reader: update Windows 2003 SVD"/>
    <x v="1"/>
    <n v="3"/>
    <x v="0"/>
    <m/>
    <s v="MUOS/Agile Teams/Cyber"/>
    <s v="Unassigned"/>
    <x v="0"/>
    <x v="0"/>
    <e v="#N/A"/>
    <x v="0"/>
    <x v="0"/>
    <x v="3"/>
    <x v="13"/>
    <n v="342536"/>
  </r>
  <r>
    <x v="202"/>
    <n v="342384"/>
    <x v="2"/>
    <x v="0"/>
    <s v="Hold Feature Review with SMEs"/>
    <x v="1"/>
    <m/>
    <x v="0"/>
    <m/>
    <s v="MUOS/Agile Teams/Cyber"/>
    <s v="Unassigned"/>
    <x v="0"/>
    <x v="0"/>
    <e v="#N/A"/>
    <x v="0"/>
    <x v="0"/>
    <x v="3"/>
    <x v="13"/>
    <n v="342398"/>
  </r>
  <r>
    <x v="203"/>
    <n v="342384"/>
    <x v="0"/>
    <x v="0"/>
    <s v="Feature 342384 remove Adobe Reader: ILS IETM Development and Integration updates part 1"/>
    <x v="1"/>
    <n v="1"/>
    <x v="0"/>
    <m/>
    <s v="MUOS/Agile Teams/Cyber"/>
    <s v="Unassigned"/>
    <x v="0"/>
    <x v="0"/>
    <e v="#N/A"/>
    <x v="0"/>
    <x v="0"/>
    <x v="3"/>
    <x v="13"/>
    <n v="342396"/>
  </r>
  <r>
    <x v="204"/>
    <n v="342384"/>
    <x v="0"/>
    <x v="0"/>
    <s v="Feature 342384 remove Adobe Reader: Agile Team Test (Unit Test, Install, PCR Verification, STCD Dev &amp; Test) Part 2 "/>
    <x v="1"/>
    <n v="5"/>
    <x v="0"/>
    <m/>
    <s v="MUOS/Agile Teams/Cyber"/>
    <s v="Unassigned"/>
    <x v="0"/>
    <x v="0"/>
    <e v="#N/A"/>
    <x v="0"/>
    <x v="0"/>
    <x v="3"/>
    <x v="13"/>
    <n v="342394"/>
  </r>
  <r>
    <x v="205"/>
    <n v="342384"/>
    <x v="0"/>
    <x v="0"/>
    <s v="Feature 342384 remove Adobe Reader: Initiate CM PDO Processing for all CI's"/>
    <x v="1"/>
    <n v="1"/>
    <x v="0"/>
    <s v="#342386"/>
    <s v="MUOS/Agile Teams/Cyber"/>
    <s v="Unassigned"/>
    <x v="0"/>
    <x v="0"/>
    <e v="#N/A"/>
    <x v="0"/>
    <x v="0"/>
    <x v="3"/>
    <x v="13"/>
    <n v="342393"/>
  </r>
  <r>
    <x v="206"/>
    <n v="342384"/>
    <x v="0"/>
    <x v="0"/>
    <s v="Feature 342384: IETM Update to Remove Adobe Reader"/>
    <x v="1"/>
    <n v="3"/>
    <x v="0"/>
    <s v="#342388"/>
    <s v="MUOS/Agile Teams/Falcons"/>
    <s v="Unassigned"/>
    <x v="0"/>
    <x v="1"/>
    <e v="#N/A"/>
    <x v="0"/>
    <x v="0"/>
    <x v="3"/>
    <x v="13"/>
    <n v="342392"/>
  </r>
  <r>
    <x v="207"/>
    <n v="342384"/>
    <x v="0"/>
    <x v="0"/>
    <s v="Feature 342384 remove Adobe Reader: Agile Team Test (Unit Test, Install, PCR Verification, STCD Dev &amp; Test) "/>
    <x v="1"/>
    <n v="2"/>
    <x v="0"/>
    <m/>
    <s v="MUOS/Agile Teams/Cyber"/>
    <s v="Unassigned"/>
    <x v="0"/>
    <x v="0"/>
    <e v="#N/A"/>
    <x v="0"/>
    <x v="0"/>
    <x v="3"/>
    <x v="13"/>
    <n v="342391"/>
  </r>
  <r>
    <x v="208"/>
    <n v="342384"/>
    <x v="0"/>
    <x v="0"/>
    <s v="Feature 342384 remove Adobe Reader: IA Patching and STIGs"/>
    <x v="1"/>
    <n v="3"/>
    <x v="0"/>
    <s v="#342385"/>
    <s v="MUOS/Agile Teams/Cyber"/>
    <s v="Unassigned"/>
    <x v="0"/>
    <x v="0"/>
    <e v="#N/A"/>
    <x v="0"/>
    <x v="0"/>
    <x v="3"/>
    <x v="13"/>
    <n v="342390"/>
  </r>
  <r>
    <x v="209"/>
    <n v="342384"/>
    <x v="0"/>
    <x v="0"/>
    <s v="Feature 342384 remove Adobe Reader: Deployment Notes and Operator Impact Inputs"/>
    <x v="1"/>
    <n v="2"/>
    <x v="0"/>
    <m/>
    <s v="MUOS/Agile Teams/Cyber"/>
    <s v="Unassigned"/>
    <x v="0"/>
    <x v="0"/>
    <e v="#N/A"/>
    <x v="0"/>
    <x v="0"/>
    <x v="3"/>
    <x v="13"/>
    <n v="342389"/>
  </r>
  <r>
    <x v="210"/>
    <n v="342384"/>
    <x v="0"/>
    <x v="0"/>
    <s v="Feature 342384 remove Adobe Reader: Engineering IETM Development and Integration updates"/>
    <x v="1"/>
    <n v="3"/>
    <x v="0"/>
    <m/>
    <s v="MUOS/Agile Teams/Cyber"/>
    <s v="Unassigned"/>
    <x v="0"/>
    <x v="0"/>
    <e v="#N/A"/>
    <x v="0"/>
    <x v="0"/>
    <x v="3"/>
    <x v="13"/>
    <n v="342388"/>
  </r>
  <r>
    <x v="211"/>
    <n v="342384"/>
    <x v="0"/>
    <x v="0"/>
    <s v="Feature 342384 remove Adobe Reader: IA Posture Assessment"/>
    <x v="1"/>
    <n v="3"/>
    <x v="0"/>
    <s v="#342390"/>
    <s v="MUOS/Agile Teams/Cyber"/>
    <s v="Unassigned"/>
    <x v="0"/>
    <x v="0"/>
    <e v="#N/A"/>
    <x v="0"/>
    <x v="0"/>
    <x v="3"/>
    <x v="13"/>
    <n v="342387"/>
  </r>
  <r>
    <x v="212"/>
    <n v="342384"/>
    <x v="0"/>
    <x v="0"/>
    <s v="Feature Demo – Customer Demo Event -  Feature 342384: Remediate IA Findings - remove Adobe Reader from servers"/>
    <x v="1"/>
    <n v="1"/>
    <x v="0"/>
    <s v="#342387_x000a_#342389_x000a_#342391_x000a_#342392_x000a_#342394"/>
    <s v="MUOS/Agile Teams/Cyber"/>
    <s v="Unassigned"/>
    <x v="0"/>
    <x v="0"/>
    <e v="#N/A"/>
    <x v="0"/>
    <x v="0"/>
    <x v="3"/>
    <x v="13"/>
    <n v="342386"/>
  </r>
  <r>
    <x v="213"/>
    <n v="342384"/>
    <x v="0"/>
    <x v="0"/>
    <s v="Feature 342384 remove Adobe Reader: IA - Define Patch/ Stig Requirements"/>
    <x v="1"/>
    <n v="2"/>
    <x v="0"/>
    <m/>
    <s v="MUOS/Agile Teams/Cyber"/>
    <s v="Unassigned"/>
    <x v="0"/>
    <x v="0"/>
    <e v="#N/A"/>
    <x v="0"/>
    <x v="0"/>
    <x v="3"/>
    <x v="13"/>
    <n v="342385"/>
  </r>
  <r>
    <x v="214"/>
    <n v="245560"/>
    <x v="1"/>
    <x v="4"/>
    <s v="Feature 342384 Remediate IA Findings - remove Adobe Reader from servers"/>
    <x v="1"/>
    <m/>
    <x v="0"/>
    <m/>
    <s v="MUOS/Agile Teams/Cyber"/>
    <s v="Johnson, Derek T"/>
    <x v="2"/>
    <x v="0"/>
    <e v="#N/A"/>
    <x v="0"/>
    <x v="1"/>
    <x v="3"/>
    <x v="13"/>
    <n v="0"/>
  </r>
  <r>
    <x v="215"/>
    <n v="360670"/>
    <x v="0"/>
    <x v="2"/>
    <s v="A. Review and validate the patch findings from the site and SWIT and VLAB"/>
    <x v="2"/>
    <n v="2"/>
    <x v="0"/>
    <m/>
    <s v="MUOS/Agile Teams/Cyber"/>
    <s v="Burnett, Johnathan D"/>
    <x v="15"/>
    <x v="0"/>
    <e v="#N/A"/>
    <x v="0"/>
    <x v="0"/>
    <x v="3"/>
    <x v="14"/>
    <n v="371476"/>
  </r>
  <r>
    <x v="216"/>
    <n v="360670"/>
    <x v="0"/>
    <x v="2"/>
    <s v="Patching support for SA SME"/>
    <x v="2"/>
    <n v="1"/>
    <x v="2"/>
    <m/>
    <s v="MUOS/Agile Teams/SIC"/>
    <s v="Kaya, Mark-P63210"/>
    <x v="10"/>
    <x v="2"/>
    <e v="#N/A"/>
    <x v="0"/>
    <x v="0"/>
    <x v="3"/>
    <x v="14"/>
    <n v="370548"/>
  </r>
  <r>
    <x v="217"/>
    <n v="360670"/>
    <x v="0"/>
    <x v="2"/>
    <s v="Update Patch SVDs for with redlines from site and misc cleanup - 12.1"/>
    <x v="2"/>
    <n v="1"/>
    <x v="0"/>
    <m/>
    <s v="MUOS/Agile Teams/Cyber"/>
    <s v="Sokol, Anthony W"/>
    <x v="5"/>
    <x v="0"/>
    <e v="#N/A"/>
    <x v="0"/>
    <x v="0"/>
    <x v="3"/>
    <x v="14"/>
    <n v="370545"/>
  </r>
  <r>
    <x v="218"/>
    <n v="360670"/>
    <x v="0"/>
    <x v="2"/>
    <s v="August 2019 Patch Deployment - Finalize candidate patch target list"/>
    <x v="2"/>
    <n v="2"/>
    <x v="0"/>
    <m/>
    <s v="MUOS/Agile Teams/Cyber"/>
    <s v="Burnett, Johnathan D"/>
    <x v="15"/>
    <x v="0"/>
    <e v="#N/A"/>
    <x v="0"/>
    <x v="0"/>
    <x v="3"/>
    <x v="14"/>
    <n v="370543"/>
  </r>
  <r>
    <x v="219"/>
    <n v="360670"/>
    <x v="0"/>
    <x v="2"/>
    <s v="Release status report with metrics spreadsheet (for June patching)"/>
    <x v="2"/>
    <n v="1"/>
    <x v="0"/>
    <m/>
    <s v="MUOS/Agile Teams/Cyber"/>
    <s v="Burnett, Johnathan D"/>
    <x v="15"/>
    <x v="0"/>
    <e v="#N/A"/>
    <x v="0"/>
    <x v="0"/>
    <x v="3"/>
    <x v="14"/>
    <n v="359690"/>
  </r>
  <r>
    <x v="220"/>
    <n v="360670"/>
    <x v="0"/>
    <x v="2"/>
    <s v="Validate Patches in SWIT"/>
    <x v="8"/>
    <n v="2"/>
    <x v="0"/>
    <m/>
    <s v="MUOS/Agile Teams/Cyber"/>
    <s v="Burnett, Johnathan D"/>
    <x v="15"/>
    <x v="0"/>
    <e v="#N/A"/>
    <x v="0"/>
    <x v="0"/>
    <x v="3"/>
    <x v="14"/>
    <n v="370550"/>
  </r>
  <r>
    <x v="221"/>
    <n v="360670"/>
    <x v="0"/>
    <x v="2"/>
    <s v=" Validate Patches in VLAB"/>
    <x v="3"/>
    <n v="1"/>
    <x v="0"/>
    <m/>
    <s v="MUOS/Agile Teams/Cyber"/>
    <s v="Burnett, Johnathan D"/>
    <x v="15"/>
    <x v="0"/>
    <e v="#N/A"/>
    <x v="0"/>
    <x v="0"/>
    <x v="3"/>
    <x v="14"/>
    <n v="370556"/>
  </r>
  <r>
    <x v="222"/>
    <n v="360670"/>
    <x v="0"/>
    <x v="2"/>
    <s v="update Patch SVD for all impacted systems to include any configurations changes and hostname list and MPC - 12.3"/>
    <x v="3"/>
    <n v="5"/>
    <x v="0"/>
    <m/>
    <s v="MUOS/Agile Teams/Cyber"/>
    <s v="Sokol, Anthony W"/>
    <x v="5"/>
    <x v="0"/>
    <e v="#N/A"/>
    <x v="0"/>
    <x v="0"/>
    <x v="3"/>
    <x v="14"/>
    <n v="370555"/>
  </r>
  <r>
    <x v="223"/>
    <n v="360670"/>
    <x v="0"/>
    <x v="2"/>
    <s v="SWIT Patching support for TOFF SME"/>
    <x v="3"/>
    <n v="0"/>
    <x v="0"/>
    <m/>
    <s v="MUOS/Agile Teams/TOFF"/>
    <s v="Stevens, Robert-P56766"/>
    <x v="21"/>
    <x v="6"/>
    <e v="#N/A"/>
    <x v="0"/>
    <x v="0"/>
    <x v="3"/>
    <x v="14"/>
    <n v="370553"/>
  </r>
  <r>
    <x v="224"/>
    <n v="360670"/>
    <x v="0"/>
    <x v="2"/>
    <s v="Complete SWIT lab validation"/>
    <x v="3"/>
    <n v="5"/>
    <x v="0"/>
    <m/>
    <s v="MUOS/Agile Teams/Cyber"/>
    <s v="Burnett, Johnathan D"/>
    <x v="15"/>
    <x v="0"/>
    <e v="#N/A"/>
    <x v="0"/>
    <x v="0"/>
    <x v="3"/>
    <x v="14"/>
    <n v="370551"/>
  </r>
  <r>
    <x v="225"/>
    <n v="360670"/>
    <x v="0"/>
    <x v="2"/>
    <s v="Download patches, and update patching script"/>
    <x v="3"/>
    <n v="3"/>
    <x v="0"/>
    <m/>
    <s v="MUOS/Agile Teams/Cyber"/>
    <s v="Burnett, Johnathan D"/>
    <x v="15"/>
    <x v="0"/>
    <e v="#N/A"/>
    <x v="0"/>
    <x v="0"/>
    <x v="3"/>
    <x v="14"/>
    <n v="370549"/>
  </r>
  <r>
    <x v="226"/>
    <n v="360670"/>
    <x v="0"/>
    <x v="2"/>
    <s v="update Patch SVD for all impacted systems to include any configurations changes and hostname list and MPC - 12.4"/>
    <x v="4"/>
    <n v="2"/>
    <x v="0"/>
    <m/>
    <s v="MUOS/Agile Teams/Cyber"/>
    <s v="Sokol, Anthony W"/>
    <x v="5"/>
    <x v="0"/>
    <e v="#N/A"/>
    <x v="0"/>
    <x v="0"/>
    <x v="3"/>
    <x v="14"/>
    <n v="382408"/>
  </r>
  <r>
    <x v="227"/>
    <n v="360670"/>
    <x v="0"/>
    <x v="2"/>
    <s v="Update Node Config for IA patches - 12.4"/>
    <x v="4"/>
    <n v="2"/>
    <x v="0"/>
    <m/>
    <s v="MUOS/Agile Teams/Cyber"/>
    <s v="Sokol, Anthony W"/>
    <x v="5"/>
    <x v="0"/>
    <e v="#N/A"/>
    <x v="0"/>
    <x v="0"/>
    <x v="3"/>
    <x v="14"/>
    <n v="377691"/>
  </r>
  <r>
    <x v="228"/>
    <n v="360670"/>
    <x v="0"/>
    <x v="2"/>
    <s v="Create patch bundle,  measure/sign and formally release  to CM with final  script, download bundle to protected laptop - 12.4"/>
    <x v="4"/>
    <n v="3"/>
    <x v="0"/>
    <m/>
    <s v="MUOS/Agile Teams/Cyber"/>
    <s v="Sokol, Anthony W"/>
    <x v="5"/>
    <x v="0"/>
    <e v="#N/A"/>
    <x v="0"/>
    <x v="0"/>
    <x v="3"/>
    <x v="14"/>
    <n v="370562"/>
  </r>
  <r>
    <x v="229"/>
    <n v="360670"/>
    <x v="0"/>
    <x v="2"/>
    <s v="Support patch release"/>
    <x v="4"/>
    <n v="3"/>
    <x v="0"/>
    <m/>
    <s v="MUOS/Agile Teams/Cyber"/>
    <s v="Burnett, Johnathan D"/>
    <x v="15"/>
    <x v="0"/>
    <e v="#N/A"/>
    <x v="0"/>
    <x v="0"/>
    <x v="3"/>
    <x v="14"/>
    <n v="370561"/>
  </r>
  <r>
    <x v="230"/>
    <n v="360670"/>
    <x v="0"/>
    <x v="2"/>
    <s v="Complete VLAB test"/>
    <x v="4"/>
    <n v="3"/>
    <x v="0"/>
    <m/>
    <s v="MUOS/Agile Teams/Cyber"/>
    <s v="Burnett, Johnathan D"/>
    <x v="15"/>
    <x v="0"/>
    <e v="#N/A"/>
    <x v="0"/>
    <x v="0"/>
    <x v="3"/>
    <x v="14"/>
    <n v="370560"/>
  </r>
  <r>
    <x v="231"/>
    <n v="360670"/>
    <x v="0"/>
    <x v="2"/>
    <s v="VLAB Patching support for SA SME"/>
    <x v="4"/>
    <n v="0"/>
    <x v="2"/>
    <m/>
    <s v="MUOS/Agile Teams/SIC"/>
    <s v="Kaya, Mark-P63210"/>
    <x v="10"/>
    <x v="2"/>
    <e v="#N/A"/>
    <x v="0"/>
    <x v="0"/>
    <x v="3"/>
    <x v="14"/>
    <n v="370559"/>
  </r>
  <r>
    <x v="232"/>
    <n v="360670"/>
    <x v="0"/>
    <x v="2"/>
    <s v="October 2019 Patch Deployment - Generate candidate patch target list"/>
    <x v="5"/>
    <n v="2"/>
    <x v="0"/>
    <m/>
    <s v="MUOS/Agile Teams/Cyber"/>
    <s v="Burnett, Johnathan D"/>
    <x v="15"/>
    <x v="0"/>
    <e v="#N/A"/>
    <x v="0"/>
    <x v="0"/>
    <x v="3"/>
    <x v="14"/>
    <n v="370570"/>
  </r>
  <r>
    <x v="233"/>
    <n v="360670"/>
    <x v="0"/>
    <x v="2"/>
    <s v="Scan and review the patch findings from the site and SWIT and VLAB"/>
    <x v="5"/>
    <n v="2"/>
    <x v="0"/>
    <m/>
    <s v="MUOS/Agile Teams/Cyber"/>
    <s v="Burnett, Johnathan D"/>
    <x v="15"/>
    <x v="0"/>
    <e v="#N/A"/>
    <x v="0"/>
    <x v="0"/>
    <x v="3"/>
    <x v="14"/>
    <n v="370568"/>
  </r>
  <r>
    <x v="234"/>
    <n v="360670"/>
    <x v="0"/>
    <x v="2"/>
    <s v="Release status report with metrics spreadsheet"/>
    <x v="5"/>
    <n v="3"/>
    <x v="0"/>
    <m/>
    <s v="MUOS/Agile Teams/Cyber"/>
    <s v="Burnett, Johnathan D"/>
    <x v="15"/>
    <x v="0"/>
    <e v="#N/A"/>
    <x v="0"/>
    <x v="0"/>
    <x v="3"/>
    <x v="14"/>
    <n v="370567"/>
  </r>
  <r>
    <x v="235"/>
    <n v="360670"/>
    <x v="0"/>
    <x v="2"/>
    <s v="Updated HW SW Map for August Patch deployment - 12.5"/>
    <x v="5"/>
    <n v="3"/>
    <x v="0"/>
    <m/>
    <s v="MUOS/Agile Teams/Cyber"/>
    <s v="Sokol, Anthony W"/>
    <x v="5"/>
    <x v="0"/>
    <e v="#N/A"/>
    <x v="0"/>
    <x v="0"/>
    <x v="3"/>
    <x v="14"/>
    <n v="370566"/>
  </r>
  <r>
    <x v="236"/>
    <n v="360670"/>
    <x v="0"/>
    <x v="2"/>
    <s v="August 2019 IA Patch deployment"/>
    <x v="5"/>
    <n v="5"/>
    <x v="0"/>
    <m/>
    <s v="MUOS/Agile Teams/Cyber"/>
    <s v="Burnett, Johnathan D"/>
    <x v="15"/>
    <x v="0"/>
    <e v="#N/A"/>
    <x v="0"/>
    <x v="0"/>
    <x v="3"/>
    <x v="14"/>
    <n v="370564"/>
  </r>
  <r>
    <x v="237"/>
    <n v="360670"/>
    <x v="0"/>
    <x v="2"/>
    <s v="Update IA-Server-patch-tracker spreadsheet in Clear Case w/patch bundle installed - 12.5"/>
    <x v="5"/>
    <n v="3"/>
    <x v="0"/>
    <m/>
    <s v="MUOS/Agile Teams/Cyber"/>
    <s v="Sokol, Anthony W"/>
    <x v="5"/>
    <x v="0"/>
    <e v="#N/A"/>
    <x v="0"/>
    <x v="0"/>
    <x v="3"/>
    <x v="14"/>
    <n v="370563"/>
  </r>
  <r>
    <x v="238"/>
    <n v="360670"/>
    <x v="0"/>
    <x v="2"/>
    <s v="Complete SWIT testing"/>
    <x v="6"/>
    <n v="3"/>
    <x v="0"/>
    <m/>
    <s v="MUOS/Agile Teams/Cyber"/>
    <s v="Burnett, Johnathan D"/>
    <x v="15"/>
    <x v="0"/>
    <e v="#N/A"/>
    <x v="0"/>
    <x v="0"/>
    <x v="3"/>
    <x v="14"/>
    <n v="385649"/>
  </r>
  <r>
    <x v="239"/>
    <n v="360670"/>
    <x v="0"/>
    <x v="2"/>
    <s v="Download patches, and update patching script"/>
    <x v="6"/>
    <n v="1"/>
    <x v="0"/>
    <m/>
    <s v="MUOS/Agile Teams/Cyber"/>
    <s v="Burnett, Johnathan D"/>
    <x v="15"/>
    <x v="0"/>
    <e v="#N/A"/>
    <x v="0"/>
    <x v="0"/>
    <x v="3"/>
    <x v="14"/>
    <n v="385648"/>
  </r>
  <r>
    <x v="240"/>
    <n v="360670"/>
    <x v="0"/>
    <x v="2"/>
    <s v="Validate Oct Patches in SWIT/Vlab vs Site"/>
    <x v="6"/>
    <n v="2"/>
    <x v="0"/>
    <m/>
    <s v="MUOS/Agile Teams/Cyber"/>
    <s v="Burnett, Johnathan D"/>
    <x v="15"/>
    <x v="0"/>
    <e v="#N/A"/>
    <x v="0"/>
    <x v="0"/>
    <x v="3"/>
    <x v="14"/>
    <n v="385646"/>
  </r>
  <r>
    <x v="241"/>
    <n v="360670"/>
    <x v="0"/>
    <x v="2"/>
    <s v="October 2019 Patch Deployment - Finalize candidate patch target list"/>
    <x v="6"/>
    <n v="1"/>
    <x v="0"/>
    <m/>
    <s v="MUOS/Agile Teams/Cyber"/>
    <s v="Burnett, Johnathan D"/>
    <x v="15"/>
    <x v="0"/>
    <e v="#N/A"/>
    <x v="0"/>
    <x v="0"/>
    <x v="3"/>
    <x v="14"/>
    <n v="385645"/>
  </r>
  <r>
    <x v="242"/>
    <n v="360670"/>
    <x v="0"/>
    <x v="2"/>
    <s v="Update Patch SVDs for with redlines from site and misc cleanup - 12.6"/>
    <x v="6"/>
    <n v="1"/>
    <x v="0"/>
    <m/>
    <s v="MUOS/Agile Teams/Cyber"/>
    <s v="Milzarski, Ted-P63490"/>
    <x v="6"/>
    <x v="0"/>
    <e v="#N/A"/>
    <x v="0"/>
    <x v="0"/>
    <x v="3"/>
    <x v="14"/>
    <n v="370569"/>
  </r>
  <r>
    <x v="243"/>
    <n v="360670"/>
    <x v="0"/>
    <x v="2"/>
    <s v="Support patch release"/>
    <x v="7"/>
    <n v="3"/>
    <x v="0"/>
    <m/>
    <s v="MUOS/Agile Teams/Cyber"/>
    <s v="Burnett, Johnathan D"/>
    <x v="15"/>
    <x v="0"/>
    <e v="#N/A"/>
    <x v="0"/>
    <x v="0"/>
    <x v="3"/>
    <x v="14"/>
    <n v="385655"/>
  </r>
  <r>
    <x v="244"/>
    <n v="360670"/>
    <x v="0"/>
    <x v="2"/>
    <s v="Updated HW SW Map for October Patch deployment"/>
    <x v="7"/>
    <n v="3"/>
    <x v="0"/>
    <m/>
    <s v="MUOS/Agile Teams/Cyber"/>
    <s v="Milzarski, Ted-P63490"/>
    <x v="6"/>
    <x v="0"/>
    <e v="#N/A"/>
    <x v="0"/>
    <x v="0"/>
    <x v="3"/>
    <x v="14"/>
    <n v="385654"/>
  </r>
  <r>
    <x v="245"/>
    <n v="360670"/>
    <x v="0"/>
    <x v="2"/>
    <s v="Complete VLAB test"/>
    <x v="7"/>
    <n v="3"/>
    <x v="0"/>
    <m/>
    <s v="MUOS/Agile Teams/Cyber"/>
    <s v="Burnett, Johnathan D"/>
    <x v="15"/>
    <x v="0"/>
    <e v="#N/A"/>
    <x v="0"/>
    <x v="0"/>
    <x v="3"/>
    <x v="14"/>
    <n v="385653"/>
  </r>
  <r>
    <x v="246"/>
    <n v="360670"/>
    <x v="0"/>
    <x v="2"/>
    <s v="Create patch bundle,  measure/sign and formally release  to CM with final  script, download bundle to protected laptop"/>
    <x v="7"/>
    <n v="3"/>
    <x v="0"/>
    <m/>
    <s v="MUOS/Agile Teams/Cyber"/>
    <s v="Milzarski, Ted-P63490"/>
    <x v="6"/>
    <x v="0"/>
    <e v="#N/A"/>
    <x v="0"/>
    <x v="0"/>
    <x v="3"/>
    <x v="14"/>
    <n v="385652"/>
  </r>
  <r>
    <x v="247"/>
    <n v="360670"/>
    <x v="0"/>
    <x v="2"/>
    <s v="Update Node Config for IA patches"/>
    <x v="7"/>
    <n v="1"/>
    <x v="0"/>
    <m/>
    <s v="MUOS/Agile Teams/Cyber"/>
    <s v="Burnett, Johnathan D"/>
    <x v="15"/>
    <x v="0"/>
    <e v="#N/A"/>
    <x v="0"/>
    <x v="0"/>
    <x v="3"/>
    <x v="14"/>
    <n v="385651"/>
  </r>
  <r>
    <x v="248"/>
    <n v="360670"/>
    <x v="0"/>
    <x v="2"/>
    <s v="update Patch SVD for all impacted systems to include any configurations changes and hostname list and MPC"/>
    <x v="7"/>
    <n v="2"/>
    <x v="0"/>
    <m/>
    <s v="MUOS/Agile Teams/Cyber"/>
    <s v="Milzarski, Ted-P63490"/>
    <x v="6"/>
    <x v="0"/>
    <e v="#N/A"/>
    <x v="0"/>
    <x v="0"/>
    <x v="3"/>
    <x v="14"/>
    <n v="385650"/>
  </r>
  <r>
    <x v="249"/>
    <n v="360670"/>
    <x v="0"/>
    <x v="2"/>
    <s v="CM Release Work for August 2019 IA Patching"/>
    <x v="7"/>
    <n v="1"/>
    <x v="0"/>
    <m/>
    <s v="MUOS/Agile Teams/Weavers"/>
    <s v="Henderson, Dave A"/>
    <x v="22"/>
    <x v="1"/>
    <e v="#N/A"/>
    <x v="0"/>
    <x v="0"/>
    <x v="3"/>
    <x v="14"/>
    <n v="376751"/>
  </r>
  <r>
    <x v="250"/>
    <n v="245560"/>
    <x v="1"/>
    <x v="2"/>
    <s v="Cyber Sustainment August/October 2019 IA patching - PI 12"/>
    <x v="7"/>
    <m/>
    <x v="2"/>
    <m/>
    <s v="MUOS/Agile Teams/Cyber"/>
    <s v="Johnson, Derek T"/>
    <x v="2"/>
    <x v="0"/>
    <e v="#N/A"/>
    <x v="0"/>
    <x v="1"/>
    <x v="3"/>
    <x v="14"/>
    <n v="0"/>
  </r>
  <r>
    <x v="251"/>
    <n v="369840"/>
    <x v="0"/>
    <x v="2"/>
    <s v="Feature 369840: Tailored ACAS scan effort 12.1 and RAN SME support"/>
    <x v="2"/>
    <n v="1"/>
    <x v="0"/>
    <m/>
    <s v="MUOS/Agile Teams/TOFF"/>
    <s v="Stevens, Robert-P56766"/>
    <x v="21"/>
    <x v="6"/>
    <e v="#N/A"/>
    <x v="0"/>
    <x v="0"/>
    <x v="3"/>
    <x v="15"/>
    <n v="370097"/>
  </r>
  <r>
    <x v="252"/>
    <n v="369840"/>
    <x v="0"/>
    <x v="2"/>
    <s v="Feature 369840: Tailored ACAS scan effort 12.1"/>
    <x v="2"/>
    <n v="2"/>
    <x v="0"/>
    <m/>
    <s v="MUOS/Agile Teams/Cyber"/>
    <s v="Murray, Will-P67105"/>
    <x v="4"/>
    <x v="0"/>
    <e v="#N/A"/>
    <x v="0"/>
    <x v="0"/>
    <x v="3"/>
    <x v="15"/>
    <n v="370089"/>
  </r>
  <r>
    <x v="253"/>
    <n v="369840"/>
    <x v="0"/>
    <x v="2"/>
    <s v="Feature 369840: Tailored ACAS scan effort oversight"/>
    <x v="8"/>
    <n v="1"/>
    <x v="0"/>
    <m/>
    <s v="MUOS/Agile Teams/System Engineering"/>
    <s v="Dailey, Conan B"/>
    <x v="8"/>
    <x v="3"/>
    <e v="#N/A"/>
    <x v="0"/>
    <x v="0"/>
    <x v="3"/>
    <x v="15"/>
    <n v="370162"/>
  </r>
  <r>
    <x v="254"/>
    <n v="369840"/>
    <x v="0"/>
    <x v="2"/>
    <s v="Feature 369840: Tailored ACAS scan effort 12.2 and RAN SME support"/>
    <x v="8"/>
    <n v="1"/>
    <x v="0"/>
    <m/>
    <s v="MUOS/Agile Teams/TOFF"/>
    <s v="Stevens, Robert-P56766"/>
    <x v="21"/>
    <x v="6"/>
    <e v="#N/A"/>
    <x v="0"/>
    <x v="0"/>
    <x v="3"/>
    <x v="15"/>
    <n v="370098"/>
  </r>
  <r>
    <x v="255"/>
    <n v="369840"/>
    <x v="0"/>
    <x v="2"/>
    <s v="Feature 369840: Tailored ACAS scan effort"/>
    <x v="4"/>
    <n v="2"/>
    <x v="0"/>
    <m/>
    <s v="MUOS/Agile Teams/Cyber"/>
    <s v="Murray, Will-P67105"/>
    <x v="4"/>
    <x v="0"/>
    <e v="#N/A"/>
    <x v="0"/>
    <x v="0"/>
    <x v="3"/>
    <x v="15"/>
    <n v="370092"/>
  </r>
  <r>
    <x v="256"/>
    <n v="245560"/>
    <x v="1"/>
    <x v="2"/>
    <s v="ACAS Scan tailoring for impacted RAN devices [PMR AI 220]"/>
    <x v="4"/>
    <m/>
    <x v="1"/>
    <m/>
    <s v="MUOS/Agile Teams/Cyber"/>
    <s v="Dailey, Conan B"/>
    <x v="8"/>
    <x v="0"/>
    <e v="#N/A"/>
    <x v="0"/>
    <x v="1"/>
    <x v="3"/>
    <x v="15"/>
    <n v="0"/>
  </r>
  <r>
    <x v="257"/>
    <n v="370599"/>
    <x v="0"/>
    <x v="2"/>
    <s v="Support application review for DADMs applicability"/>
    <x v="2"/>
    <n v="1"/>
    <x v="0"/>
    <m/>
    <s v="MUOS/Agile Teams/Cyber"/>
    <s v="Corcoran, David G"/>
    <x v="3"/>
    <x v="0"/>
    <e v="#N/A"/>
    <x v="0"/>
    <x v="0"/>
    <x v="3"/>
    <x v="16"/>
    <n v="371184"/>
  </r>
  <r>
    <x v="258"/>
    <n v="370599"/>
    <x v="0"/>
    <x v="2"/>
    <s v="Update and review with customer MFR for EAD 13.0"/>
    <x v="2"/>
    <n v="3"/>
    <x v="0"/>
    <m/>
    <s v="MUOS/Agile Teams/Cyber"/>
    <s v="Corcoran, David G"/>
    <x v="3"/>
    <x v="0"/>
    <e v="#N/A"/>
    <x v="0"/>
    <x v="0"/>
    <x v="3"/>
    <x v="16"/>
    <n v="371149"/>
  </r>
  <r>
    <x v="259"/>
    <n v="370599"/>
    <x v="0"/>
    <x v="2"/>
    <s v="Support application review for DADMs applicability"/>
    <x v="8"/>
    <n v="1"/>
    <x v="0"/>
    <m/>
    <s v="MUOS/Agile Teams/Cyber"/>
    <s v="Corcoran, David G"/>
    <x v="3"/>
    <x v="0"/>
    <e v="#N/A"/>
    <x v="0"/>
    <x v="0"/>
    <x v="3"/>
    <x v="16"/>
    <n v="371186"/>
  </r>
  <r>
    <x v="260"/>
    <n v="370599"/>
    <x v="0"/>
    <x v="2"/>
    <s v="Support customer during EAD 13.0 MFR generation/approval period"/>
    <x v="8"/>
    <n v="2"/>
    <x v="0"/>
    <m/>
    <s v="MUOS/Agile Teams/Cyber"/>
    <s v="Corcoran, David G"/>
    <x v="3"/>
    <x v="0"/>
    <e v="#N/A"/>
    <x v="0"/>
    <x v="0"/>
    <x v="3"/>
    <x v="16"/>
    <n v="371062"/>
  </r>
  <r>
    <x v="261"/>
    <n v="370599"/>
    <x v="0"/>
    <x v="2"/>
    <s v="MFR 14 Support - Continuing Support"/>
    <x v="8"/>
    <n v="2"/>
    <x v="0"/>
    <m/>
    <s v="MUOS/Agile Teams/Cyber"/>
    <s v="Corcoran, David G"/>
    <x v="3"/>
    <x v="0"/>
    <e v="#N/A"/>
    <x v="0"/>
    <x v="0"/>
    <x v="3"/>
    <x v="16"/>
    <n v="370606"/>
  </r>
  <r>
    <x v="262"/>
    <n v="370599"/>
    <x v="0"/>
    <x v="2"/>
    <s v="Support application review for DADMs applicability - Will"/>
    <x v="3"/>
    <n v="2"/>
    <x v="0"/>
    <m/>
    <s v="MUOS/Agile Teams/Cyber"/>
    <s v="Murray, Will-P67105"/>
    <x v="4"/>
    <x v="0"/>
    <e v="#N/A"/>
    <x v="0"/>
    <x v="0"/>
    <x v="3"/>
    <x v="16"/>
    <n v="380895"/>
  </r>
  <r>
    <x v="263"/>
    <n v="370599"/>
    <x v="0"/>
    <x v="2"/>
    <s v="Support application review for DADMs applicability - Randy"/>
    <x v="3"/>
    <n v="3"/>
    <x v="0"/>
    <m/>
    <s v="MUOS/Agile Teams/Cyber"/>
    <s v="Morton, Randall-P57014"/>
    <x v="9"/>
    <x v="0"/>
    <e v="#N/A"/>
    <x v="0"/>
    <x v="0"/>
    <x v="3"/>
    <x v="16"/>
    <n v="380894"/>
  </r>
  <r>
    <x v="264"/>
    <n v="370599"/>
    <x v="0"/>
    <x v="2"/>
    <s v="Support application review for DADMs applicability"/>
    <x v="3"/>
    <n v="1"/>
    <x v="0"/>
    <m/>
    <s v="MUOS/Agile Teams/Cyber"/>
    <s v="Corcoran, David G"/>
    <x v="3"/>
    <x v="0"/>
    <e v="#N/A"/>
    <x v="0"/>
    <x v="0"/>
    <x v="3"/>
    <x v="16"/>
    <n v="371188"/>
  </r>
  <r>
    <x v="265"/>
    <n v="370599"/>
    <x v="0"/>
    <x v="2"/>
    <s v="Support customer during EAD 14.0 MFR generation/approval period"/>
    <x v="3"/>
    <n v="2"/>
    <x v="0"/>
    <m/>
    <s v="MUOS/Agile Teams/Cyber"/>
    <s v="Corcoran, David G"/>
    <x v="3"/>
    <x v="0"/>
    <e v="#N/A"/>
    <x v="0"/>
    <x v="0"/>
    <x v="3"/>
    <x v="16"/>
    <n v="371065"/>
  </r>
  <r>
    <x v="266"/>
    <n v="370599"/>
    <x v="0"/>
    <x v="2"/>
    <s v="Update ACAS Scan Limitations White Paper - EAD 14"/>
    <x v="4"/>
    <n v="1"/>
    <x v="0"/>
    <m/>
    <s v="MUOS/Agile Teams/Cyber"/>
    <s v="Murray, Will-P67105"/>
    <x v="4"/>
    <x v="0"/>
    <e v="#N/A"/>
    <x v="0"/>
    <x v="0"/>
    <x v="3"/>
    <x v="16"/>
    <n v="371144"/>
  </r>
  <r>
    <x v="267"/>
    <n v="370599"/>
    <x v="0"/>
    <x v="2"/>
    <s v="Review and analyze scan data for EAD 14.0 MFR - 12.4"/>
    <x v="4"/>
    <n v="2"/>
    <x v="0"/>
    <m/>
    <s v="MUOS/Agile Teams/Cyber"/>
    <s v="Corcoran, David G"/>
    <x v="3"/>
    <x v="0"/>
    <e v="#N/A"/>
    <x v="0"/>
    <x v="0"/>
    <x v="3"/>
    <x v="16"/>
    <n v="371127"/>
  </r>
  <r>
    <x v="268"/>
    <n v="370599"/>
    <x v="0"/>
    <x v="2"/>
    <s v="Review and analyze scan data for EAD 14.0 MFR - 12.5"/>
    <x v="5"/>
    <n v="1"/>
    <x v="0"/>
    <m/>
    <s v="MUOS/Agile Teams/Cyber"/>
    <s v="Corcoran, David G"/>
    <x v="3"/>
    <x v="0"/>
    <e v="#N/A"/>
    <x v="0"/>
    <x v="0"/>
    <x v="3"/>
    <x v="16"/>
    <n v="384919"/>
  </r>
  <r>
    <x v="269"/>
    <n v="370599"/>
    <x v="0"/>
    <x v="2"/>
    <s v="Update  SP Supplement related to EAD 14.0 content Part 1."/>
    <x v="5"/>
    <n v="2"/>
    <x v="0"/>
    <m/>
    <s v="MUOS/Agile Teams/Cyber"/>
    <s v="Morton, Randall-P57014"/>
    <x v="9"/>
    <x v="0"/>
    <e v="#N/A"/>
    <x v="0"/>
    <x v="0"/>
    <x v="3"/>
    <x v="16"/>
    <n v="371070"/>
  </r>
  <r>
    <x v="270"/>
    <n v="370599"/>
    <x v="0"/>
    <x v="2"/>
    <s v="Update  SP Supplement related to EAD 14.0 content Part 2."/>
    <x v="6"/>
    <n v="1"/>
    <x v="0"/>
    <m/>
    <s v="MUOS/Agile Teams/Cyber"/>
    <s v="Morton, Randall-P57014"/>
    <x v="9"/>
    <x v="0"/>
    <e v="#N/A"/>
    <x v="0"/>
    <x v="0"/>
    <x v="3"/>
    <x v="16"/>
    <n v="387678"/>
  </r>
  <r>
    <x v="271"/>
    <n v="370599"/>
    <x v="0"/>
    <x v="2"/>
    <s v="Support application review for DADMs applicability"/>
    <x v="6"/>
    <n v="1"/>
    <x v="0"/>
    <m/>
    <s v="MUOS/Agile Teams/Cyber"/>
    <s v="Corcoran, David G"/>
    <x v="3"/>
    <x v="0"/>
    <e v="#N/A"/>
    <x v="0"/>
    <x v="0"/>
    <x v="3"/>
    <x v="16"/>
    <n v="371190"/>
  </r>
  <r>
    <x v="272"/>
    <n v="370599"/>
    <x v="0"/>
    <x v="2"/>
    <s v="Update and review with customer MFR for EAD 14.0"/>
    <x v="6"/>
    <n v="3"/>
    <x v="0"/>
    <m/>
    <s v="MUOS/Agile Teams/Cyber"/>
    <s v="Corcoran, David G"/>
    <x v="3"/>
    <x v="0"/>
    <e v="#N/A"/>
    <x v="0"/>
    <x v="0"/>
    <x v="3"/>
    <x v="16"/>
    <n v="371150"/>
  </r>
  <r>
    <x v="273"/>
    <n v="370599"/>
    <x v="0"/>
    <x v="2"/>
    <s v="Provide RMF artifact updates related to scans received from the sites - 12.5"/>
    <x v="6"/>
    <n v="1"/>
    <x v="0"/>
    <m/>
    <s v="MUOS/Agile Teams/Cyber"/>
    <s v="Milzarski, Ted-P63490"/>
    <x v="6"/>
    <x v="0"/>
    <e v="#N/A"/>
    <x v="0"/>
    <x v="0"/>
    <x v="3"/>
    <x v="16"/>
    <n v="371147"/>
  </r>
  <r>
    <x v="274"/>
    <n v="370599"/>
    <x v="0"/>
    <x v="2"/>
    <s v="Support application review for DADMs applicability"/>
    <x v="7"/>
    <n v="1"/>
    <x v="0"/>
    <m/>
    <s v="MUOS/Agile Teams/Cyber"/>
    <s v="Corcoran, David G"/>
    <x v="3"/>
    <x v="0"/>
    <e v="#N/A"/>
    <x v="0"/>
    <x v="0"/>
    <x v="3"/>
    <x v="16"/>
    <n v="371189"/>
  </r>
  <r>
    <x v="275"/>
    <n v="370599"/>
    <x v="0"/>
    <x v="2"/>
    <s v="Generate and review with customer MFR for EAD 14.0"/>
    <x v="7"/>
    <n v="3"/>
    <x v="0"/>
    <m/>
    <s v="MUOS/Agile Teams/Cyber"/>
    <s v="Corcoran, David G"/>
    <x v="3"/>
    <x v="0"/>
    <e v="#N/A"/>
    <x v="0"/>
    <x v="0"/>
    <x v="3"/>
    <x v="16"/>
    <n v="371058"/>
  </r>
  <r>
    <x v="276"/>
    <n v="245560"/>
    <x v="1"/>
    <x v="2"/>
    <s v="EAD 13/14 - EAD/MFR and SP Supplement support to PMW-146 (recurring)"/>
    <x v="7"/>
    <m/>
    <x v="1"/>
    <m/>
    <s v="MUOS/Agile Teams/Cyber"/>
    <s v="Johnson, Derek T"/>
    <x v="2"/>
    <x v="0"/>
    <e v="#N/A"/>
    <x v="0"/>
    <x v="1"/>
    <x v="3"/>
    <x v="16"/>
    <n v="0"/>
  </r>
  <r>
    <x v="277"/>
    <n v="371201"/>
    <x v="0"/>
    <x v="2"/>
    <s v="ISCM metrics investigation"/>
    <x v="2"/>
    <n v="3"/>
    <x v="0"/>
    <m/>
    <s v="MUOS/Agile Teams/Cyber"/>
    <s v="Curtis, Chris B"/>
    <x v="7"/>
    <x v="0"/>
    <e v="#N/A"/>
    <x v="0"/>
    <x v="0"/>
    <x v="3"/>
    <x v="17"/>
    <n v="371284"/>
  </r>
  <r>
    <x v="278"/>
    <n v="371201"/>
    <x v="0"/>
    <x v="2"/>
    <s v="Update RMF artifact (e.g., RAR, POAM) based on monthly low side site scans - 12.1"/>
    <x v="2"/>
    <n v="2"/>
    <x v="0"/>
    <m/>
    <s v="MUOS/Agile Teams/Cyber"/>
    <s v="Sokol, Anthony W"/>
    <x v="5"/>
    <x v="0"/>
    <e v="#N/A"/>
    <x v="0"/>
    <x v="0"/>
    <x v="3"/>
    <x v="17"/>
    <n v="371267"/>
  </r>
  <r>
    <x v="279"/>
    <n v="371201"/>
    <x v="0"/>
    <x v="2"/>
    <s v="IAVA intake and remediation planning: Analyze Gov't provided IAVAs, identify affected MUOS CIs  and determine potential security posture improvement impacts (CAT1-2s) associated with CIs - 12.1"/>
    <x v="2"/>
    <n v="2"/>
    <x v="0"/>
    <m/>
    <s v="MUOS/Agile Teams/Cyber"/>
    <s v="Morton, Randall-P57014"/>
    <x v="9"/>
    <x v="0"/>
    <e v="#N/A"/>
    <x v="0"/>
    <x v="0"/>
    <x v="3"/>
    <x v="17"/>
    <n v="371213"/>
  </r>
  <r>
    <x v="280"/>
    <n v="371201"/>
    <x v="0"/>
    <x v="2"/>
    <s v="ISCM database design - 12.2"/>
    <x v="8"/>
    <n v="3"/>
    <x v="0"/>
    <m/>
    <s v="MUOS/Agile Teams/Cyber"/>
    <s v="Murray, Will-P67105"/>
    <x v="4"/>
    <x v="0"/>
    <e v="#N/A"/>
    <x v="0"/>
    <x v="0"/>
    <x v="3"/>
    <x v="17"/>
    <n v="371331"/>
  </r>
  <r>
    <x v="281"/>
    <n v="371201"/>
    <x v="0"/>
    <x v="2"/>
    <s v="July Updates to IA Repository"/>
    <x v="8"/>
    <n v="2"/>
    <x v="0"/>
    <m/>
    <s v="MUOS/Agile Teams/Cyber"/>
    <s v="Murray, Will-P67105"/>
    <x v="4"/>
    <x v="0"/>
    <e v="#N/A"/>
    <x v="0"/>
    <x v="0"/>
    <x v="3"/>
    <x v="17"/>
    <n v="371246"/>
  </r>
  <r>
    <x v="282"/>
    <n v="371201"/>
    <x v="0"/>
    <x v="2"/>
    <s v="IAVA intake and remediation planning: Analyze Gov't provided IAVAs, identify affected MUOS CIs  and determine potential security posture improvement impacts (CAT1-2s) associated with CIs - 12.2"/>
    <x v="8"/>
    <n v="2"/>
    <x v="0"/>
    <m/>
    <s v="MUOS/Agile Teams/Cyber"/>
    <s v="Morton, Randall-P57014"/>
    <x v="9"/>
    <x v="0"/>
    <e v="#N/A"/>
    <x v="0"/>
    <x v="0"/>
    <x v="3"/>
    <x v="17"/>
    <n v="371214"/>
  </r>
  <r>
    <x v="283"/>
    <n v="371201"/>
    <x v="0"/>
    <x v="2"/>
    <s v="ISCM database design - 12.3"/>
    <x v="3"/>
    <n v="2"/>
    <x v="0"/>
    <m/>
    <s v="MUOS/Agile Teams/Cyber"/>
    <s v="Curtis, Chris B"/>
    <x v="7"/>
    <x v="0"/>
    <e v="#N/A"/>
    <x v="0"/>
    <x v="0"/>
    <x v="3"/>
    <x v="17"/>
    <n v="371335"/>
  </r>
  <r>
    <x v="284"/>
    <n v="371201"/>
    <x v="0"/>
    <x v="2"/>
    <s v="Update RMF artifact (e.g., RAR, POAM) based on monthly high side site scans - 12.3"/>
    <x v="3"/>
    <n v="1"/>
    <x v="0"/>
    <m/>
    <s v="MUOS/Agile Teams/Cyber"/>
    <s v="Sokol, Anthony W"/>
    <x v="5"/>
    <x v="0"/>
    <e v="#N/A"/>
    <x v="0"/>
    <x v="0"/>
    <x v="3"/>
    <x v="17"/>
    <n v="371269"/>
  </r>
  <r>
    <x v="285"/>
    <n v="371201"/>
    <x v="0"/>
    <x v="2"/>
    <s v="IAVA intake and remediation planning: Analyze Gov't provided IAVAs, identify affected MUOS CIs  and determine potential security posture improvement impacts (CAT1-2s) associated with CIs - 12.3"/>
    <x v="3"/>
    <n v="2"/>
    <x v="0"/>
    <m/>
    <s v="MUOS/Agile Teams/Cyber"/>
    <s v="Morton, Randall-P57014"/>
    <x v="9"/>
    <x v="0"/>
    <e v="#N/A"/>
    <x v="0"/>
    <x v="0"/>
    <x v="3"/>
    <x v="17"/>
    <n v="371231"/>
  </r>
  <r>
    <x v="286"/>
    <n v="371201"/>
    <x v="0"/>
    <x v="2"/>
    <s v="ISCM database design - 12.4"/>
    <x v="4"/>
    <n v="3"/>
    <x v="0"/>
    <m/>
    <s v="MUOS/Agile Teams/Cyber"/>
    <s v="Curtis, Chris B"/>
    <x v="7"/>
    <x v="0"/>
    <e v="#N/A"/>
    <x v="0"/>
    <x v="0"/>
    <x v="3"/>
    <x v="17"/>
    <n v="371345"/>
  </r>
  <r>
    <x v="287"/>
    <n v="371201"/>
    <x v="0"/>
    <x v="2"/>
    <s v="IAVA intake and remediation planning: Analyze Gov't provided IAVAs, identify affected MUOS CIs  and determine potential security posture improvement impacts (CAT1-2s) associated with CIs - 12.4"/>
    <x v="4"/>
    <n v="2"/>
    <x v="0"/>
    <m/>
    <s v="MUOS/Agile Teams/Cyber"/>
    <s v="Morton, Randall-P57014"/>
    <x v="9"/>
    <x v="0"/>
    <e v="#N/A"/>
    <x v="0"/>
    <x v="0"/>
    <x v="3"/>
    <x v="17"/>
    <n v="371232"/>
  </r>
  <r>
    <x v="288"/>
    <n v="371201"/>
    <x v="0"/>
    <x v="2"/>
    <s v="ISCM database design - import the archived RAR"/>
    <x v="5"/>
    <n v="1"/>
    <x v="0"/>
    <m/>
    <s v="MUOS/Agile Teams/Cyber"/>
    <s v="Murray, Will-P67105"/>
    <x v="4"/>
    <x v="0"/>
    <e v="#N/A"/>
    <x v="0"/>
    <x v="0"/>
    <x v="3"/>
    <x v="17"/>
    <n v="384725"/>
  </r>
  <r>
    <x v="289"/>
    <n v="371201"/>
    <x v="0"/>
    <x v="2"/>
    <s v="IAVA intake and remediation planning: Analyze Gov't provided IAVAs, identify affected MUOS CIs  and determine potential security posture improvement impacts (CAT1-2s) associated with CIs - 12.5"/>
    <x v="5"/>
    <n v="2"/>
    <x v="0"/>
    <m/>
    <s v="MUOS/Agile Teams/Cyber"/>
    <s v="Morton, Randall-P57014"/>
    <x v="9"/>
    <x v="0"/>
    <e v="#N/A"/>
    <x v="0"/>
    <x v="0"/>
    <x v="3"/>
    <x v="17"/>
    <n v="371238"/>
  </r>
  <r>
    <x v="290"/>
    <n v="371201"/>
    <x v="0"/>
    <x v="2"/>
    <s v="Update RMF artifact (e.g., RAR, POAM) based on monthly high side site scans - 12.6"/>
    <x v="6"/>
    <n v="0"/>
    <x v="0"/>
    <m/>
    <s v="MUOS/Agile Teams/Cyber"/>
    <s v="Milzarski, Ted-P63490"/>
    <x v="6"/>
    <x v="0"/>
    <e v="#N/A"/>
    <x v="0"/>
    <x v="0"/>
    <x v="3"/>
    <x v="17"/>
    <n v="375664"/>
  </r>
  <r>
    <x v="291"/>
    <n v="371201"/>
    <x v="0"/>
    <x v="2"/>
    <s v="ISCM database design - 12.6"/>
    <x v="6"/>
    <n v="2"/>
    <x v="0"/>
    <m/>
    <s v="MUOS/Agile Teams/Cyber"/>
    <s v="Curtis, Chris B"/>
    <x v="7"/>
    <x v="0"/>
    <e v="#N/A"/>
    <x v="0"/>
    <x v="0"/>
    <x v="3"/>
    <x v="17"/>
    <n v="371343"/>
  </r>
  <r>
    <x v="292"/>
    <n v="371201"/>
    <x v="0"/>
    <x v="2"/>
    <s v="September Updates to IA Repository"/>
    <x v="6"/>
    <n v="1"/>
    <x v="0"/>
    <m/>
    <s v="MUOS/Agile Teams/Cyber"/>
    <s v="Milzarski, Ted-P63490"/>
    <x v="6"/>
    <x v="0"/>
    <e v="#N/A"/>
    <x v="0"/>
    <x v="0"/>
    <x v="3"/>
    <x v="17"/>
    <n v="371262"/>
  </r>
  <r>
    <x v="293"/>
    <n v="371201"/>
    <x v="0"/>
    <x v="2"/>
    <s v="August Updates to IA Repository"/>
    <x v="6"/>
    <n v="1"/>
    <x v="0"/>
    <m/>
    <s v="MUOS/Agile Teams/Cyber"/>
    <s v="Milzarski, Ted-P63490"/>
    <x v="6"/>
    <x v="0"/>
    <e v="#N/A"/>
    <x v="0"/>
    <x v="0"/>
    <x v="3"/>
    <x v="17"/>
    <n v="371260"/>
  </r>
  <r>
    <x v="294"/>
    <n v="371201"/>
    <x v="0"/>
    <x v="2"/>
    <s v="IAVA intake and remediation planning: Analyze Gov't provided IAVAs, identify affected MUOS CIs  and determine potential security posture improvement impacts (CAT1-2s) associated with CIs - 12.2"/>
    <x v="6"/>
    <n v="2"/>
    <x v="0"/>
    <m/>
    <s v="MUOS/Agile Teams/Cyber"/>
    <s v="Morton, Randall-P57014"/>
    <x v="9"/>
    <x v="0"/>
    <e v="#N/A"/>
    <x v="0"/>
    <x v="0"/>
    <x v="3"/>
    <x v="17"/>
    <n v="371245"/>
  </r>
  <r>
    <x v="295"/>
    <n v="245560"/>
    <x v="1"/>
    <x v="2"/>
    <s v="Cyber sustainment scans, IAVA, tools, RMF ATO updates  - PI 12"/>
    <x v="6"/>
    <m/>
    <x v="1"/>
    <m/>
    <s v="MUOS/Agile Teams/Cyber"/>
    <s v="Johnson, Derek T"/>
    <x v="2"/>
    <x v="0"/>
    <e v="#N/A"/>
    <x v="0"/>
    <x v="1"/>
    <x v="3"/>
    <x v="17"/>
    <n v="0"/>
  </r>
  <r>
    <x v="296"/>
    <n v="371201"/>
    <x v="0"/>
    <x v="2"/>
    <s v="IAVA intake and remediation planning: Analyze Gov't provided IAVAs, identify affected MUOS CIs  and determine potential security posture improvement impacts (CAT1-2s) associated with CIs - 12.2"/>
    <x v="7"/>
    <n v="2"/>
    <x v="0"/>
    <m/>
    <s v="MUOS/Agile Teams/Cyber"/>
    <s v="Morton, Randall-P57014"/>
    <x v="9"/>
    <x v="0"/>
    <e v="#N/A"/>
    <x v="0"/>
    <x v="0"/>
    <x v="3"/>
    <x v="17"/>
    <n v="390262"/>
  </r>
  <r>
    <x v="297"/>
    <n v="380721"/>
    <x v="0"/>
    <x v="2"/>
    <s v="ISCM database design for IAVA Intake (part 1) - 13.1"/>
    <x v="26"/>
    <n v="3"/>
    <x v="0"/>
    <m/>
    <s v="MUOS/Agile Teams/Cyber"/>
    <s v="Milzarski, Ted-P63490"/>
    <x v="6"/>
    <x v="0"/>
    <e v="#N/A"/>
    <x v="5"/>
    <x v="0"/>
    <x v="3"/>
    <x v="18"/>
    <n v="384183"/>
  </r>
  <r>
    <x v="298"/>
    <n v="380721"/>
    <x v="0"/>
    <x v="2"/>
    <s v="Support Code Collaborator Reviews - Sprint 1"/>
    <x v="26"/>
    <n v="1"/>
    <x v="0"/>
    <m/>
    <s v="MUOS/Agile Teams/Cyber"/>
    <s v="Curtis, Chris B"/>
    <x v="7"/>
    <x v="0"/>
    <e v="#N/A"/>
    <x v="5"/>
    <x v="0"/>
    <x v="3"/>
    <x v="18"/>
    <n v="381392"/>
  </r>
  <r>
    <x v="299"/>
    <n v="380721"/>
    <x v="0"/>
    <x v="2"/>
    <s v="IAVA Intake - 13.1"/>
    <x v="26"/>
    <n v="2"/>
    <x v="0"/>
    <m/>
    <s v="MUOS/Agile Teams/Cyber"/>
    <s v="Morton, Randall-P57014"/>
    <x v="9"/>
    <x v="0"/>
    <e v="#N/A"/>
    <x v="5"/>
    <x v="0"/>
    <x v="3"/>
    <x v="18"/>
    <n v="380722"/>
  </r>
  <r>
    <x v="300"/>
    <n v="380721"/>
    <x v="0"/>
    <x v="2"/>
    <s v="Add Configuration Management Section to Vulnerabiity Management Plan"/>
    <x v="22"/>
    <n v="3"/>
    <x v="0"/>
    <m/>
    <s v="MUOS/Agile Teams/Cyber"/>
    <s v="Curtis, Chris B"/>
    <x v="7"/>
    <x v="0"/>
    <e v="#N/A"/>
    <x v="5"/>
    <x v="0"/>
    <x v="3"/>
    <x v="18"/>
    <n v="393011"/>
  </r>
  <r>
    <x v="301"/>
    <n v="380721"/>
    <x v="0"/>
    <x v="2"/>
    <s v="Complete Draft Vulnerability Management Plan for PMW146 review."/>
    <x v="22"/>
    <n v="5"/>
    <x v="0"/>
    <m/>
    <s v="MUOS/Agile Teams/Cyber"/>
    <s v="Corcoran, David G"/>
    <x v="3"/>
    <x v="0"/>
    <e v="#N/A"/>
    <x v="5"/>
    <x v="0"/>
    <x v="3"/>
    <x v="18"/>
    <n v="393009"/>
  </r>
  <r>
    <x v="302"/>
    <n v="380721"/>
    <x v="0"/>
    <x v="2"/>
    <s v="Add Patch Management Section to Vulnerability Management Plan"/>
    <x v="22"/>
    <n v="2"/>
    <x v="0"/>
    <m/>
    <s v="MUOS/Agile Teams/Cyber"/>
    <s v="Curtis, Chris B"/>
    <x v="7"/>
    <x v="0"/>
    <e v="#N/A"/>
    <x v="5"/>
    <x v="0"/>
    <x v="3"/>
    <x v="18"/>
    <n v="392634"/>
  </r>
  <r>
    <x v="303"/>
    <n v="380721"/>
    <x v="0"/>
    <x v="2"/>
    <s v="Add IAVA Section to Vulnerabiity Management Plan"/>
    <x v="22"/>
    <n v="3"/>
    <x v="0"/>
    <m/>
    <s v="MUOS/Agile Teams/Cyber"/>
    <s v="Morton, Randall-P57014"/>
    <x v="9"/>
    <x v="0"/>
    <e v="#N/A"/>
    <x v="5"/>
    <x v="0"/>
    <x v="3"/>
    <x v="18"/>
    <n v="392596"/>
  </r>
  <r>
    <x v="304"/>
    <n v="380721"/>
    <x v="0"/>
    <x v="2"/>
    <s v="ISCM database design for IAVA Intake (part 2) - 13.2"/>
    <x v="22"/>
    <n v="1"/>
    <x v="0"/>
    <m/>
    <s v="MUOS/Agile Teams/Cyber"/>
    <s v="Milzarski, Ted-P63490"/>
    <x v="6"/>
    <x v="0"/>
    <e v="#N/A"/>
    <x v="5"/>
    <x v="0"/>
    <x v="3"/>
    <x v="18"/>
    <n v="384184"/>
  </r>
  <r>
    <x v="305"/>
    <n v="380721"/>
    <x v="0"/>
    <x v="2"/>
    <s v="Support Code Collaborator Reviews - Sprint 2"/>
    <x v="22"/>
    <n v="1"/>
    <x v="0"/>
    <m/>
    <s v="MUOS/Agile Teams/Cyber"/>
    <s v="Curtis, Chris B"/>
    <x v="7"/>
    <x v="0"/>
    <e v="#N/A"/>
    <x v="5"/>
    <x v="0"/>
    <x v="3"/>
    <x v="18"/>
    <n v="381393"/>
  </r>
  <r>
    <x v="306"/>
    <n v="380721"/>
    <x v="0"/>
    <x v="2"/>
    <s v="Update RMF artifact (e.g., RAR, POAM) based on monthly site scans - 13.2"/>
    <x v="22"/>
    <n v="2"/>
    <x v="0"/>
    <m/>
    <s v="MUOS/Agile Teams/Cyber"/>
    <s v="Milzarski, Ted-P63490"/>
    <x v="6"/>
    <x v="0"/>
    <e v="#N/A"/>
    <x v="5"/>
    <x v="0"/>
    <x v="3"/>
    <x v="18"/>
    <n v="380732"/>
  </r>
  <r>
    <x v="307"/>
    <n v="380721"/>
    <x v="0"/>
    <x v="2"/>
    <s v="IAVA Intake - 13.2"/>
    <x v="22"/>
    <n v="2"/>
    <x v="0"/>
    <m/>
    <s v="MUOS/Agile Teams/Cyber"/>
    <s v="Morton, Randall-P57014"/>
    <x v="9"/>
    <x v="0"/>
    <e v="#N/A"/>
    <x v="5"/>
    <x v="0"/>
    <x v="3"/>
    <x v="18"/>
    <n v="380723"/>
  </r>
  <r>
    <x v="308"/>
    <n v="380721"/>
    <x v="0"/>
    <x v="2"/>
    <s v="Submit Vulnerability Management Plan for internal peer review"/>
    <x v="23"/>
    <n v="3"/>
    <x v="0"/>
    <m/>
    <s v="MUOS/Agile Teams/Cyber"/>
    <s v="Corcoran, David G"/>
    <x v="3"/>
    <x v="0"/>
    <e v="#N/A"/>
    <x v="5"/>
    <x v="0"/>
    <x v="3"/>
    <x v="18"/>
    <n v="1000843"/>
  </r>
  <r>
    <x v="309"/>
    <n v="380721"/>
    <x v="0"/>
    <x v="2"/>
    <s v="Support Code Collaborator Reviews - Sprint 3"/>
    <x v="23"/>
    <n v="1"/>
    <x v="0"/>
    <m/>
    <s v="MUOS/Agile Teams/Cyber"/>
    <s v="Curtis, Chris B"/>
    <x v="7"/>
    <x v="0"/>
    <e v="#N/A"/>
    <x v="5"/>
    <x v="0"/>
    <x v="3"/>
    <x v="18"/>
    <n v="381395"/>
  </r>
  <r>
    <x v="310"/>
    <n v="380721"/>
    <x v="0"/>
    <x v="2"/>
    <s v="October Updates to IA Repository"/>
    <x v="23"/>
    <n v="2"/>
    <x v="0"/>
    <m/>
    <s v="MUOS/Agile Teams/Cyber"/>
    <s v="Milzarski, Ted-P63490"/>
    <x v="6"/>
    <x v="0"/>
    <e v="#N/A"/>
    <x v="5"/>
    <x v="0"/>
    <x v="3"/>
    <x v="18"/>
    <n v="380729"/>
  </r>
  <r>
    <x v="311"/>
    <n v="380721"/>
    <x v="0"/>
    <x v="2"/>
    <s v="IAVA Intake - 13.3"/>
    <x v="23"/>
    <n v="2"/>
    <x v="0"/>
    <m/>
    <s v="MUOS/Agile Teams/Cyber"/>
    <s v="Garrison, David D"/>
    <x v="11"/>
    <x v="0"/>
    <e v="#N/A"/>
    <x v="5"/>
    <x v="0"/>
    <x v="3"/>
    <x v="18"/>
    <n v="380724"/>
  </r>
  <r>
    <x v="312"/>
    <n v="380721"/>
    <x v="0"/>
    <x v="2"/>
    <s v="Submit Vulnerability Management Plan to PMW"/>
    <x v="24"/>
    <n v="2"/>
    <x v="0"/>
    <m/>
    <s v="MUOS/Agile Teams/Cyber"/>
    <s v="Corcoran, David G"/>
    <x v="3"/>
    <x v="0"/>
    <e v="#N/A"/>
    <x v="5"/>
    <x v="0"/>
    <x v="3"/>
    <x v="18"/>
    <n v="392994"/>
  </r>
  <r>
    <x v="313"/>
    <n v="380721"/>
    <x v="0"/>
    <x v="2"/>
    <s v="ISCM database design for IAVA Intake (part 3) - 13.3"/>
    <x v="24"/>
    <n v="2"/>
    <x v="0"/>
    <m/>
    <s v="MUOS/Agile Teams/Cyber"/>
    <s v="Milzarski, Ted-P63490"/>
    <x v="6"/>
    <x v="0"/>
    <e v="#N/A"/>
    <x v="5"/>
    <x v="0"/>
    <x v="3"/>
    <x v="18"/>
    <n v="390994"/>
  </r>
  <r>
    <x v="314"/>
    <n v="380721"/>
    <x v="0"/>
    <x v="2"/>
    <s v="Support Code Collaborator Reviews - Sprint 4"/>
    <x v="24"/>
    <n v="1"/>
    <x v="0"/>
    <m/>
    <s v="MUOS/Agile Teams/Cyber"/>
    <s v="Tang, Kent-P22339"/>
    <x v="16"/>
    <x v="0"/>
    <e v="#N/A"/>
    <x v="5"/>
    <x v="0"/>
    <x v="3"/>
    <x v="18"/>
    <n v="381396"/>
  </r>
  <r>
    <x v="315"/>
    <n v="380721"/>
    <x v="0"/>
    <x v="2"/>
    <s v="IAVA Intake - 13.4"/>
    <x v="24"/>
    <n v="2"/>
    <x v="0"/>
    <m/>
    <s v="MUOS/Agile Teams/Cyber"/>
    <s v="Morton, Randall-P57014"/>
    <x v="9"/>
    <x v="0"/>
    <e v="#N/A"/>
    <x v="5"/>
    <x v="0"/>
    <x v="3"/>
    <x v="18"/>
    <n v="380725"/>
  </r>
  <r>
    <x v="316"/>
    <n v="380721"/>
    <x v="0"/>
    <x v="2"/>
    <s v="Support Code Collaborator Reviews - Sprint 5"/>
    <x v="28"/>
    <n v="1"/>
    <x v="0"/>
    <m/>
    <s v="MUOS/Agile Teams/Cyber"/>
    <s v="Curtis, Chris B"/>
    <x v="7"/>
    <x v="0"/>
    <e v="#N/A"/>
    <x v="5"/>
    <x v="0"/>
    <x v="3"/>
    <x v="18"/>
    <n v="381397"/>
  </r>
  <r>
    <x v="317"/>
    <n v="380721"/>
    <x v="0"/>
    <x v="2"/>
    <s v="IAVA Intake - 13.5"/>
    <x v="28"/>
    <n v="2"/>
    <x v="0"/>
    <m/>
    <s v="MUOS/Agile Teams/Cyber"/>
    <s v="Garrison, David D"/>
    <x v="11"/>
    <x v="0"/>
    <e v="#N/A"/>
    <x v="5"/>
    <x v="0"/>
    <x v="3"/>
    <x v="18"/>
    <n v="380726"/>
  </r>
  <r>
    <x v="318"/>
    <n v="380721"/>
    <x v="0"/>
    <x v="2"/>
    <s v="Determine How to Obtain Credentialed Scan on Switches"/>
    <x v="27"/>
    <n v="3"/>
    <x v="0"/>
    <m/>
    <s v="MUOS/Agile Teams/Magic"/>
    <s v="Vaughn, Gerald D (NE)"/>
    <x v="12"/>
    <x v="4"/>
    <e v="#N/A"/>
    <x v="5"/>
    <x v="0"/>
    <x v="3"/>
    <x v="18"/>
    <n v="1005372"/>
  </r>
  <r>
    <x v="319"/>
    <n v="380721"/>
    <x v="0"/>
    <x v="2"/>
    <s v="Support Code Collaborator Reviews - Sprint 6"/>
    <x v="27"/>
    <n v="1"/>
    <x v="0"/>
    <m/>
    <s v="MUOS/Agile Teams/Cyber"/>
    <s v="Curtis, Chris B"/>
    <x v="7"/>
    <x v="0"/>
    <e v="#N/A"/>
    <x v="5"/>
    <x v="0"/>
    <x v="3"/>
    <x v="18"/>
    <n v="381398"/>
  </r>
  <r>
    <x v="320"/>
    <n v="380721"/>
    <x v="0"/>
    <x v="2"/>
    <s v="Update RMF artifact (e.g., RAR, POAM) based on monthly site scans - 13.4"/>
    <x v="27"/>
    <n v="2"/>
    <x v="0"/>
    <m/>
    <s v="MUOS/Agile Teams/Cyber"/>
    <s v="Milzarski, Ted-P63490"/>
    <x v="6"/>
    <x v="0"/>
    <e v="#N/A"/>
    <x v="5"/>
    <x v="0"/>
    <x v="3"/>
    <x v="18"/>
    <n v="380733"/>
  </r>
  <r>
    <x v="321"/>
    <n v="380721"/>
    <x v="0"/>
    <x v="2"/>
    <s v="November Updates to IA Repository"/>
    <x v="27"/>
    <n v="2"/>
    <x v="0"/>
    <m/>
    <s v="MUOS/Agile Teams/Cyber"/>
    <s v="Garrison, David D"/>
    <x v="11"/>
    <x v="0"/>
    <e v="#N/A"/>
    <x v="5"/>
    <x v="0"/>
    <x v="3"/>
    <x v="18"/>
    <n v="380730"/>
  </r>
  <r>
    <x v="322"/>
    <n v="380721"/>
    <x v="0"/>
    <x v="2"/>
    <s v="IAVA Intake - 13.6"/>
    <x v="27"/>
    <n v="2"/>
    <x v="0"/>
    <m/>
    <s v="MUOS/Agile Teams/Cyber"/>
    <s v="Morton, Randall-P57014"/>
    <x v="9"/>
    <x v="0"/>
    <e v="#N/A"/>
    <x v="5"/>
    <x v="0"/>
    <x v="3"/>
    <x v="18"/>
    <n v="380727"/>
  </r>
  <r>
    <x v="323"/>
    <n v="380721"/>
    <x v="0"/>
    <x v="2"/>
    <s v="Develop updated ACAS VM"/>
    <x v="25"/>
    <n v="5"/>
    <x v="0"/>
    <m/>
    <s v="MUOS/Agile Teams/Magic"/>
    <s v="Vaughn, Gerald D (NE)"/>
    <x v="12"/>
    <x v="4"/>
    <e v="#N/A"/>
    <x v="5"/>
    <x v="0"/>
    <x v="3"/>
    <x v="18"/>
    <n v="1007020"/>
  </r>
  <r>
    <x v="324"/>
    <n v="380721"/>
    <x v="0"/>
    <x v="2"/>
    <s v="Support POAM updates based on customer inputs - 13.7"/>
    <x v="25"/>
    <n v="2"/>
    <x v="0"/>
    <m/>
    <s v="MUOS/Agile Teams/Cyber"/>
    <s v="Milzarski, Ted-P63490"/>
    <x v="6"/>
    <x v="0"/>
    <e v="#N/A"/>
    <x v="5"/>
    <x v="0"/>
    <x v="3"/>
    <x v="18"/>
    <n v="1006954"/>
  </r>
  <r>
    <x v="325"/>
    <n v="380721"/>
    <x v="0"/>
    <x v="2"/>
    <s v="Support Code Collaborator Reviews - Sprint 7"/>
    <x v="25"/>
    <n v="1"/>
    <x v="0"/>
    <m/>
    <s v="MUOS/Agile Teams/Cyber"/>
    <s v="Curtis, Chris B"/>
    <x v="7"/>
    <x v="0"/>
    <e v="#N/A"/>
    <x v="5"/>
    <x v="0"/>
    <x v="3"/>
    <x v="18"/>
    <n v="392941"/>
  </r>
  <r>
    <x v="326"/>
    <n v="380721"/>
    <x v="0"/>
    <x v="2"/>
    <s v="December Updates to IA Repository"/>
    <x v="25"/>
    <n v="2"/>
    <x v="0"/>
    <m/>
    <s v="MUOS/Agile Teams/Cyber"/>
    <s v="Milzarski, Ted-P63490"/>
    <x v="6"/>
    <x v="0"/>
    <e v="#N/A"/>
    <x v="5"/>
    <x v="0"/>
    <x v="3"/>
    <x v="18"/>
    <n v="380731"/>
  </r>
  <r>
    <x v="327"/>
    <n v="380721"/>
    <x v="0"/>
    <x v="2"/>
    <s v="IAVA Intake - 13.7"/>
    <x v="25"/>
    <n v="2"/>
    <x v="0"/>
    <m/>
    <s v="MUOS/Agile Teams/Cyber"/>
    <s v="Morton, Randall-P57014"/>
    <x v="9"/>
    <x v="0"/>
    <e v="#N/A"/>
    <x v="5"/>
    <x v="0"/>
    <x v="3"/>
    <x v="18"/>
    <n v="380728"/>
  </r>
  <r>
    <x v="328"/>
    <n v="245560"/>
    <x v="1"/>
    <x v="2"/>
    <s v="Cyber Sustainment Activities (Recurring)"/>
    <x v="25"/>
    <m/>
    <x v="1"/>
    <m/>
    <s v="MUOS/Agile Teams/Cyber"/>
    <s v="Johnson, Derek T"/>
    <x v="2"/>
    <x v="0"/>
    <e v="#N/A"/>
    <x v="5"/>
    <x v="1"/>
    <x v="3"/>
    <x v="18"/>
    <n v="0"/>
  </r>
  <r>
    <x v="329"/>
    <n v="380735"/>
    <x v="0"/>
    <x v="2"/>
    <s v="Support application review for DADMs applicability - 13.1"/>
    <x v="26"/>
    <n v="1"/>
    <x v="0"/>
    <m/>
    <s v="MUOS/Agile Teams/Cyber"/>
    <s v="Corcoran, David G"/>
    <x v="3"/>
    <x v="0"/>
    <e v="#N/A"/>
    <x v="6"/>
    <x v="0"/>
    <x v="3"/>
    <x v="19"/>
    <n v="380742"/>
  </r>
  <r>
    <x v="330"/>
    <n v="380735"/>
    <x v="0"/>
    <x v="2"/>
    <s v="MFR EAD 15 Support - Continuing Support"/>
    <x v="26"/>
    <n v="2"/>
    <x v="0"/>
    <m/>
    <s v="MUOS/Agile Teams/Cyber"/>
    <s v="Corcoran, David G"/>
    <x v="3"/>
    <x v="0"/>
    <e v="#N/A"/>
    <x v="6"/>
    <x v="0"/>
    <x v="3"/>
    <x v="19"/>
    <n v="380736"/>
  </r>
  <r>
    <x v="331"/>
    <n v="380735"/>
    <x v="0"/>
    <x v="2"/>
    <s v="Support application review for DADMs applicability - 13.2"/>
    <x v="22"/>
    <n v="1"/>
    <x v="0"/>
    <m/>
    <s v="MUOS/Agile Teams/Cyber"/>
    <s v="Corcoran, David G"/>
    <x v="3"/>
    <x v="0"/>
    <e v="#N/A"/>
    <x v="6"/>
    <x v="0"/>
    <x v="3"/>
    <x v="19"/>
    <n v="380743"/>
  </r>
  <r>
    <x v="332"/>
    <n v="380735"/>
    <x v="0"/>
    <x v="2"/>
    <s v="Support application review for DADMs applicability - 13.3"/>
    <x v="23"/>
    <n v="5"/>
    <x v="0"/>
    <m/>
    <s v="MUOS/Agile Teams/Cyber"/>
    <s v="Corcoran, David G"/>
    <x v="3"/>
    <x v="0"/>
    <e v="#N/A"/>
    <x v="6"/>
    <x v="0"/>
    <x v="3"/>
    <x v="19"/>
    <n v="380744"/>
  </r>
  <r>
    <x v="333"/>
    <n v="380735"/>
    <x v="0"/>
    <x v="2"/>
    <s v="Support application review for DADMs applicability - 13.4"/>
    <x v="24"/>
    <n v="3"/>
    <x v="0"/>
    <m/>
    <s v="MUOS/Agile Teams/Cyber"/>
    <s v="Corcoran, David G"/>
    <x v="3"/>
    <x v="0"/>
    <e v="#N/A"/>
    <x v="6"/>
    <x v="0"/>
    <x v="3"/>
    <x v="19"/>
    <n v="380745"/>
  </r>
  <r>
    <x v="334"/>
    <n v="380735"/>
    <x v="0"/>
    <x v="2"/>
    <s v="Support application review for DADMs applicability - 13.5"/>
    <x v="28"/>
    <n v="1"/>
    <x v="0"/>
    <m/>
    <s v="MUOS/Agile Teams/Cyber"/>
    <s v="Corcoran, David G"/>
    <x v="3"/>
    <x v="0"/>
    <e v="#N/A"/>
    <x v="6"/>
    <x v="0"/>
    <x v="3"/>
    <x v="19"/>
    <n v="380746"/>
  </r>
  <r>
    <x v="335"/>
    <n v="380735"/>
    <x v="0"/>
    <x v="2"/>
    <s v="Update SP Supplement for EAD 15.0 Content"/>
    <x v="27"/>
    <n v="3"/>
    <x v="0"/>
    <m/>
    <s v="MUOS/Agile Teams/Cyber"/>
    <s v="Morton, Randall-P57014"/>
    <x v="9"/>
    <x v="0"/>
    <e v="#N/A"/>
    <x v="6"/>
    <x v="0"/>
    <x v="3"/>
    <x v="19"/>
    <n v="390749"/>
  </r>
  <r>
    <x v="336"/>
    <n v="380735"/>
    <x v="0"/>
    <x v="2"/>
    <s v="Support application review for DADMs applicability - 13.6"/>
    <x v="27"/>
    <n v="1"/>
    <x v="0"/>
    <m/>
    <s v="MUOS/Agile Teams/Cyber"/>
    <s v="Garrison, David D"/>
    <x v="11"/>
    <x v="0"/>
    <e v="#N/A"/>
    <x v="6"/>
    <x v="0"/>
    <x v="3"/>
    <x v="19"/>
    <n v="380747"/>
  </r>
  <r>
    <x v="337"/>
    <n v="380735"/>
    <x v="0"/>
    <x v="2"/>
    <s v="Update and review with customer MFR for EAD 15.0"/>
    <x v="27"/>
    <n v="3"/>
    <x v="0"/>
    <m/>
    <s v="MUOS/Agile Teams/Cyber"/>
    <s v="Corcoran, David G"/>
    <x v="3"/>
    <x v="0"/>
    <e v="#N/A"/>
    <x v="6"/>
    <x v="0"/>
    <x v="3"/>
    <x v="19"/>
    <n v="380741"/>
  </r>
  <r>
    <x v="338"/>
    <n v="380735"/>
    <x v="0"/>
    <x v="2"/>
    <s v="Review and analyze scan data for EAD 15.0 MFR"/>
    <x v="27"/>
    <n v="5"/>
    <x v="0"/>
    <m/>
    <s v="MUOS/Agile Teams/Cyber"/>
    <s v="Corcoran, David G"/>
    <x v="3"/>
    <x v="0"/>
    <e v="#N/A"/>
    <x v="6"/>
    <x v="0"/>
    <x v="3"/>
    <x v="19"/>
    <n v="380739"/>
  </r>
  <r>
    <x v="339"/>
    <n v="380735"/>
    <x v="0"/>
    <x v="2"/>
    <s v="Support application review for DADMs applicability - 13.7"/>
    <x v="25"/>
    <n v="1"/>
    <x v="0"/>
    <m/>
    <s v="MUOS/Agile Teams/Cyber"/>
    <s v="Corcoran, David G"/>
    <x v="3"/>
    <x v="0"/>
    <e v="#N/A"/>
    <x v="6"/>
    <x v="0"/>
    <x v="3"/>
    <x v="19"/>
    <n v="380748"/>
  </r>
  <r>
    <x v="340"/>
    <n v="380735"/>
    <x v="0"/>
    <x v="2"/>
    <s v="Update ACAS Scan Limitations White Paper - EAD 15"/>
    <x v="25"/>
    <n v="1"/>
    <x v="0"/>
    <m/>
    <s v="MUOS/Agile Teams/Cyber"/>
    <s v="Curtis, Chris B"/>
    <x v="7"/>
    <x v="0"/>
    <e v="#N/A"/>
    <x v="6"/>
    <x v="0"/>
    <x v="3"/>
    <x v="19"/>
    <n v="380740"/>
  </r>
  <r>
    <x v="341"/>
    <n v="380735"/>
    <x v="0"/>
    <x v="2"/>
    <s v="Generate and review with customer MFR for EAD 15.0"/>
    <x v="25"/>
    <n v="5"/>
    <x v="0"/>
    <m/>
    <s v="MUOS/Agile Teams/Cyber"/>
    <s v="Corcoran, David G"/>
    <x v="3"/>
    <x v="0"/>
    <e v="#N/A"/>
    <x v="6"/>
    <x v="0"/>
    <x v="3"/>
    <x v="19"/>
    <n v="380737"/>
  </r>
  <r>
    <x v="342"/>
    <n v="245560"/>
    <x v="1"/>
    <x v="2"/>
    <s v="Cyber EAD 15 MFR Support (Recurring)"/>
    <x v="25"/>
    <m/>
    <x v="1"/>
    <m/>
    <s v="MUOS/Agile Teams/Cyber"/>
    <s v="Johnson, Derek T"/>
    <x v="2"/>
    <x v="0"/>
    <e v="#N/A"/>
    <x v="6"/>
    <x v="1"/>
    <x v="3"/>
    <x v="19"/>
    <n v="0"/>
  </r>
  <r>
    <x v="343"/>
    <n v="380749"/>
    <x v="0"/>
    <x v="2"/>
    <s v="October 2019 IA Patch deployment"/>
    <x v="26"/>
    <n v="5"/>
    <x v="0"/>
    <m/>
    <s v="MUOS/Agile Teams/Cyber"/>
    <s v="Burnett, Johnathan D"/>
    <x v="15"/>
    <x v="0"/>
    <e v="#N/A"/>
    <x v="7"/>
    <x v="0"/>
    <x v="3"/>
    <x v="20"/>
    <n v="392558"/>
  </r>
  <r>
    <x v="344"/>
    <n v="380749"/>
    <x v="0"/>
    <x v="2"/>
    <s v="Update IA-Server-patch-tracker spreadsheet in Clear Case w/patch bundle installed"/>
    <x v="26"/>
    <n v="3"/>
    <x v="0"/>
    <m/>
    <s v="MUOS/Agile Teams/Cyber"/>
    <s v="Milzarski, Ted-P63490"/>
    <x v="6"/>
    <x v="0"/>
    <e v="#N/A"/>
    <x v="7"/>
    <x v="0"/>
    <x v="3"/>
    <x v="20"/>
    <n v="385659"/>
  </r>
  <r>
    <x v="345"/>
    <n v="380749"/>
    <x v="0"/>
    <x v="2"/>
    <s v="January 2020 Patch Deployment - Develop and finalize candidate patch target list"/>
    <x v="22"/>
    <n v="3"/>
    <x v="0"/>
    <m/>
    <s v="MUOS/Agile Teams/Cyber"/>
    <s v="Burnett, Johnathan D"/>
    <x v="15"/>
    <x v="0"/>
    <e v="#N/A"/>
    <x v="7"/>
    <x v="0"/>
    <x v="3"/>
    <x v="20"/>
    <n v="392608"/>
  </r>
  <r>
    <x v="346"/>
    <n v="380749"/>
    <x v="0"/>
    <x v="2"/>
    <s v="Scan and review the patch findings from the site and SWIT and VLAB"/>
    <x v="22"/>
    <n v="3"/>
    <x v="0"/>
    <m/>
    <s v="MUOS/Agile Teams/Cyber"/>
    <s v="Burnett, Johnathan D"/>
    <x v="15"/>
    <x v="0"/>
    <e v="#N/A"/>
    <x v="7"/>
    <x v="0"/>
    <x v="3"/>
    <x v="20"/>
    <n v="385662"/>
  </r>
  <r>
    <x v="347"/>
    <n v="380749"/>
    <x v="0"/>
    <x v="2"/>
    <s v="Update Patch SVDs for with redlines from site and misc cleanup"/>
    <x v="22"/>
    <n v="2"/>
    <x v="0"/>
    <m/>
    <s v="MUOS/Agile Teams/Cyber"/>
    <s v="Milzarski, Ted-P63490"/>
    <x v="6"/>
    <x v="0"/>
    <e v="#N/A"/>
    <x v="7"/>
    <x v="0"/>
    <x v="3"/>
    <x v="20"/>
    <n v="385660"/>
  </r>
  <r>
    <x v="348"/>
    <n v="380749"/>
    <x v="0"/>
    <x v="2"/>
    <s v="Release status report with metrics spreadsheet"/>
    <x v="22"/>
    <n v="2"/>
    <x v="0"/>
    <m/>
    <s v="MUOS/Agile Teams/Cyber"/>
    <s v="Burnett, Johnathan D"/>
    <x v="15"/>
    <x v="0"/>
    <e v="#N/A"/>
    <x v="7"/>
    <x v="0"/>
    <x v="3"/>
    <x v="20"/>
    <n v="385658"/>
  </r>
  <r>
    <x v="349"/>
    <n v="380749"/>
    <x v="0"/>
    <x v="2"/>
    <s v="Complete SWIT testing"/>
    <x v="23"/>
    <n v="3"/>
    <x v="0"/>
    <m/>
    <s v="MUOS/Agile Teams/Cyber"/>
    <s v="Burnett, Johnathan D"/>
    <x v="15"/>
    <x v="0"/>
    <e v="#N/A"/>
    <x v="7"/>
    <x v="0"/>
    <x v="3"/>
    <x v="20"/>
    <n v="392598"/>
  </r>
  <r>
    <x v="350"/>
    <n v="380749"/>
    <x v="0"/>
    <x v="2"/>
    <s v="Download patches, and update patching script"/>
    <x v="23"/>
    <n v="1"/>
    <x v="0"/>
    <m/>
    <s v="MUOS/Agile Teams/Cyber"/>
    <s v="Burnett, Johnathan D"/>
    <x v="15"/>
    <x v="0"/>
    <e v="#N/A"/>
    <x v="7"/>
    <x v="0"/>
    <x v="3"/>
    <x v="20"/>
    <n v="392597"/>
  </r>
  <r>
    <x v="351"/>
    <n v="380749"/>
    <x v="0"/>
    <x v="2"/>
    <s v="Update Node Config for IA patches"/>
    <x v="23"/>
    <n v="1"/>
    <x v="0"/>
    <m/>
    <s v="MUOS/Agile Teams/Cyber"/>
    <s v="Garrison, David D"/>
    <x v="11"/>
    <x v="0"/>
    <e v="#N/A"/>
    <x v="7"/>
    <x v="0"/>
    <x v="3"/>
    <x v="20"/>
    <n v="385668"/>
  </r>
  <r>
    <x v="352"/>
    <n v="380749"/>
    <x v="0"/>
    <x v="2"/>
    <s v="Validate January Patches in SWIT/Vlab vs Site"/>
    <x v="23"/>
    <n v="2"/>
    <x v="0"/>
    <m/>
    <s v="MUOS/Agile Teams/Cyber"/>
    <s v="Burnett, Johnathan D"/>
    <x v="15"/>
    <x v="0"/>
    <e v="#N/A"/>
    <x v="7"/>
    <x v="0"/>
    <x v="3"/>
    <x v="20"/>
    <n v="385663"/>
  </r>
  <r>
    <x v="353"/>
    <n v="380749"/>
    <x v="0"/>
    <x v="2"/>
    <s v="Support patch release"/>
    <x v="24"/>
    <n v="3"/>
    <x v="0"/>
    <m/>
    <s v="MUOS/Agile Teams/Cyber"/>
    <s v="Garrison, David D"/>
    <x v="11"/>
    <x v="0"/>
    <e v="#N/A"/>
    <x v="7"/>
    <x v="0"/>
    <x v="3"/>
    <x v="20"/>
    <n v="385672"/>
  </r>
  <r>
    <x v="354"/>
    <n v="380749"/>
    <x v="0"/>
    <x v="2"/>
    <s v="Updated HW SW Map for January Patch deployment"/>
    <x v="24"/>
    <n v="3"/>
    <x v="0"/>
    <m/>
    <s v="MUOS/Agile Teams/Cyber"/>
    <s v="Milzarski, Ted-P63490"/>
    <x v="6"/>
    <x v="0"/>
    <e v="#N/A"/>
    <x v="7"/>
    <x v="0"/>
    <x v="3"/>
    <x v="20"/>
    <n v="385671"/>
  </r>
  <r>
    <x v="355"/>
    <n v="380749"/>
    <x v="0"/>
    <x v="2"/>
    <s v="Complete VLAB test"/>
    <x v="24"/>
    <n v="3"/>
    <x v="0"/>
    <m/>
    <s v="MUOS/Agile Teams/Cyber"/>
    <s v="Burnett, Johnathan D"/>
    <x v="15"/>
    <x v="0"/>
    <e v="#N/A"/>
    <x v="7"/>
    <x v="0"/>
    <x v="3"/>
    <x v="20"/>
    <n v="385670"/>
  </r>
  <r>
    <x v="356"/>
    <n v="380749"/>
    <x v="0"/>
    <x v="2"/>
    <s v="Create patch bundle,  measure/sign and formally release  to CM with final  script, download bundle to protected laptop"/>
    <x v="28"/>
    <n v="3"/>
    <x v="0"/>
    <m/>
    <s v="MUOS/Agile Teams/Cyber"/>
    <s v="Burnett, Johnathan D"/>
    <x v="15"/>
    <x v="0"/>
    <e v="#N/A"/>
    <x v="7"/>
    <x v="0"/>
    <x v="3"/>
    <x v="20"/>
    <n v="385669"/>
  </r>
  <r>
    <x v="357"/>
    <n v="380749"/>
    <x v="0"/>
    <x v="2"/>
    <s v="March 2020 Patch Deployment - Develop and finalize candidate patch target list"/>
    <x v="27"/>
    <n v="3"/>
    <x v="0"/>
    <m/>
    <s v="MUOS/Agile Teams/Cyber"/>
    <s v="Burnett, Johnathan D"/>
    <x v="15"/>
    <x v="0"/>
    <e v="#N/A"/>
    <x v="7"/>
    <x v="0"/>
    <x v="3"/>
    <x v="20"/>
    <n v="385661"/>
  </r>
  <r>
    <x v="358"/>
    <n v="380749"/>
    <x v="0"/>
    <x v="2"/>
    <s v="January 2020 IA Patch deployment"/>
    <x v="27"/>
    <n v="5"/>
    <x v="0"/>
    <m/>
    <s v="MUOS/Agile Teams/Cyber"/>
    <s v="Burnett, Johnathan D"/>
    <x v="15"/>
    <x v="0"/>
    <e v="#N/A"/>
    <x v="7"/>
    <x v="0"/>
    <x v="3"/>
    <x v="20"/>
    <n v="385657"/>
  </r>
  <r>
    <x v="359"/>
    <n v="380749"/>
    <x v="0"/>
    <x v="2"/>
    <s v="Provide Support Developing Repo Distro Server"/>
    <x v="25"/>
    <n v="2"/>
    <x v="0"/>
    <m/>
    <s v="MUOS/Agile Teams/Magic"/>
    <s v="Vaughn, Gerald D (NE)"/>
    <x v="12"/>
    <x v="4"/>
    <e v="#N/A"/>
    <x v="7"/>
    <x v="0"/>
    <x v="3"/>
    <x v="20"/>
    <n v="1005362"/>
  </r>
  <r>
    <x v="360"/>
    <n v="380749"/>
    <x v="0"/>
    <x v="2"/>
    <s v="Release status report with metrics spreadsheet"/>
    <x v="25"/>
    <n v="2"/>
    <x v="0"/>
    <m/>
    <s v="MUOS/Agile Teams/Cyber"/>
    <s v="Burnett, Johnathan D"/>
    <x v="15"/>
    <x v="0"/>
    <e v="#N/A"/>
    <x v="7"/>
    <x v="0"/>
    <x v="3"/>
    <x v="20"/>
    <n v="392605"/>
  </r>
  <r>
    <x v="361"/>
    <n v="380749"/>
    <x v="0"/>
    <x v="2"/>
    <s v="Scan and review the patch findings from the site and SWIT and VLAB"/>
    <x v="25"/>
    <n v="3"/>
    <x v="0"/>
    <m/>
    <s v="MUOS/Agile Teams/Cyber"/>
    <s v="Burnett, Johnathan D"/>
    <x v="15"/>
    <x v="0"/>
    <e v="#N/A"/>
    <x v="7"/>
    <x v="0"/>
    <x v="3"/>
    <x v="20"/>
    <n v="392603"/>
  </r>
  <r>
    <x v="362"/>
    <n v="245560"/>
    <x v="1"/>
    <x v="2"/>
    <s v="Cyber Sustainment IA Patching - PI 13"/>
    <x v="25"/>
    <m/>
    <x v="2"/>
    <m/>
    <s v="MUOS/Agile Teams/Cyber"/>
    <s v="Johnson, Derek T"/>
    <x v="2"/>
    <x v="0"/>
    <e v="#N/A"/>
    <x v="7"/>
    <x v="1"/>
    <x v="3"/>
    <x v="20"/>
    <n v="0"/>
  </r>
  <r>
    <x v="363"/>
    <n v="392530"/>
    <x v="0"/>
    <x v="2"/>
    <s v="Cyber IA Patching - PI 14 (Recurring) - PI14.1"/>
    <x v="9"/>
    <n v="3"/>
    <x v="0"/>
    <m/>
    <s v="MUOS/Agile Teams/Cyber"/>
    <s v="Burnett, Johnathan D"/>
    <x v="15"/>
    <x v="0"/>
    <e v="#N/A"/>
    <x v="0"/>
    <x v="0"/>
    <x v="3"/>
    <x v="21"/>
    <n v="1008477"/>
  </r>
  <r>
    <x v="364"/>
    <n v="392530"/>
    <x v="0"/>
    <x v="2"/>
    <s v="Cyber IA Patching - PI 14 (Recurring) - PI14.1"/>
    <x v="9"/>
    <n v="1"/>
    <x v="0"/>
    <m/>
    <s v="MUOS/Agile Teams/Cyber"/>
    <s v="Burnett, Johnathan D"/>
    <x v="15"/>
    <x v="0"/>
    <e v="#N/A"/>
    <x v="0"/>
    <x v="0"/>
    <x v="3"/>
    <x v="21"/>
    <n v="1008476"/>
  </r>
  <r>
    <x v="365"/>
    <n v="392530"/>
    <x v="0"/>
    <x v="2"/>
    <s v="Cyber IA Patching - PI 14 (Recurring) - PI14.2"/>
    <x v="10"/>
    <n v="1"/>
    <x v="0"/>
    <m/>
    <s v="MUOS/Agile Teams/Cyber"/>
    <s v="Burnett, Johnathan D"/>
    <x v="15"/>
    <x v="0"/>
    <e v="#N/A"/>
    <x v="0"/>
    <x v="0"/>
    <x v="3"/>
    <x v="21"/>
    <n v="1008478"/>
  </r>
  <r>
    <x v="366"/>
    <n v="392530"/>
    <x v="0"/>
    <x v="2"/>
    <s v="Complete February SWIT Testing, and complete VLAB test for March Deployment"/>
    <x v="10"/>
    <n v="3"/>
    <x v="0"/>
    <m/>
    <s v="MUOS/Agile Teams/Cyber"/>
    <s v="Burnett, Johnathan D"/>
    <x v="15"/>
    <x v="0"/>
    <e v="#N/A"/>
    <x v="0"/>
    <x v="0"/>
    <x v="3"/>
    <x v="21"/>
    <n v="395418"/>
  </r>
  <r>
    <x v="367"/>
    <n v="392530"/>
    <x v="0"/>
    <x v="2"/>
    <s v="Create patch bundle,  measure/sign and formally release  to CM with final  script, download bundle to protected laptop"/>
    <x v="10"/>
    <n v="3"/>
    <x v="0"/>
    <m/>
    <s v="MUOS/Agile Teams/Cyber"/>
    <s v="Burnett, Johnathan D"/>
    <x v="15"/>
    <x v="0"/>
    <e v="#N/A"/>
    <x v="0"/>
    <x v="0"/>
    <x v="3"/>
    <x v="21"/>
    <n v="395417"/>
  </r>
  <r>
    <x v="368"/>
    <n v="392530"/>
    <x v="0"/>
    <x v="2"/>
    <s v="Update Node Config for IA patches"/>
    <x v="10"/>
    <n v="1"/>
    <x v="0"/>
    <m/>
    <s v="MUOS/Agile Teams/Cyber"/>
    <s v="Milzarski, Ted-P63490"/>
    <x v="6"/>
    <x v="0"/>
    <e v="#N/A"/>
    <x v="0"/>
    <x v="0"/>
    <x v="3"/>
    <x v="21"/>
    <n v="395416"/>
  </r>
  <r>
    <x v="369"/>
    <n v="392530"/>
    <x v="0"/>
    <x v="2"/>
    <s v="Update IA-Server-patch-tracker spreadsheet in Clear Case w/patch bundle installed"/>
    <x v="10"/>
    <n v="3"/>
    <x v="0"/>
    <m/>
    <s v="MUOS/Agile Teams/Cyber"/>
    <s v="Garrison, David D"/>
    <x v="11"/>
    <x v="0"/>
    <e v="#N/A"/>
    <x v="0"/>
    <x v="0"/>
    <x v="3"/>
    <x v="21"/>
    <n v="395410"/>
  </r>
  <r>
    <x v="370"/>
    <n v="392530"/>
    <x v="0"/>
    <x v="2"/>
    <s v="Updated HW SW Map for March Patch deployment"/>
    <x v="11"/>
    <n v="3"/>
    <x v="0"/>
    <m/>
    <s v="MUOS/Agile Teams/Cyber"/>
    <s v="Milzarski, Ted-P63490"/>
    <x v="6"/>
    <x v="0"/>
    <e v="#N/A"/>
    <x v="0"/>
    <x v="0"/>
    <x v="3"/>
    <x v="21"/>
    <n v="395425"/>
  </r>
  <r>
    <x v="371"/>
    <n v="392530"/>
    <x v="0"/>
    <x v="2"/>
    <s v="Release status report with metrics spreadsheet for March Deployment"/>
    <x v="11"/>
    <n v="2"/>
    <x v="0"/>
    <m/>
    <s v="MUOS/Agile Teams/Cyber"/>
    <s v="Burnett, Johnathan D"/>
    <x v="15"/>
    <x v="0"/>
    <e v="#N/A"/>
    <x v="0"/>
    <x v="0"/>
    <x v="3"/>
    <x v="21"/>
    <n v="395424"/>
  </r>
  <r>
    <x v="372"/>
    <n v="392530"/>
    <x v="0"/>
    <x v="2"/>
    <s v="March 2020 IA Patch Deployment"/>
    <x v="11"/>
    <n v="5"/>
    <x v="0"/>
    <m/>
    <s v="MUOS/Agile Teams/Cyber"/>
    <s v="Burnett, Johnathan D"/>
    <x v="15"/>
    <x v="0"/>
    <e v="#N/A"/>
    <x v="0"/>
    <x v="0"/>
    <x v="3"/>
    <x v="21"/>
    <n v="395407"/>
  </r>
  <r>
    <x v="373"/>
    <n v="392530"/>
    <x v="0"/>
    <x v="2"/>
    <s v="Feature 392530 - Create Patch Management Document (Part 1) 14.4"/>
    <x v="12"/>
    <n v="2"/>
    <x v="0"/>
    <m/>
    <s v="MUOS/Agile Teams/Cyber"/>
    <s v="Burnett, Johnathan D"/>
    <x v="15"/>
    <x v="0"/>
    <e v="#N/A"/>
    <x v="0"/>
    <x v="0"/>
    <x v="3"/>
    <x v="21"/>
    <n v="1016419"/>
  </r>
  <r>
    <x v="374"/>
    <n v="392530"/>
    <x v="0"/>
    <x v="2"/>
    <s v="Scan and review the patch findings from the site and SWIT and VLAB"/>
    <x v="12"/>
    <n v="3"/>
    <x v="0"/>
    <m/>
    <s v="MUOS/Agile Teams/Cyber"/>
    <s v="Burnett, Johnathan D"/>
    <x v="15"/>
    <x v="0"/>
    <e v="#N/A"/>
    <x v="0"/>
    <x v="0"/>
    <x v="3"/>
    <x v="21"/>
    <n v="395423"/>
  </r>
  <r>
    <x v="375"/>
    <n v="392530"/>
    <x v="0"/>
    <x v="2"/>
    <s v="May 2020 Patch Deployment - Develop and finalize candidate patch target list"/>
    <x v="12"/>
    <n v="3"/>
    <x v="0"/>
    <m/>
    <s v="MUOS/Agile Teams/Cyber"/>
    <s v="Burnett, Johnathan D"/>
    <x v="15"/>
    <x v="0"/>
    <e v="#N/A"/>
    <x v="0"/>
    <x v="0"/>
    <x v="3"/>
    <x v="21"/>
    <n v="395412"/>
  </r>
  <r>
    <x v="376"/>
    <n v="392530"/>
    <x v="0"/>
    <x v="2"/>
    <s v="Update Patch SVDs for with redlines from site and misc cleanup"/>
    <x v="12"/>
    <n v="2"/>
    <x v="0"/>
    <m/>
    <s v="MUOS/Agile Teams/Cyber"/>
    <s v="Garrison, David D"/>
    <x v="11"/>
    <x v="0"/>
    <e v="#N/A"/>
    <x v="0"/>
    <x v="0"/>
    <x v="3"/>
    <x v="21"/>
    <n v="395411"/>
  </r>
  <r>
    <x v="377"/>
    <n v="392530"/>
    <x v="0"/>
    <x v="2"/>
    <s v="Feature 392530 - Update Patch Management Document (Part 2) 14.5"/>
    <x v="13"/>
    <n v="1"/>
    <x v="0"/>
    <m/>
    <s v="MUOS/Agile Teams/Cyber"/>
    <s v="Burnett, Johnathan D"/>
    <x v="15"/>
    <x v="0"/>
    <e v="#N/A"/>
    <x v="0"/>
    <x v="0"/>
    <x v="3"/>
    <x v="21"/>
    <n v="1016420"/>
  </r>
  <r>
    <x v="378"/>
    <n v="392530"/>
    <x v="0"/>
    <x v="2"/>
    <s v="Complete SWIT testing For March Patches"/>
    <x v="13"/>
    <n v="2"/>
    <x v="0"/>
    <m/>
    <s v="MUOS/Agile Teams/Cyber"/>
    <s v="Burnett, Johnathan D"/>
    <x v="15"/>
    <x v="0"/>
    <e v="#N/A"/>
    <x v="0"/>
    <x v="0"/>
    <x v="3"/>
    <x v="21"/>
    <n v="395422"/>
  </r>
  <r>
    <x v="379"/>
    <n v="392530"/>
    <x v="0"/>
    <x v="2"/>
    <s v="Validate May Deployment Patches in SWIT/Vlab vs Site"/>
    <x v="13"/>
    <n v="2"/>
    <x v="0"/>
    <m/>
    <s v="MUOS/Agile Teams/Cyber"/>
    <s v="Burnett, Johnathan D"/>
    <x v="15"/>
    <x v="0"/>
    <e v="#N/A"/>
    <x v="0"/>
    <x v="0"/>
    <x v="3"/>
    <x v="21"/>
    <n v="395414"/>
  </r>
  <r>
    <x v="380"/>
    <n v="245560"/>
    <x v="1"/>
    <x v="2"/>
    <s v="Cyber IA Patching - PI 14 (Recurring)"/>
    <x v="13"/>
    <m/>
    <x v="2"/>
    <m/>
    <s v="MUOS/Agile Teams/Cyber"/>
    <s v="Burnett, Johnathan D"/>
    <x v="15"/>
    <x v="0"/>
    <e v="#N/A"/>
    <x v="0"/>
    <x v="1"/>
    <x v="3"/>
    <x v="21"/>
    <n v="0"/>
  </r>
  <r>
    <x v="381"/>
    <n v="395373"/>
    <x v="0"/>
    <x v="2"/>
    <s v="VMP: Development of an Operational Scan Plan- 14.1"/>
    <x v="9"/>
    <n v="3"/>
    <x v="0"/>
    <m/>
    <s v="MUOS/Agile Teams/Cyber"/>
    <s v="Corcoran, David G"/>
    <x v="3"/>
    <x v="0"/>
    <e v="#N/A"/>
    <x v="0"/>
    <x v="0"/>
    <x v="3"/>
    <x v="22"/>
    <n v="1008643"/>
  </r>
  <r>
    <x v="382"/>
    <n v="395373"/>
    <x v="0"/>
    <x v="2"/>
    <s v="Database IAVA Intake - 14.1"/>
    <x v="9"/>
    <n v="1"/>
    <x v="0"/>
    <m/>
    <s v="MUOS/Agile Teams/Cyber"/>
    <s v="Milzarski, Ted-P63490"/>
    <x v="6"/>
    <x v="0"/>
    <e v="#N/A"/>
    <x v="0"/>
    <x v="0"/>
    <x v="3"/>
    <x v="22"/>
    <n v="396635"/>
  </r>
  <r>
    <x v="383"/>
    <n v="395373"/>
    <x v="0"/>
    <x v="2"/>
    <s v="January Updates to IA Repository"/>
    <x v="9"/>
    <n v="2"/>
    <x v="0"/>
    <m/>
    <s v="MUOS/Agile Teams/Cyber"/>
    <s v="Milzarski, Ted-P63490"/>
    <x v="6"/>
    <x v="0"/>
    <e v="#N/A"/>
    <x v="0"/>
    <x v="0"/>
    <x v="3"/>
    <x v="22"/>
    <n v="395386"/>
  </r>
  <r>
    <x v="384"/>
    <n v="395373"/>
    <x v="0"/>
    <x v="2"/>
    <s v="Support Code Collaborator Reviews - 14.1"/>
    <x v="9"/>
    <n v="1"/>
    <x v="0"/>
    <m/>
    <s v="MUOS/Agile Teams/Cyber"/>
    <s v="Curtis, Chris B"/>
    <x v="7"/>
    <x v="0"/>
    <e v="#N/A"/>
    <x v="0"/>
    <x v="0"/>
    <x v="3"/>
    <x v="22"/>
    <n v="395381"/>
  </r>
  <r>
    <x v="385"/>
    <n v="395373"/>
    <x v="0"/>
    <x v="2"/>
    <s v="IAVA Intake - 14.1"/>
    <x v="9"/>
    <n v="2"/>
    <x v="0"/>
    <m/>
    <s v="MUOS/Agile Teams/Cyber"/>
    <s v="Morton, Randall-P57014"/>
    <x v="9"/>
    <x v="0"/>
    <e v="#N/A"/>
    <x v="0"/>
    <x v="0"/>
    <x v="3"/>
    <x v="22"/>
    <n v="395376"/>
  </r>
  <r>
    <x v="386"/>
    <n v="395373"/>
    <x v="0"/>
    <x v="2"/>
    <s v="Generate DTA Process Document for MUOS"/>
    <x v="10"/>
    <n v="5"/>
    <x v="0"/>
    <m/>
    <s v="MUOS/Agile Teams/Cyber"/>
    <s v="Corcoran, David G"/>
    <x v="3"/>
    <x v="0"/>
    <e v="#N/A"/>
    <x v="0"/>
    <x v="0"/>
    <x v="3"/>
    <x v="22"/>
    <n v="1008600"/>
  </r>
  <r>
    <x v="387"/>
    <n v="395373"/>
    <x v="0"/>
    <x v="2"/>
    <s v="Support PMW During ATO Approval Process - 14.2"/>
    <x v="10"/>
    <n v="1"/>
    <x v="0"/>
    <m/>
    <s v="MUOS/Agile Teams/Cyber"/>
    <s v="Garrison, David D"/>
    <x v="11"/>
    <x v="0"/>
    <e v="#N/A"/>
    <x v="0"/>
    <x v="0"/>
    <x v="3"/>
    <x v="22"/>
    <n v="1008033"/>
  </r>
  <r>
    <x v="388"/>
    <n v="395373"/>
    <x v="0"/>
    <x v="2"/>
    <s v="Database IAVA Intake - 14.2"/>
    <x v="10"/>
    <n v="1"/>
    <x v="0"/>
    <m/>
    <s v="MUOS/Agile Teams/Cyber"/>
    <s v="Milzarski, Ted-P63490"/>
    <x v="6"/>
    <x v="0"/>
    <e v="#N/A"/>
    <x v="0"/>
    <x v="0"/>
    <x v="3"/>
    <x v="22"/>
    <n v="396636"/>
  </r>
  <r>
    <x v="389"/>
    <n v="395373"/>
    <x v="0"/>
    <x v="2"/>
    <s v="Support Code Collaborator Reviews - 14.2"/>
    <x v="10"/>
    <n v="1"/>
    <x v="0"/>
    <m/>
    <s v="MUOS/Agile Teams/Cyber"/>
    <s v="Curtis, Chris B"/>
    <x v="7"/>
    <x v="0"/>
    <e v="#N/A"/>
    <x v="0"/>
    <x v="0"/>
    <x v="3"/>
    <x v="22"/>
    <n v="395382"/>
  </r>
  <r>
    <x v="390"/>
    <n v="395373"/>
    <x v="0"/>
    <x v="2"/>
    <s v="IAVA Intake - 14.2"/>
    <x v="10"/>
    <n v="2"/>
    <x v="0"/>
    <m/>
    <s v="MUOS/Agile Teams/Cyber"/>
    <s v="Morton, Randall-P57014"/>
    <x v="9"/>
    <x v="0"/>
    <e v="#N/A"/>
    <x v="0"/>
    <x v="0"/>
    <x v="3"/>
    <x v="22"/>
    <n v="395377"/>
  </r>
  <r>
    <x v="391"/>
    <n v="395373"/>
    <x v="0"/>
    <x v="2"/>
    <s v="Review DTA Process Document for MUOS (Feature 395373 Cyber Sustainment Activities)"/>
    <x v="11"/>
    <n v="3"/>
    <x v="0"/>
    <m/>
    <s v="MUOS/Agile Teams/Cyber"/>
    <s v="Corcoran, David G"/>
    <x v="3"/>
    <x v="0"/>
    <e v="#N/A"/>
    <x v="0"/>
    <x v="0"/>
    <x v="3"/>
    <x v="22"/>
    <n v="1012059"/>
  </r>
  <r>
    <x v="392"/>
    <n v="395373"/>
    <x v="0"/>
    <x v="2"/>
    <s v="VMP: Continue Developing the Operational Scan Plan - 14.3"/>
    <x v="11"/>
    <n v="3"/>
    <x v="0"/>
    <m/>
    <s v="MUOS/Agile Teams/Cyber"/>
    <s v="Garrison, David D"/>
    <x v="11"/>
    <x v="0"/>
    <e v="#N/A"/>
    <x v="0"/>
    <x v="0"/>
    <x v="3"/>
    <x v="22"/>
    <n v="1008645"/>
  </r>
  <r>
    <x v="393"/>
    <n v="395373"/>
    <x v="0"/>
    <x v="2"/>
    <s v="DADMS Compliance"/>
    <x v="11"/>
    <n v="3"/>
    <x v="1"/>
    <m/>
    <s v="MUOS/Agile Teams/Cyber"/>
    <s v="Corcoran, David G"/>
    <x v="3"/>
    <x v="0"/>
    <e v="#N/A"/>
    <x v="0"/>
    <x v="0"/>
    <x v="3"/>
    <x v="22"/>
    <n v="1008407"/>
  </r>
  <r>
    <x v="394"/>
    <n v="395373"/>
    <x v="0"/>
    <x v="2"/>
    <s v="VMP: Support PMW Comment Resolution - 14.3"/>
    <x v="11"/>
    <n v="3"/>
    <x v="1"/>
    <m/>
    <s v="MUOS/Agile Teams/Cyber"/>
    <s v="Corcoran, David G"/>
    <x v="3"/>
    <x v="0"/>
    <e v="#N/A"/>
    <x v="0"/>
    <x v="0"/>
    <x v="3"/>
    <x v="22"/>
    <n v="1008406"/>
  </r>
  <r>
    <x v="395"/>
    <n v="395373"/>
    <x v="0"/>
    <x v="2"/>
    <s v="Support PMW During ATO Approval Process - 14.3"/>
    <x v="11"/>
    <n v="1"/>
    <x v="0"/>
    <m/>
    <s v="MUOS/Agile Teams/Cyber"/>
    <s v="Garrison, David D"/>
    <x v="11"/>
    <x v="0"/>
    <e v="#N/A"/>
    <x v="0"/>
    <x v="0"/>
    <x v="3"/>
    <x v="22"/>
    <n v="1008034"/>
  </r>
  <r>
    <x v="396"/>
    <n v="395373"/>
    <x v="0"/>
    <x v="2"/>
    <s v="Database IAVA Intake - 14.3"/>
    <x v="11"/>
    <n v="1"/>
    <x v="0"/>
    <m/>
    <s v="MUOS/Agile Teams/Cyber"/>
    <s v="Milzarski, Ted-P63490"/>
    <x v="6"/>
    <x v="0"/>
    <e v="#N/A"/>
    <x v="0"/>
    <x v="0"/>
    <x v="3"/>
    <x v="22"/>
    <n v="396638"/>
  </r>
  <r>
    <x v="397"/>
    <n v="395373"/>
    <x v="0"/>
    <x v="2"/>
    <s v="February Updates to IA Repository"/>
    <x v="11"/>
    <n v="2"/>
    <x v="0"/>
    <m/>
    <s v="MUOS/Agile Teams/Cyber"/>
    <s v="Milzarski, Ted-P63490"/>
    <x v="6"/>
    <x v="0"/>
    <e v="#N/A"/>
    <x v="0"/>
    <x v="0"/>
    <x v="3"/>
    <x v="22"/>
    <n v="395387"/>
  </r>
  <r>
    <x v="398"/>
    <n v="395373"/>
    <x v="0"/>
    <x v="2"/>
    <s v="Support Code Collaborator Reviews - 14.3"/>
    <x v="11"/>
    <n v="1"/>
    <x v="0"/>
    <m/>
    <s v="MUOS/Agile Teams/Cyber"/>
    <s v="Curtis, Chris B"/>
    <x v="7"/>
    <x v="0"/>
    <e v="#N/A"/>
    <x v="0"/>
    <x v="0"/>
    <x v="3"/>
    <x v="22"/>
    <n v="395383"/>
  </r>
  <r>
    <x v="399"/>
    <n v="395373"/>
    <x v="0"/>
    <x v="2"/>
    <s v="IAVA Intake - 14.3"/>
    <x v="11"/>
    <n v="2"/>
    <x v="0"/>
    <m/>
    <s v="MUOS/Agile Teams/Cyber"/>
    <s v="Morton, Randall-P57014"/>
    <x v="9"/>
    <x v="0"/>
    <e v="#N/A"/>
    <x v="0"/>
    <x v="0"/>
    <x v="3"/>
    <x v="22"/>
    <n v="395378"/>
  </r>
  <r>
    <x v="400"/>
    <n v="395373"/>
    <x v="0"/>
    <x v="2"/>
    <s v="Collaborate on Scan Assessment Guidance document-Part 1 (Feature 395373 Cyber Sustainment Activities)"/>
    <x v="12"/>
    <n v="3"/>
    <x v="1"/>
    <m/>
    <s v="MUOS/Agile Teams/Cyber"/>
    <s v="Corcoran, David G"/>
    <x v="3"/>
    <x v="0"/>
    <e v="#N/A"/>
    <x v="0"/>
    <x v="0"/>
    <x v="3"/>
    <x v="22"/>
    <n v="1014880"/>
  </r>
  <r>
    <x v="401"/>
    <n v="395373"/>
    <x v="0"/>
    <x v="2"/>
    <s v="VMP: Support PMW-146 Review - 14.4"/>
    <x v="12"/>
    <n v="3"/>
    <x v="0"/>
    <m/>
    <s v="MUOS/Agile Teams/Cyber"/>
    <s v="Corcoran, David G"/>
    <x v="3"/>
    <x v="0"/>
    <e v="#N/A"/>
    <x v="0"/>
    <x v="0"/>
    <x v="3"/>
    <x v="22"/>
    <n v="1008646"/>
  </r>
  <r>
    <x v="402"/>
    <n v="395373"/>
    <x v="0"/>
    <x v="2"/>
    <s v="Support PMW During ATO Approval Process - 14.4"/>
    <x v="12"/>
    <n v="1"/>
    <x v="0"/>
    <m/>
    <s v="MUOS/Agile Teams/Cyber"/>
    <s v="Garrison, David D"/>
    <x v="11"/>
    <x v="0"/>
    <e v="#N/A"/>
    <x v="0"/>
    <x v="0"/>
    <x v="3"/>
    <x v="22"/>
    <n v="1008035"/>
  </r>
  <r>
    <x v="403"/>
    <n v="395373"/>
    <x v="0"/>
    <x v="2"/>
    <s v="Polatis Switch Rework"/>
    <x v="12"/>
    <n v="1"/>
    <x v="0"/>
    <m/>
    <s v="MUOS/Agile Teams/Cyber"/>
    <s v="Tang, Kent-P22339"/>
    <x v="16"/>
    <x v="0"/>
    <e v="#N/A"/>
    <x v="0"/>
    <x v="0"/>
    <x v="3"/>
    <x v="22"/>
    <n v="1008028"/>
  </r>
  <r>
    <x v="404"/>
    <n v="395373"/>
    <x v="0"/>
    <x v="2"/>
    <s v="Develop Scan Assessment Guidance document-Part 1 (Feature 395373 Cyber Sustainment Activities)"/>
    <x v="12"/>
    <n v="3"/>
    <x v="1"/>
    <m/>
    <s v="MUOS/Agile Teams/Cyber"/>
    <s v="Vaughn, Gerald D (NE)"/>
    <x v="12"/>
    <x v="0"/>
    <e v="#N/A"/>
    <x v="0"/>
    <x v="0"/>
    <x v="3"/>
    <x v="22"/>
    <n v="1008026"/>
  </r>
  <r>
    <x v="405"/>
    <n v="395373"/>
    <x v="0"/>
    <x v="2"/>
    <s v="Support Code Collaborator Reviews - 14.4"/>
    <x v="12"/>
    <n v="1"/>
    <x v="0"/>
    <m/>
    <s v="MUOS/Agile Teams/Cyber"/>
    <s v="Curtis, Chris B"/>
    <x v="7"/>
    <x v="0"/>
    <e v="#N/A"/>
    <x v="0"/>
    <x v="0"/>
    <x v="3"/>
    <x v="22"/>
    <n v="395384"/>
  </r>
  <r>
    <x v="406"/>
    <n v="395373"/>
    <x v="0"/>
    <x v="2"/>
    <s v="IAVA Intake - 14.4"/>
    <x v="12"/>
    <n v="2"/>
    <x v="0"/>
    <m/>
    <s v="MUOS/Agile Teams/Cyber"/>
    <s v="Morton, Randall-P57014"/>
    <x v="9"/>
    <x v="0"/>
    <e v="#N/A"/>
    <x v="0"/>
    <x v="0"/>
    <x v="3"/>
    <x v="22"/>
    <n v="395379"/>
  </r>
  <r>
    <x v="407"/>
    <n v="395373"/>
    <x v="0"/>
    <x v="2"/>
    <s v="IA Posture Improvement - AMS-GS Intermediate Assessment"/>
    <x v="13"/>
    <n v="3"/>
    <x v="1"/>
    <m/>
    <s v="MUOS/Agile Teams/Cyber"/>
    <s v="Curtis, Chris B"/>
    <x v="7"/>
    <x v="0"/>
    <e v="#N/A"/>
    <x v="0"/>
    <x v="0"/>
    <x v="3"/>
    <x v="22"/>
    <n v="1017295"/>
  </r>
  <r>
    <x v="408"/>
    <n v="395373"/>
    <x v="0"/>
    <x v="2"/>
    <s v="VMP: Update Scan Assessment Guidance document-Part 2b (Feature 395373 Cyber Sustainment Activities)"/>
    <x v="13"/>
    <n v="5"/>
    <x v="0"/>
    <m/>
    <s v="MUOS/Agile Teams/Cyber"/>
    <s v="Corcoran, David G"/>
    <x v="3"/>
    <x v="0"/>
    <e v="#N/A"/>
    <x v="0"/>
    <x v="0"/>
    <x v="3"/>
    <x v="22"/>
    <n v="1016831"/>
  </r>
  <r>
    <x v="409"/>
    <n v="395373"/>
    <x v="0"/>
    <x v="2"/>
    <s v="Develop Scan Assessment Guidance document-Part 2 (Feature 395373 Cyber Sustainment Activities)"/>
    <x v="13"/>
    <n v="2"/>
    <x v="1"/>
    <m/>
    <s v="MUOS/Agile Teams/Cyber"/>
    <s v="Vaughn, Gerald D (NE)"/>
    <x v="12"/>
    <x v="0"/>
    <e v="#N/A"/>
    <x v="0"/>
    <x v="0"/>
    <x v="3"/>
    <x v="22"/>
    <n v="1016222"/>
  </r>
  <r>
    <x v="410"/>
    <n v="395373"/>
    <x v="0"/>
    <x v="2"/>
    <s v="Baseline Image Management Process Document"/>
    <x v="13"/>
    <n v="5"/>
    <x v="0"/>
    <m/>
    <s v="MUOS/Agile Teams/Cyber"/>
    <s v="Corcoran, David G"/>
    <x v="3"/>
    <x v="0"/>
    <e v="#N/A"/>
    <x v="0"/>
    <x v="0"/>
    <x v="3"/>
    <x v="22"/>
    <n v="1014881"/>
  </r>
  <r>
    <x v="411"/>
    <n v="395373"/>
    <x v="0"/>
    <x v="2"/>
    <s v="Database IAVA Intake - 14.5"/>
    <x v="13"/>
    <n v="1"/>
    <x v="0"/>
    <m/>
    <s v="MUOS/Agile Teams/Cyber"/>
    <s v="Milzarski, Ted-P63490"/>
    <x v="6"/>
    <x v="0"/>
    <e v="#N/A"/>
    <x v="0"/>
    <x v="0"/>
    <x v="3"/>
    <x v="22"/>
    <n v="396640"/>
  </r>
  <r>
    <x v="412"/>
    <n v="395373"/>
    <x v="0"/>
    <x v="2"/>
    <s v="March Updates to IA Repository"/>
    <x v="13"/>
    <n v="2"/>
    <x v="0"/>
    <m/>
    <s v="MUOS/Agile Teams/Cyber"/>
    <s v="Milzarski, Ted-P63490"/>
    <x v="6"/>
    <x v="0"/>
    <e v="#N/A"/>
    <x v="0"/>
    <x v="0"/>
    <x v="3"/>
    <x v="22"/>
    <n v="395388"/>
  </r>
  <r>
    <x v="413"/>
    <n v="395373"/>
    <x v="0"/>
    <x v="2"/>
    <s v="Support Code Collaborator Reviews - 14.5"/>
    <x v="13"/>
    <n v="1"/>
    <x v="0"/>
    <m/>
    <s v="MUOS/Agile Teams/Cyber"/>
    <s v="Curtis, Chris B"/>
    <x v="7"/>
    <x v="0"/>
    <e v="#N/A"/>
    <x v="0"/>
    <x v="0"/>
    <x v="3"/>
    <x v="22"/>
    <n v="395385"/>
  </r>
  <r>
    <x v="414"/>
    <n v="395373"/>
    <x v="0"/>
    <x v="2"/>
    <s v="IAVA Intake - 14.5"/>
    <x v="13"/>
    <n v="2"/>
    <x v="0"/>
    <m/>
    <s v="MUOS/Agile Teams/Cyber"/>
    <s v="Morton, Randall-P57014"/>
    <x v="9"/>
    <x v="0"/>
    <e v="#N/A"/>
    <x v="0"/>
    <x v="0"/>
    <x v="3"/>
    <x v="22"/>
    <n v="395380"/>
  </r>
  <r>
    <x v="415"/>
    <n v="245560"/>
    <x v="1"/>
    <x v="2"/>
    <s v="Cyber Sustainment Activities - PI 14 (Recurring)"/>
    <x v="13"/>
    <m/>
    <x v="1"/>
    <m/>
    <s v="MUOS/Agile Teams/Cyber"/>
    <s v="Johnson, Derek T"/>
    <x v="2"/>
    <x v="0"/>
    <e v="#N/A"/>
    <x v="0"/>
    <x v="1"/>
    <x v="3"/>
    <x v="22"/>
    <n v="0"/>
  </r>
  <r>
    <x v="416"/>
    <n v="395688"/>
    <x v="0"/>
    <x v="2"/>
    <s v="Support PMW Emergent Data Calls - 15.1"/>
    <x v="14"/>
    <n v="1"/>
    <x v="0"/>
    <m/>
    <s v="MUOS/Agile Teams/Cyber"/>
    <s v="Burnett, Johnathan D"/>
    <x v="15"/>
    <x v="0"/>
    <n v="3"/>
    <x v="0"/>
    <x v="0"/>
    <x v="3"/>
    <x v="23"/>
    <n v="1018613"/>
  </r>
  <r>
    <x v="417"/>
    <n v="395688"/>
    <x v="0"/>
    <x v="2"/>
    <s v="_x000a_Investigate Jan 2020 Oracle/Solaris Patches"/>
    <x v="14"/>
    <n v="3"/>
    <x v="0"/>
    <m/>
    <s v="MUOS/Agile Teams/Cyber"/>
    <s v="Dewberry, Kirk M"/>
    <x v="23"/>
    <x v="0"/>
    <n v="3"/>
    <x v="0"/>
    <x v="0"/>
    <x v="3"/>
    <x v="23"/>
    <n v="1018174"/>
  </r>
  <r>
    <x v="418"/>
    <n v="395688"/>
    <x v="0"/>
    <x v="2"/>
    <s v="Download patches, and update patching script Part B"/>
    <x v="14"/>
    <n v="1"/>
    <x v="0"/>
    <m/>
    <s v="MUOS/Agile Teams/Cyber"/>
    <s v="Dewberry, Kirk M"/>
    <x v="23"/>
    <x v="0"/>
    <n v="3"/>
    <x v="0"/>
    <x v="0"/>
    <x v="3"/>
    <x v="23"/>
    <n v="1017752"/>
  </r>
  <r>
    <x v="419"/>
    <n v="395688"/>
    <x v="0"/>
    <x v="2"/>
    <s v="Download patches, and update patching script Part A"/>
    <x v="14"/>
    <n v="1"/>
    <x v="0"/>
    <m/>
    <s v="MUOS/Agile Teams/Cyber"/>
    <s v="Burnett, Johnathan D"/>
    <x v="15"/>
    <x v="0"/>
    <n v="3"/>
    <x v="0"/>
    <x v="0"/>
    <x v="3"/>
    <x v="23"/>
    <n v="1017751"/>
  </r>
  <r>
    <x v="420"/>
    <n v="395688"/>
    <x v="0"/>
    <x v="2"/>
    <s v="Complete SWIT Testing for May Deployment"/>
    <x v="14"/>
    <n v="3"/>
    <x v="0"/>
    <m/>
    <s v="MUOS/Agile Teams/Cyber"/>
    <s v="Dewberry, Kirk M"/>
    <x v="23"/>
    <x v="0"/>
    <n v="3"/>
    <x v="0"/>
    <x v="0"/>
    <x v="3"/>
    <x v="23"/>
    <n v="1014505"/>
  </r>
  <r>
    <x v="421"/>
    <n v="395688"/>
    <x v="0"/>
    <x v="2"/>
    <s v="Updated HW SW Map for May Patch deployment Part A"/>
    <x v="14"/>
    <n v="2"/>
    <x v="0"/>
    <m/>
    <s v="MUOS/Agile Teams/Cyber"/>
    <s v="Burnett, Johnathan D"/>
    <x v="15"/>
    <x v="0"/>
    <n v="3"/>
    <x v="0"/>
    <x v="0"/>
    <x v="3"/>
    <x v="23"/>
    <n v="395713"/>
  </r>
  <r>
    <x v="422"/>
    <n v="395688"/>
    <x v="0"/>
    <x v="2"/>
    <s v="Complete SWIT Testing for May Deployment"/>
    <x v="14"/>
    <n v="5"/>
    <x v="0"/>
    <m/>
    <s v="MUOS/Agile Teams/Cyber"/>
    <s v="Burnett, Johnathan D"/>
    <x v="15"/>
    <x v="0"/>
    <n v="3"/>
    <x v="0"/>
    <x v="0"/>
    <x v="3"/>
    <x v="23"/>
    <n v="395704"/>
  </r>
  <r>
    <x v="423"/>
    <n v="395688"/>
    <x v="0"/>
    <x v="2"/>
    <s v="Complete VlabTesting for May Deployment"/>
    <x v="15"/>
    <n v="2"/>
    <x v="0"/>
    <s v="#395704"/>
    <s v="MUOS/Agile Teams/Cyber"/>
    <s v="Burnett, Johnathan D"/>
    <x v="15"/>
    <x v="0"/>
    <n v="3"/>
    <x v="0"/>
    <x v="0"/>
    <x v="3"/>
    <x v="23"/>
    <n v="1020149"/>
  </r>
  <r>
    <x v="424"/>
    <n v="395688"/>
    <x v="0"/>
    <x v="2"/>
    <s v="Complete VlabTesting for May Deployment"/>
    <x v="15"/>
    <n v="2"/>
    <x v="0"/>
    <s v="#1014505"/>
    <s v="MUOS/Agile Teams/Cyber"/>
    <s v="Dewberry, Kirk M"/>
    <x v="23"/>
    <x v="0"/>
    <n v="3"/>
    <x v="0"/>
    <x v="0"/>
    <x v="3"/>
    <x v="23"/>
    <n v="1020148"/>
  </r>
  <r>
    <x v="425"/>
    <n v="395688"/>
    <x v="0"/>
    <x v="2"/>
    <s v="Support PMW Emergent Data Calls - 15.2"/>
    <x v="15"/>
    <n v="1"/>
    <x v="0"/>
    <m/>
    <s v="MUOS/Agile Teams/Cyber"/>
    <s v="Burnett, Johnathan D"/>
    <x v="15"/>
    <x v="0"/>
    <n v="3"/>
    <x v="0"/>
    <x v="0"/>
    <x v="3"/>
    <x v="23"/>
    <n v="1018614"/>
  </r>
  <r>
    <x v="426"/>
    <n v="395688"/>
    <x v="0"/>
    <x v="2"/>
    <s v="Investigate/Test Jan 2020 Oracle/Solaris Patches"/>
    <x v="15"/>
    <n v="2"/>
    <x v="0"/>
    <m/>
    <s v="MUOS/Agile Teams/Cyber"/>
    <s v="Dewberry, Kirk M"/>
    <x v="23"/>
    <x v="0"/>
    <n v="3"/>
    <x v="0"/>
    <x v="0"/>
    <x v="3"/>
    <x v="23"/>
    <n v="1018344"/>
  </r>
  <r>
    <x v="427"/>
    <n v="395688"/>
    <x v="0"/>
    <x v="2"/>
    <s v="Update Patch Management Plan document"/>
    <x v="15"/>
    <n v="1"/>
    <x v="0"/>
    <m/>
    <s v="MUOS/Agile Teams/Cyber"/>
    <s v="Burnett, Johnathan D"/>
    <x v="15"/>
    <x v="0"/>
    <n v="3"/>
    <x v="0"/>
    <x v="0"/>
    <x v="3"/>
    <x v="23"/>
    <n v="1018343"/>
  </r>
  <r>
    <x v="428"/>
    <n v="395688"/>
    <x v="0"/>
    <x v="2"/>
    <s v="Cross-training: Create patch bundle,  measure/sign and formally release  to CM with final  script, download bundle to protected laptop"/>
    <x v="15"/>
    <n v="3"/>
    <x v="0"/>
    <m/>
    <s v="MUOS/Agile Teams/Cyber"/>
    <s v="Dewberry, Kirk M"/>
    <x v="23"/>
    <x v="0"/>
    <n v="3"/>
    <x v="0"/>
    <x v="0"/>
    <x v="3"/>
    <x v="23"/>
    <n v="1014504"/>
  </r>
  <r>
    <x v="429"/>
    <n v="395688"/>
    <x v="0"/>
    <x v="2"/>
    <s v="Cross-training (Kirk D): Create patch bundle,  measure/sign and formally release  to CM with final  script, download bundle to protected laptop"/>
    <x v="15"/>
    <n v="3"/>
    <x v="0"/>
    <m/>
    <s v="MUOS/Agile Teams/Cyber"/>
    <s v="Burnett, Johnathan D"/>
    <x v="15"/>
    <x v="0"/>
    <n v="3"/>
    <x v="0"/>
    <x v="0"/>
    <x v="3"/>
    <x v="23"/>
    <n v="395703"/>
  </r>
  <r>
    <x v="430"/>
    <n v="395688"/>
    <x v="0"/>
    <x v="2"/>
    <s v="Support PMW Emergent Data Calls - 15.3"/>
    <x v="16"/>
    <n v="1"/>
    <x v="0"/>
    <m/>
    <s v="MUOS/Agile Teams/Cyber"/>
    <s v="Burnett, Johnathan D"/>
    <x v="15"/>
    <x v="0"/>
    <n v="3"/>
    <x v="0"/>
    <x v="0"/>
    <x v="3"/>
    <x v="23"/>
    <n v="1018615"/>
  </r>
  <r>
    <x v="431"/>
    <n v="395688"/>
    <x v="0"/>
    <x v="2"/>
    <s v="Dry Run May 2020 IA Patch Deployment Part B"/>
    <x v="16"/>
    <n v="3"/>
    <x v="0"/>
    <m/>
    <s v="MUOS/Agile Teams/Cyber"/>
    <s v="Dewberry, Kirk M"/>
    <x v="23"/>
    <x v="0"/>
    <n v="3"/>
    <x v="0"/>
    <x v="0"/>
    <x v="3"/>
    <x v="23"/>
    <n v="1014500"/>
  </r>
  <r>
    <x v="432"/>
    <n v="395688"/>
    <x v="0"/>
    <x v="2"/>
    <s v="Dry Run May 2020 IA Patch Deployment Part A"/>
    <x v="16"/>
    <n v="3"/>
    <x v="0"/>
    <m/>
    <s v="MUOS/Agile Teams/Cyber"/>
    <s v="Burnett, Johnathan D"/>
    <x v="15"/>
    <x v="0"/>
    <n v="3"/>
    <x v="0"/>
    <x v="0"/>
    <x v="3"/>
    <x v="23"/>
    <n v="395692"/>
  </r>
  <r>
    <x v="433"/>
    <n v="395688"/>
    <x v="0"/>
    <x v="2"/>
    <s v="Investigate and test Solaris 10 patches for July deployment."/>
    <x v="17"/>
    <n v="2"/>
    <x v="0"/>
    <m/>
    <s v="MUOS/Agile Teams/Cyber"/>
    <s v="Dewberry, Kirk M"/>
    <x v="23"/>
    <x v="0"/>
    <n v="3"/>
    <x v="0"/>
    <x v="0"/>
    <x v="3"/>
    <x v="23"/>
    <n v="1022762"/>
  </r>
  <r>
    <x v="434"/>
    <n v="395688"/>
    <x v="0"/>
    <x v="2"/>
    <s v="Support PMW Emergent Data Calls - 15.4"/>
    <x v="17"/>
    <n v="1"/>
    <x v="0"/>
    <m/>
    <s v="MUOS/Agile Teams/Cyber"/>
    <s v="Burnett, Johnathan D"/>
    <x v="15"/>
    <x v="0"/>
    <n v="3"/>
    <x v="0"/>
    <x v="0"/>
    <x v="3"/>
    <x v="23"/>
    <n v="1018616"/>
  </r>
  <r>
    <x v="435"/>
    <n v="395688"/>
    <x v="0"/>
    <x v="2"/>
    <s v="Support Deploy of January Solaris Patches to Target Hosts"/>
    <x v="17"/>
    <n v="1"/>
    <x v="0"/>
    <m/>
    <s v="MUOS/Agile Teams/TOFF"/>
    <s v="Roberts, Shawn-P56361"/>
    <x v="24"/>
    <x v="6"/>
    <n v="3"/>
    <x v="0"/>
    <x v="0"/>
    <x v="3"/>
    <x v="23"/>
    <n v="1018177"/>
  </r>
  <r>
    <x v="436"/>
    <n v="395688"/>
    <x v="0"/>
    <x v="2"/>
    <s v="July 2020 Patch Deployment - Develop and finalize candidate patch target list Part A"/>
    <x v="17"/>
    <n v="3"/>
    <x v="0"/>
    <m/>
    <s v="MUOS/Agile Teams/Cyber"/>
    <s v="Dewberry, Kirk M"/>
    <x v="23"/>
    <x v="0"/>
    <n v="3"/>
    <x v="0"/>
    <x v="0"/>
    <x v="3"/>
    <x v="23"/>
    <n v="1014501"/>
  </r>
  <r>
    <x v="437"/>
    <n v="395688"/>
    <x v="0"/>
    <x v="2"/>
    <s v="Scan and review the patch findings from the site and SWIT and VLAB Part A"/>
    <x v="17"/>
    <n v="2"/>
    <x v="0"/>
    <m/>
    <s v="MUOS/Agile Teams/Cyber"/>
    <s v="Burnett, Johnathan D"/>
    <x v="15"/>
    <x v="0"/>
    <n v="3"/>
    <x v="0"/>
    <x v="0"/>
    <x v="3"/>
    <x v="23"/>
    <n v="395698"/>
  </r>
  <r>
    <x v="438"/>
    <n v="395688"/>
    <x v="0"/>
    <x v="2"/>
    <s v="July 2020 Patch Deployment - Develop and finalize candidate patch target list Part B"/>
    <x v="17"/>
    <n v="3"/>
    <x v="0"/>
    <m/>
    <s v="MUOS/Agile Teams/Cyber"/>
    <s v="Burnett, Johnathan D"/>
    <x v="15"/>
    <x v="0"/>
    <n v="3"/>
    <x v="0"/>
    <x v="0"/>
    <x v="3"/>
    <x v="23"/>
    <n v="395696"/>
  </r>
  <r>
    <x v="439"/>
    <n v="395688"/>
    <x v="0"/>
    <x v="0"/>
    <s v="Support PMW Emergent Data Calls - 15.5"/>
    <x v="18"/>
    <n v="1"/>
    <x v="0"/>
    <m/>
    <s v="MUOS/Agile Teams/Cyber"/>
    <s v="Burnett, Johnathan D"/>
    <x v="15"/>
    <x v="0"/>
    <n v="3"/>
    <x v="0"/>
    <x v="0"/>
    <x v="3"/>
    <x v="23"/>
    <n v="1018617"/>
  </r>
  <r>
    <x v="440"/>
    <n v="395688"/>
    <x v="0"/>
    <x v="0"/>
    <s v="Download May and June patches, and update patching script Part B"/>
    <x v="18"/>
    <n v="2"/>
    <x v="0"/>
    <m/>
    <s v="MUOS/Agile Teams/Cyber"/>
    <s v="Burnett, Johnathan D"/>
    <x v="15"/>
    <x v="0"/>
    <n v="3"/>
    <x v="0"/>
    <x v="0"/>
    <x v="3"/>
    <x v="23"/>
    <n v="1017882"/>
  </r>
  <r>
    <x v="441"/>
    <n v="395688"/>
    <x v="0"/>
    <x v="0"/>
    <s v="Update Node Config for IA patches Part B"/>
    <x v="18"/>
    <n v="1"/>
    <x v="0"/>
    <m/>
    <s v="MUOS/Agile Teams/Cyber"/>
    <s v="Dewberry, Kirk M"/>
    <x v="23"/>
    <x v="0"/>
    <n v="3"/>
    <x v="0"/>
    <x v="0"/>
    <x v="3"/>
    <x v="23"/>
    <n v="1017768"/>
  </r>
  <r>
    <x v="442"/>
    <n v="395688"/>
    <x v="0"/>
    <x v="0"/>
    <s v="Complete SWIT testing for May and June Patches Part A"/>
    <x v="18"/>
    <n v="3"/>
    <x v="0"/>
    <m/>
    <s v="MUOS/Agile Teams/Cyber"/>
    <s v="Dewberry, Kirk M"/>
    <x v="23"/>
    <x v="0"/>
    <n v="3"/>
    <x v="0"/>
    <x v="0"/>
    <x v="3"/>
    <x v="23"/>
    <n v="1014507"/>
  </r>
  <r>
    <x v="443"/>
    <n v="395688"/>
    <x v="0"/>
    <x v="0"/>
    <s v="Download May and June patches, and update patching script Part A"/>
    <x v="18"/>
    <n v="2"/>
    <x v="0"/>
    <m/>
    <s v="MUOS/Agile Teams/Cyber"/>
    <s v="Dewberry, Kirk M"/>
    <x v="23"/>
    <x v="0"/>
    <n v="3"/>
    <x v="0"/>
    <x v="0"/>
    <x v="3"/>
    <x v="23"/>
    <n v="1014506"/>
  </r>
  <r>
    <x v="444"/>
    <n v="395688"/>
    <x v="0"/>
    <x v="0"/>
    <s v="Validate May and July Patches in SWIT/Vlab vs Site Part A"/>
    <x v="18"/>
    <n v="2"/>
    <x v="0"/>
    <m/>
    <s v="MUOS/Agile Teams/Cyber"/>
    <s v="Dewberry, Kirk M"/>
    <x v="23"/>
    <x v="0"/>
    <n v="3"/>
    <x v="0"/>
    <x v="0"/>
    <x v="3"/>
    <x v="23"/>
    <n v="1014503"/>
  </r>
  <r>
    <x v="445"/>
    <n v="395688"/>
    <x v="0"/>
    <x v="0"/>
    <s v="Scan and review the patch findings from the site and SWIT and VLAB Part B"/>
    <x v="18"/>
    <n v="2"/>
    <x v="0"/>
    <m/>
    <s v="MUOS/Agile Teams/Cyber"/>
    <s v="Dewberry, Kirk M"/>
    <x v="23"/>
    <x v="0"/>
    <n v="3"/>
    <x v="0"/>
    <x v="0"/>
    <x v="3"/>
    <x v="23"/>
    <n v="1014502"/>
  </r>
  <r>
    <x v="446"/>
    <n v="395688"/>
    <x v="0"/>
    <x v="0"/>
    <s v="Complete SWIT testing for May and June Patches Part B"/>
    <x v="18"/>
    <n v="3"/>
    <x v="0"/>
    <m/>
    <s v="MUOS/Agile Teams/Cyber"/>
    <s v="Burnett, Johnathan D"/>
    <x v="15"/>
    <x v="0"/>
    <n v="3"/>
    <x v="0"/>
    <x v="0"/>
    <x v="3"/>
    <x v="23"/>
    <n v="395709"/>
  </r>
  <r>
    <x v="447"/>
    <n v="395688"/>
    <x v="0"/>
    <x v="0"/>
    <s v="Update Node Config for IA patches Part A"/>
    <x v="18"/>
    <n v="1"/>
    <x v="0"/>
    <m/>
    <s v="MUOS/Agile Teams/Cyber"/>
    <s v="Burnett, Johnathan D"/>
    <x v="15"/>
    <x v="0"/>
    <n v="3"/>
    <x v="0"/>
    <x v="0"/>
    <x v="3"/>
    <x v="23"/>
    <n v="395701"/>
  </r>
  <r>
    <x v="448"/>
    <n v="395688"/>
    <x v="0"/>
    <x v="0"/>
    <s v="Validate May and July Patches in SWIT/Vlab vs Site Part B"/>
    <x v="18"/>
    <n v="2"/>
    <x v="0"/>
    <m/>
    <s v="MUOS/Agile Teams/Cyber"/>
    <s v="Burnett, Johnathan D"/>
    <x v="15"/>
    <x v="0"/>
    <n v="3"/>
    <x v="0"/>
    <x v="0"/>
    <x v="3"/>
    <x v="23"/>
    <n v="395699"/>
  </r>
  <r>
    <x v="449"/>
    <n v="245560"/>
    <x v="1"/>
    <x v="3"/>
    <s v="Cyber: TO3 IA Patching - PI 15 (Recurring)"/>
    <x v="18"/>
    <m/>
    <x v="2"/>
    <m/>
    <s v="MUOS/Agile Teams/Cyber"/>
    <s v="Burnett, Johnathan D"/>
    <x v="15"/>
    <x v="0"/>
    <n v="3"/>
    <x v="0"/>
    <x v="1"/>
    <x v="3"/>
    <x v="23"/>
    <n v="0"/>
  </r>
  <r>
    <x v="450"/>
    <n v="395835"/>
    <x v="0"/>
    <x v="2"/>
    <s v="Support application review for DADMs applicability - 14.1"/>
    <x v="9"/>
    <n v="1"/>
    <x v="0"/>
    <m/>
    <s v="MUOS/Agile Teams/Cyber"/>
    <s v="Corcoran, David G"/>
    <x v="3"/>
    <x v="0"/>
    <e v="#N/A"/>
    <x v="0"/>
    <x v="0"/>
    <x v="3"/>
    <x v="24"/>
    <n v="1008622"/>
  </r>
  <r>
    <x v="451"/>
    <n v="395835"/>
    <x v="0"/>
    <x v="2"/>
    <s v="Support application review for DADMs applicability - 14.2"/>
    <x v="10"/>
    <n v="1"/>
    <x v="0"/>
    <m/>
    <s v="MUOS/Agile Teams/Cyber"/>
    <s v="Corcoran, David G"/>
    <x v="3"/>
    <x v="0"/>
    <e v="#N/A"/>
    <x v="0"/>
    <x v="0"/>
    <x v="3"/>
    <x v="24"/>
    <n v="395837"/>
  </r>
  <r>
    <x v="452"/>
    <n v="395835"/>
    <x v="0"/>
    <x v="2"/>
    <s v="Support application review for DADMs applicability - 14.4"/>
    <x v="12"/>
    <n v="1"/>
    <x v="0"/>
    <m/>
    <s v="MUOS/Agile Teams/Cyber"/>
    <s v="Corcoran, David G"/>
    <x v="3"/>
    <x v="0"/>
    <e v="#N/A"/>
    <x v="0"/>
    <x v="0"/>
    <x v="3"/>
    <x v="24"/>
    <n v="395839"/>
  </r>
  <r>
    <x v="453"/>
    <n v="395835"/>
    <x v="0"/>
    <x v="2"/>
    <s v="Generate and review with customer MFR for EAD 16.0"/>
    <x v="13"/>
    <n v="2"/>
    <x v="0"/>
    <m/>
    <s v="MUOS/Agile Teams/Cyber"/>
    <s v="Corcoran, David G"/>
    <x v="3"/>
    <x v="0"/>
    <e v="#N/A"/>
    <x v="0"/>
    <x v="0"/>
    <x v="3"/>
    <x v="24"/>
    <n v="395846"/>
  </r>
  <r>
    <x v="454"/>
    <n v="395835"/>
    <x v="0"/>
    <x v="2"/>
    <s v="Update SP Supplement for EAD 16.0 Content"/>
    <x v="13"/>
    <n v="1"/>
    <x v="0"/>
    <m/>
    <s v="MUOS/Agile Teams/Cyber"/>
    <s v="Morton, Randall-P57014"/>
    <x v="9"/>
    <x v="0"/>
    <e v="#N/A"/>
    <x v="0"/>
    <x v="0"/>
    <x v="3"/>
    <x v="24"/>
    <n v="395843"/>
  </r>
  <r>
    <x v="455"/>
    <n v="245560"/>
    <x v="1"/>
    <x v="2"/>
    <s v="Cyber MFR Support - PI 14 (Recurring)"/>
    <x v="13"/>
    <m/>
    <x v="1"/>
    <m/>
    <s v="MUOS/Agile Teams/Cyber"/>
    <s v="Corcoran, David G"/>
    <x v="3"/>
    <x v="0"/>
    <e v="#N/A"/>
    <x v="0"/>
    <x v="1"/>
    <x v="3"/>
    <x v="24"/>
    <n v="0"/>
  </r>
  <r>
    <x v="456"/>
    <n v="395853"/>
    <x v="0"/>
    <x v="2"/>
    <s v="Update DADMS Disapproved Spreadsheet"/>
    <x v="14"/>
    <n v="5"/>
    <x v="0"/>
    <m/>
    <s v="MUOS/Agile Teams/Cyber"/>
    <s v="Corcoran, David G"/>
    <x v="3"/>
    <x v="0"/>
    <n v="2"/>
    <x v="0"/>
    <x v="0"/>
    <x v="3"/>
    <x v="25"/>
    <n v="1015885"/>
  </r>
  <r>
    <x v="457"/>
    <n v="395853"/>
    <x v="0"/>
    <x v="2"/>
    <s v="Support application review for DADMs applicability - 15.1"/>
    <x v="14"/>
    <n v="1"/>
    <x v="0"/>
    <m/>
    <s v="MUOS/Agile Teams/Cyber"/>
    <s v="Garrison, David D"/>
    <x v="11"/>
    <x v="0"/>
    <n v="2"/>
    <x v="0"/>
    <x v="0"/>
    <x v="3"/>
    <x v="25"/>
    <n v="395876"/>
  </r>
  <r>
    <x v="458"/>
    <n v="395853"/>
    <x v="0"/>
    <x v="2"/>
    <s v="Support application review for DADMs applicability - 15.2"/>
    <x v="15"/>
    <n v="1"/>
    <x v="0"/>
    <m/>
    <s v="MUOS/Agile Teams/Cyber"/>
    <s v="Garrison, David D"/>
    <x v="11"/>
    <x v="0"/>
    <n v="2"/>
    <x v="0"/>
    <x v="0"/>
    <x v="3"/>
    <x v="25"/>
    <n v="395877"/>
  </r>
  <r>
    <x v="459"/>
    <n v="395853"/>
    <x v="0"/>
    <x v="2"/>
    <s v="MFR EAD 17 Support - Continuing Support"/>
    <x v="16"/>
    <n v="2"/>
    <x v="0"/>
    <m/>
    <s v="MUOS/Agile Teams/Cyber"/>
    <s v="Corcoran, David G"/>
    <x v="3"/>
    <x v="0"/>
    <n v="2"/>
    <x v="0"/>
    <x v="0"/>
    <x v="3"/>
    <x v="25"/>
    <n v="395895"/>
  </r>
  <r>
    <x v="460"/>
    <n v="395853"/>
    <x v="0"/>
    <x v="2"/>
    <s v="Support EAD-18 Due Diligence Cyber Assessments"/>
    <x v="16"/>
    <n v="3"/>
    <x v="0"/>
    <m/>
    <s v="MUOS/Agile Teams/Cyber"/>
    <s v="Corcoran, David G"/>
    <x v="3"/>
    <x v="0"/>
    <n v="2"/>
    <x v="0"/>
    <x v="0"/>
    <x v="3"/>
    <x v="25"/>
    <n v="395886"/>
  </r>
  <r>
    <x v="461"/>
    <n v="395853"/>
    <x v="0"/>
    <x v="2"/>
    <s v="Support application review for DADMs applicability - 15.3"/>
    <x v="16"/>
    <n v="1"/>
    <x v="0"/>
    <m/>
    <s v="MUOS/Agile Teams/Cyber"/>
    <s v="Corcoran, David G"/>
    <x v="3"/>
    <x v="0"/>
    <n v="2"/>
    <x v="0"/>
    <x v="0"/>
    <x v="3"/>
    <x v="25"/>
    <n v="395878"/>
  </r>
  <r>
    <x v="462"/>
    <n v="395853"/>
    <x v="0"/>
    <x v="2"/>
    <s v="Generate and review with customer MFR for EAD 17.0 (Part 1)"/>
    <x v="17"/>
    <n v="1"/>
    <x v="0"/>
    <m/>
    <s v="MUOS/Agile Teams/Cyber"/>
    <s v="Corcoran, David G"/>
    <x v="3"/>
    <x v="0"/>
    <n v="2"/>
    <x v="0"/>
    <x v="0"/>
    <x v="3"/>
    <x v="25"/>
    <n v="395884"/>
  </r>
  <r>
    <x v="463"/>
    <n v="395853"/>
    <x v="0"/>
    <x v="2"/>
    <s v="Support application review for DADMs applicability - 15.4"/>
    <x v="17"/>
    <n v="1"/>
    <x v="0"/>
    <m/>
    <s v="MUOS/Agile Teams/Cyber"/>
    <s v="Garrison, David D"/>
    <x v="11"/>
    <x v="0"/>
    <n v="2"/>
    <x v="0"/>
    <x v="0"/>
    <x v="3"/>
    <x v="25"/>
    <n v="395880"/>
  </r>
  <r>
    <x v="464"/>
    <n v="395853"/>
    <x v="0"/>
    <x v="0"/>
    <s v="Generate and review with customer MFR for EAD 17.0 (Part 2)"/>
    <x v="18"/>
    <n v="2"/>
    <x v="0"/>
    <m/>
    <s v="MUOS/Agile Teams/Cyber"/>
    <s v="Corcoran, David G"/>
    <x v="3"/>
    <x v="0"/>
    <n v="2"/>
    <x v="0"/>
    <x v="0"/>
    <x v="3"/>
    <x v="25"/>
    <n v="1018029"/>
  </r>
  <r>
    <x v="465"/>
    <n v="395853"/>
    <x v="0"/>
    <x v="0"/>
    <s v="Update SP Supplement for EAD 17.0 Content"/>
    <x v="18"/>
    <n v="3"/>
    <x v="0"/>
    <m/>
    <s v="MUOS/Agile Teams/Cyber"/>
    <s v="Morton, Randall-P57014"/>
    <x v="9"/>
    <x v="0"/>
    <n v="2"/>
    <x v="0"/>
    <x v="0"/>
    <x v="3"/>
    <x v="25"/>
    <n v="395894"/>
  </r>
  <r>
    <x v="466"/>
    <n v="395853"/>
    <x v="0"/>
    <x v="0"/>
    <s v="Update and review with customer MFR for EAD 17.0"/>
    <x v="18"/>
    <n v="3"/>
    <x v="0"/>
    <m/>
    <s v="MUOS/Agile Teams/Cyber"/>
    <s v="Corcoran, David G"/>
    <x v="3"/>
    <x v="0"/>
    <n v="2"/>
    <x v="0"/>
    <x v="0"/>
    <x v="3"/>
    <x v="25"/>
    <n v="395893"/>
  </r>
  <r>
    <x v="467"/>
    <n v="395853"/>
    <x v="0"/>
    <x v="3"/>
    <s v="Support application review for DADMs applicability - 15.5"/>
    <x v="18"/>
    <n v="1"/>
    <x v="0"/>
    <m/>
    <s v="MUOS/Agile Teams/Cyber"/>
    <s v="Garrison, David D"/>
    <x v="11"/>
    <x v="0"/>
    <n v="2"/>
    <x v="0"/>
    <x v="0"/>
    <x v="3"/>
    <x v="25"/>
    <n v="395881"/>
  </r>
  <r>
    <x v="468"/>
    <n v="245560"/>
    <x v="1"/>
    <x v="3"/>
    <s v="Cyber: MFR Deployment Support - PI 15 (Recurring)"/>
    <x v="18"/>
    <m/>
    <x v="1"/>
    <m/>
    <s v="MUOS/Agile Teams/Cyber"/>
    <s v="Corcoran, David G"/>
    <x v="3"/>
    <x v="0"/>
    <n v="2"/>
    <x v="0"/>
    <x v="1"/>
    <x v="3"/>
    <x v="25"/>
    <n v="0"/>
  </r>
  <r>
    <x v="469"/>
    <n v="395897"/>
    <x v="0"/>
    <x v="2"/>
    <s v="Support PMW as Needed - 15.1"/>
    <x v="14"/>
    <n v="1"/>
    <x v="0"/>
    <m/>
    <s v="MUOS/Agile Teams/Cyber"/>
    <s v="Curtis, Chris B"/>
    <x v="7"/>
    <x v="0"/>
    <n v="4"/>
    <x v="0"/>
    <x v="0"/>
    <x v="3"/>
    <x v="26"/>
    <n v="1018364"/>
  </r>
  <r>
    <x v="470"/>
    <n v="395897"/>
    <x v="0"/>
    <x v="2"/>
    <s v="Map Patches to Hostnames - 15.1"/>
    <x v="14"/>
    <n v="3"/>
    <x v="0"/>
    <m/>
    <s v="MUOS/Agile Teams/Cyber"/>
    <s v="Tang, Kent-P22339"/>
    <x v="16"/>
    <x v="0"/>
    <n v="4"/>
    <x v="0"/>
    <x v="0"/>
    <x v="3"/>
    <x v="26"/>
    <n v="1018203"/>
  </r>
  <r>
    <x v="471"/>
    <n v="395897"/>
    <x v="0"/>
    <x v="2"/>
    <s v="Adjudicate Findings from POAM Lists and Audits - 15.1"/>
    <x v="14"/>
    <n v="3"/>
    <x v="0"/>
    <m/>
    <s v="MUOS/Agile Teams/Cyber"/>
    <s v="Curtis, Chris B"/>
    <x v="7"/>
    <x v="0"/>
    <n v="4"/>
    <x v="0"/>
    <x v="0"/>
    <x v="3"/>
    <x v="26"/>
    <n v="1018192"/>
  </r>
  <r>
    <x v="472"/>
    <n v="395897"/>
    <x v="0"/>
    <x v="2"/>
    <s v="Update Call Banks with latest patches EA 15.1"/>
    <x v="14"/>
    <n v="2"/>
    <x v="0"/>
    <m/>
    <s v="MUOS/Agile Teams/Magic"/>
    <s v="Konitzer, Mike J"/>
    <x v="25"/>
    <x v="4"/>
    <n v="4"/>
    <x v="0"/>
    <x v="0"/>
    <x v="3"/>
    <x v="26"/>
    <n v="1014890"/>
  </r>
  <r>
    <x v="473"/>
    <n v="395897"/>
    <x v="0"/>
    <x v="2"/>
    <s v="Baseline Image Management - Part 1"/>
    <x v="14"/>
    <n v="3"/>
    <x v="0"/>
    <m/>
    <s v="MUOS/Agile Teams/Cyber"/>
    <s v="Corcoran, David G"/>
    <x v="3"/>
    <x v="0"/>
    <n v="4"/>
    <x v="0"/>
    <x v="0"/>
    <x v="3"/>
    <x v="26"/>
    <n v="1014594"/>
  </r>
  <r>
    <x v="474"/>
    <n v="395897"/>
    <x v="0"/>
    <x v="2"/>
    <s v="IAVA Intake - 15.1"/>
    <x v="14"/>
    <n v="2"/>
    <x v="0"/>
    <m/>
    <s v="MUOS/Agile Teams/Cyber"/>
    <s v="Morton, Randall-P57014"/>
    <x v="9"/>
    <x v="0"/>
    <n v="4"/>
    <x v="0"/>
    <x v="0"/>
    <x v="3"/>
    <x v="26"/>
    <n v="395901"/>
  </r>
  <r>
    <x v="475"/>
    <n v="395897"/>
    <x v="0"/>
    <x v="2"/>
    <s v="Support PMW as Needed - 15.2"/>
    <x v="15"/>
    <n v="1"/>
    <x v="0"/>
    <m/>
    <s v="MUOS/Agile Teams/Cyber"/>
    <s v="Corcoran, David G"/>
    <x v="3"/>
    <x v="0"/>
    <n v="4"/>
    <x v="0"/>
    <x v="0"/>
    <x v="3"/>
    <x v="26"/>
    <n v="1018365"/>
  </r>
  <r>
    <x v="476"/>
    <n v="395897"/>
    <x v="0"/>
    <x v="2"/>
    <s v="Continue work on DADMS disapproved list"/>
    <x v="15"/>
    <n v="5"/>
    <x v="0"/>
    <m/>
    <s v="MUOS/Agile Teams/Cyber"/>
    <s v="Corcoran, David G"/>
    <x v="3"/>
    <x v="0"/>
    <n v="4"/>
    <x v="0"/>
    <x v="0"/>
    <x v="3"/>
    <x v="26"/>
    <n v="1018347"/>
  </r>
  <r>
    <x v="477"/>
    <n v="395897"/>
    <x v="0"/>
    <x v="2"/>
    <s v="Consult with Cyber on Anonymizer Tool for Host Identification"/>
    <x v="15"/>
    <n v="2"/>
    <x v="0"/>
    <m/>
    <s v="MUOS/Agile Teams/Okapi"/>
    <s v="Salazar, Charlie"/>
    <x v="26"/>
    <x v="5"/>
    <n v="4"/>
    <x v="0"/>
    <x v="0"/>
    <x v="3"/>
    <x v="26"/>
    <n v="1018346"/>
  </r>
  <r>
    <x v="478"/>
    <n v="395897"/>
    <x v="0"/>
    <x v="2"/>
    <s v="Map Patches to Hostnames - 15.2"/>
    <x v="15"/>
    <n v="3"/>
    <x v="0"/>
    <m/>
    <s v="MUOS/Agile Teams/Cyber"/>
    <s v="Curtis, Chris B"/>
    <x v="7"/>
    <x v="0"/>
    <n v="4"/>
    <x v="0"/>
    <x v="0"/>
    <x v="3"/>
    <x v="26"/>
    <n v="1018205"/>
  </r>
  <r>
    <x v="479"/>
    <n v="395897"/>
    <x v="0"/>
    <x v="2"/>
    <s v="Adjudicate Findings from POAM Lists and Audits - 15.2"/>
    <x v="15"/>
    <n v="3"/>
    <x v="0"/>
    <m/>
    <s v="MUOS/Agile Teams/Cyber"/>
    <s v="Vaughn, Gerald D (NE)"/>
    <x v="12"/>
    <x v="0"/>
    <n v="4"/>
    <x v="0"/>
    <x v="0"/>
    <x v="3"/>
    <x v="26"/>
    <n v="1018194"/>
  </r>
  <r>
    <x v="480"/>
    <n v="395897"/>
    <x v="0"/>
    <x v="2"/>
    <s v="Generate PWIs from 2020 POAM List - 15.1"/>
    <x v="15"/>
    <n v="3"/>
    <x v="0"/>
    <m/>
    <s v="MUOS/Agile Teams/Cyber"/>
    <s v="Garrison, David D"/>
    <x v="11"/>
    <x v="0"/>
    <n v="4"/>
    <x v="0"/>
    <x v="0"/>
    <x v="3"/>
    <x v="26"/>
    <n v="1018193"/>
  </r>
  <r>
    <x v="481"/>
    <n v="395897"/>
    <x v="0"/>
    <x v="2"/>
    <s v="Associate Hostnames to IAVA - 15.2"/>
    <x v="15"/>
    <n v="2"/>
    <x v="0"/>
    <m/>
    <s v="MUOS/Agile Teams/Cyber"/>
    <s v="Garrison, David D"/>
    <x v="11"/>
    <x v="0"/>
    <n v="4"/>
    <x v="0"/>
    <x v="0"/>
    <x v="3"/>
    <x v="26"/>
    <n v="1018179"/>
  </r>
  <r>
    <x v="482"/>
    <n v="395897"/>
    <x v="0"/>
    <x v="2"/>
    <s v="Baseline Image Management - Part 2"/>
    <x v="15"/>
    <n v="3"/>
    <x v="0"/>
    <m/>
    <s v="MUOS/Agile Teams/Cyber"/>
    <s v="Corcoran, David G"/>
    <x v="3"/>
    <x v="0"/>
    <n v="4"/>
    <x v="0"/>
    <x v="0"/>
    <x v="3"/>
    <x v="26"/>
    <n v="1015753"/>
  </r>
  <r>
    <x v="483"/>
    <n v="395897"/>
    <x v="0"/>
    <x v="2"/>
    <s v="IAVA Intake - 15.2"/>
    <x v="15"/>
    <n v="2"/>
    <x v="0"/>
    <m/>
    <s v="MUOS/Agile Teams/Cyber"/>
    <s v="Morton, Randall-P57014"/>
    <x v="9"/>
    <x v="0"/>
    <n v="4"/>
    <x v="0"/>
    <x v="0"/>
    <x v="3"/>
    <x v="26"/>
    <n v="395902"/>
  </r>
  <r>
    <x v="484"/>
    <n v="395897"/>
    <x v="0"/>
    <x v="2"/>
    <s v="Adjudicate Findings from POAM Lists and Audits - 15.3"/>
    <x v="16"/>
    <n v="3"/>
    <x v="0"/>
    <m/>
    <s v="MUOS/Agile Teams/Cyber"/>
    <s v="Curtis, Chris B"/>
    <x v="7"/>
    <x v="0"/>
    <n v="4"/>
    <x v="0"/>
    <x v="0"/>
    <x v="3"/>
    <x v="26"/>
    <n v="1018196"/>
  </r>
  <r>
    <x v="485"/>
    <n v="395897"/>
    <x v="0"/>
    <x v="2"/>
    <s v="Associate Hostnames to IAVA - 15.3"/>
    <x v="16"/>
    <n v="2"/>
    <x v="0"/>
    <m/>
    <s v="MUOS/Agile Teams/Cyber"/>
    <s v="Curtis, Chris B"/>
    <x v="7"/>
    <x v="0"/>
    <n v="4"/>
    <x v="0"/>
    <x v="0"/>
    <x v="3"/>
    <x v="26"/>
    <n v="1018181"/>
  </r>
  <r>
    <x v="486"/>
    <n v="395897"/>
    <x v="0"/>
    <x v="2"/>
    <s v="Update Call Banks with latest patches EA 15.3"/>
    <x v="16"/>
    <n v="2"/>
    <x v="0"/>
    <m/>
    <s v="MUOS/Agile Teams/Magic"/>
    <s v="Spies, Aidan M."/>
    <x v="14"/>
    <x v="4"/>
    <n v="4"/>
    <x v="0"/>
    <x v="0"/>
    <x v="3"/>
    <x v="26"/>
    <n v="1014891"/>
  </r>
  <r>
    <x v="487"/>
    <n v="395897"/>
    <x v="0"/>
    <x v="2"/>
    <s v="IAVA Intake - 15.3"/>
    <x v="16"/>
    <n v="2"/>
    <x v="0"/>
    <m/>
    <s v="MUOS/Agile Teams/Cyber"/>
    <s v="Morton, Randall-P57014"/>
    <x v="9"/>
    <x v="0"/>
    <n v="4"/>
    <x v="0"/>
    <x v="0"/>
    <x v="3"/>
    <x v="26"/>
    <n v="395903"/>
  </r>
  <r>
    <x v="488"/>
    <n v="395897"/>
    <x v="0"/>
    <x v="2"/>
    <s v="Feature 395897 :Develop Version2 of the Cybersecurity Assessment Guidance Document"/>
    <x v="17"/>
    <n v="3"/>
    <x v="0"/>
    <m/>
    <s v="MUOS/Agile Teams/Cyber"/>
    <s v="Corcoran, David G"/>
    <x v="3"/>
    <x v="0"/>
    <n v="4"/>
    <x v="0"/>
    <x v="0"/>
    <x v="3"/>
    <x v="26"/>
    <n v="1022054"/>
  </r>
  <r>
    <x v="489"/>
    <n v="395897"/>
    <x v="0"/>
    <x v="2"/>
    <s v="Support PMW as Needed - 15.4"/>
    <x v="17"/>
    <n v="0"/>
    <x v="0"/>
    <m/>
    <s v="MUOS/Agile Teams/Cyber"/>
    <s v="Curtis, Chris B"/>
    <x v="7"/>
    <x v="0"/>
    <n v="4"/>
    <x v="0"/>
    <x v="0"/>
    <x v="3"/>
    <x v="26"/>
    <n v="1018367"/>
  </r>
  <r>
    <x v="490"/>
    <n v="395897"/>
    <x v="0"/>
    <x v="2"/>
    <s v="Map Patches to Hostnames - 15.4"/>
    <x v="17"/>
    <n v="3"/>
    <x v="0"/>
    <m/>
    <s v="MUOS/Agile Teams/Cyber"/>
    <s v="Vaughn, Gerald D (NE)"/>
    <x v="12"/>
    <x v="0"/>
    <n v="4"/>
    <x v="0"/>
    <x v="0"/>
    <x v="3"/>
    <x v="26"/>
    <n v="1018208"/>
  </r>
  <r>
    <x v="491"/>
    <n v="395897"/>
    <x v="0"/>
    <x v="2"/>
    <s v="Adjudicate Findings from POAM Lists and Audits - 15.4"/>
    <x v="17"/>
    <n v="3"/>
    <x v="0"/>
    <m/>
    <s v="MUOS/Agile Teams/Cyber"/>
    <s v="Garrison, David D"/>
    <x v="11"/>
    <x v="0"/>
    <n v="4"/>
    <x v="0"/>
    <x v="0"/>
    <x v="3"/>
    <x v="26"/>
    <n v="1018198"/>
  </r>
  <r>
    <x v="492"/>
    <n v="395897"/>
    <x v="0"/>
    <x v="2"/>
    <s v="Associate Hostnames to IAVA - 15.4"/>
    <x v="17"/>
    <n v="2"/>
    <x v="0"/>
    <m/>
    <s v="MUOS/Agile Teams/Cyber"/>
    <s v="Garrison, David D"/>
    <x v="11"/>
    <x v="0"/>
    <n v="4"/>
    <x v="0"/>
    <x v="0"/>
    <x v="3"/>
    <x v="26"/>
    <n v="1018182"/>
  </r>
  <r>
    <x v="493"/>
    <n v="395897"/>
    <x v="0"/>
    <x v="2"/>
    <s v="Complete Vulnerability Assessment Guidance document-Part 3"/>
    <x v="17"/>
    <n v="3"/>
    <x v="0"/>
    <m/>
    <s v="MUOS/Agile Teams/Cyber"/>
    <s v="Vaughn, Gerald D (NE)"/>
    <x v="12"/>
    <x v="0"/>
    <n v="4"/>
    <x v="0"/>
    <x v="0"/>
    <x v="3"/>
    <x v="26"/>
    <n v="1018001"/>
  </r>
  <r>
    <x v="494"/>
    <n v="395897"/>
    <x v="0"/>
    <x v="2"/>
    <s v="IAVA Intake - 15.4"/>
    <x v="17"/>
    <n v="2"/>
    <x v="0"/>
    <m/>
    <s v="MUOS/Agile Teams/Cyber"/>
    <s v="Morton, Randall-P57014"/>
    <x v="9"/>
    <x v="0"/>
    <n v="4"/>
    <x v="0"/>
    <x v="0"/>
    <x v="3"/>
    <x v="26"/>
    <n v="395904"/>
  </r>
  <r>
    <x v="495"/>
    <n v="395897"/>
    <x v="0"/>
    <x v="0"/>
    <s v="Complete Vulnerability Assessment Guidance document-Part 4"/>
    <x v="18"/>
    <n v="3"/>
    <x v="0"/>
    <m/>
    <s v="MUOS/Agile Teams/Cyber"/>
    <s v="Vaughn, Gerald D (NE)"/>
    <x v="12"/>
    <x v="0"/>
    <n v="4"/>
    <x v="0"/>
    <x v="0"/>
    <x v="3"/>
    <x v="26"/>
    <n v="1024626"/>
  </r>
  <r>
    <x v="496"/>
    <n v="395897"/>
    <x v="0"/>
    <x v="0"/>
    <s v="Support PMW as Needed - 15.5"/>
    <x v="18"/>
    <n v="1"/>
    <x v="0"/>
    <m/>
    <s v="MUOS/Agile Teams/Cyber"/>
    <s v="Tang, Kent-P22339"/>
    <x v="16"/>
    <x v="0"/>
    <n v="4"/>
    <x v="0"/>
    <x v="0"/>
    <x v="3"/>
    <x v="26"/>
    <n v="1018368"/>
  </r>
  <r>
    <x v="497"/>
    <n v="395897"/>
    <x v="0"/>
    <x v="0"/>
    <s v="Ted Milzarski to Consult with Cyber on transferring ACAS scan Data to SEL"/>
    <x v="18"/>
    <n v="1"/>
    <x v="0"/>
    <m/>
    <s v="MUOS/Agile Teams/Okapi"/>
    <s v="Milzarski, Ted-P63490"/>
    <x v="6"/>
    <x v="5"/>
    <n v="4"/>
    <x v="0"/>
    <x v="0"/>
    <x v="3"/>
    <x v="26"/>
    <n v="1018355"/>
  </r>
  <r>
    <x v="498"/>
    <n v="395897"/>
    <x v="0"/>
    <x v="0"/>
    <s v="Map Patches to Hostnames - 15.5"/>
    <x v="18"/>
    <n v="3"/>
    <x v="0"/>
    <m/>
    <s v="MUOS/Agile Teams/Cyber"/>
    <s v="Curtis, Chris B"/>
    <x v="7"/>
    <x v="0"/>
    <n v="4"/>
    <x v="0"/>
    <x v="0"/>
    <x v="3"/>
    <x v="26"/>
    <n v="1018210"/>
  </r>
  <r>
    <x v="499"/>
    <n v="395897"/>
    <x v="0"/>
    <x v="3"/>
    <s v="Associate Hostnames to IAVA - 15.5"/>
    <x v="18"/>
    <n v="2"/>
    <x v="0"/>
    <m/>
    <s v="MUOS/Agile Teams/Cyber"/>
    <s v="Garrison, David D"/>
    <x v="11"/>
    <x v="0"/>
    <n v="4"/>
    <x v="0"/>
    <x v="0"/>
    <x v="3"/>
    <x v="26"/>
    <n v="1018184"/>
  </r>
  <r>
    <x v="500"/>
    <n v="395897"/>
    <x v="0"/>
    <x v="0"/>
    <s v="Update Call Banks with latest patches EA 15.5"/>
    <x v="18"/>
    <n v="2"/>
    <x v="0"/>
    <m/>
    <s v="MUOS/Agile Teams/Magic"/>
    <s v="Konitzer, Mike J"/>
    <x v="25"/>
    <x v="4"/>
    <n v="4"/>
    <x v="0"/>
    <x v="0"/>
    <x v="3"/>
    <x v="26"/>
    <n v="1014892"/>
  </r>
  <r>
    <x v="501"/>
    <n v="395897"/>
    <x v="0"/>
    <x v="0"/>
    <s v="IAVA Intake - 15.5"/>
    <x v="18"/>
    <n v="2"/>
    <x v="0"/>
    <m/>
    <s v="MUOS/Agile Teams/Cyber"/>
    <s v="Morton, Randall-P57014"/>
    <x v="9"/>
    <x v="0"/>
    <n v="4"/>
    <x v="0"/>
    <x v="0"/>
    <x v="3"/>
    <x v="26"/>
    <n v="395905"/>
  </r>
  <r>
    <x v="502"/>
    <n v="245560"/>
    <x v="1"/>
    <x v="3"/>
    <s v="Cyber: RMF Continuous Monitoring - PI 15 (Recurring)"/>
    <x v="18"/>
    <m/>
    <x v="1"/>
    <m/>
    <s v="MUOS/Agile Teams/Cyber"/>
    <s v="Garrison, David D"/>
    <x v="11"/>
    <x v="0"/>
    <n v="4"/>
    <x v="0"/>
    <x v="1"/>
    <x v="3"/>
    <x v="26"/>
    <n v="0"/>
  </r>
  <r>
    <x v="503"/>
    <n v="1001636"/>
    <x v="0"/>
    <x v="2"/>
    <s v="Identify if CAT1 has been Resolved or Mitigated (13.6b)"/>
    <x v="27"/>
    <n v="5"/>
    <x v="0"/>
    <m/>
    <s v="MUOS/Agile Teams/Cyber"/>
    <s v="Milzarski, Ted-P63490"/>
    <x v="6"/>
    <x v="0"/>
    <e v="#N/A"/>
    <x v="0"/>
    <x v="0"/>
    <x v="3"/>
    <x v="27"/>
    <n v="1005360"/>
  </r>
  <r>
    <x v="504"/>
    <n v="1001636"/>
    <x v="0"/>
    <x v="2"/>
    <s v="Identify if CAT1 has been Resolved or Mitigated (13.6a)"/>
    <x v="27"/>
    <n v="5"/>
    <x v="0"/>
    <m/>
    <s v="MUOS/Agile Teams/Cyber"/>
    <s v="Stevens, Alice L"/>
    <x v="19"/>
    <x v="0"/>
    <e v="#N/A"/>
    <x v="0"/>
    <x v="0"/>
    <x v="3"/>
    <x v="27"/>
    <n v="1005356"/>
  </r>
  <r>
    <x v="505"/>
    <n v="1001636"/>
    <x v="0"/>
    <x v="2"/>
    <s v="3) Determine which CAT1s in the new POAM spreadsheet are being addressed by Obsolescence"/>
    <x v="9"/>
    <n v="2"/>
    <x v="0"/>
    <m/>
    <s v="MUOS/Agile Teams/Cyber"/>
    <s v="Garrison, David D"/>
    <x v="11"/>
    <x v="0"/>
    <e v="#N/A"/>
    <x v="0"/>
    <x v="0"/>
    <x v="3"/>
    <x v="27"/>
    <n v="1008409"/>
  </r>
  <r>
    <x v="506"/>
    <n v="1001636"/>
    <x v="0"/>
    <x v="2"/>
    <s v="2) Determine the CAT1s that have already been addressed by existing PWIs"/>
    <x v="9"/>
    <n v="3"/>
    <x v="0"/>
    <m/>
    <s v="MUOS/Agile Teams/Cyber"/>
    <s v="Garrison, David D"/>
    <x v="11"/>
    <x v="0"/>
    <e v="#N/A"/>
    <x v="0"/>
    <x v="0"/>
    <x v="3"/>
    <x v="27"/>
    <n v="1008408"/>
  </r>
  <r>
    <x v="507"/>
    <n v="1001636"/>
    <x v="0"/>
    <x v="2"/>
    <s v="4) Determine Priority Order for Open CAT1s"/>
    <x v="10"/>
    <n v="1"/>
    <x v="0"/>
    <m/>
    <s v="MUOS/Agile Teams/Cyber"/>
    <s v="Garrison, David D"/>
    <x v="11"/>
    <x v="0"/>
    <e v="#N/A"/>
    <x v="0"/>
    <x v="0"/>
    <x v="3"/>
    <x v="27"/>
    <n v="1001646"/>
  </r>
  <r>
    <x v="508"/>
    <n v="1001636"/>
    <x v="0"/>
    <x v="2"/>
    <s v="6) Create PWIs for Priority CAT1s (Part 1)"/>
    <x v="11"/>
    <n v="1"/>
    <x v="0"/>
    <m/>
    <s v="MUOS/Agile Teams/Cyber"/>
    <s v="Garrison, David D"/>
    <x v="11"/>
    <x v="0"/>
    <e v="#N/A"/>
    <x v="0"/>
    <x v="0"/>
    <x v="3"/>
    <x v="27"/>
    <n v="1008037"/>
  </r>
  <r>
    <x v="509"/>
    <n v="1001636"/>
    <x v="0"/>
    <x v="2"/>
    <s v="7) Create PWIs for Priority CAT1s (Part 2)"/>
    <x v="12"/>
    <n v="1"/>
    <x v="0"/>
    <m/>
    <s v="MUOS/Agile Teams/Cyber"/>
    <s v="Garrison, David D"/>
    <x v="11"/>
    <x v="0"/>
    <e v="#N/A"/>
    <x v="0"/>
    <x v="0"/>
    <x v="3"/>
    <x v="27"/>
    <n v="1001649"/>
  </r>
  <r>
    <x v="510"/>
    <n v="1001636"/>
    <x v="0"/>
    <x v="2"/>
    <s v="Support Updating the Cyber IA Repository Database"/>
    <x v="13"/>
    <n v="1"/>
    <x v="0"/>
    <m/>
    <s v="MUOS/Agile Teams/System Engineering"/>
    <s v="Murray, Will-P67105"/>
    <x v="4"/>
    <x v="3"/>
    <e v="#N/A"/>
    <x v="0"/>
    <x v="0"/>
    <x v="3"/>
    <x v="27"/>
    <n v="1008493"/>
  </r>
  <r>
    <x v="511"/>
    <n v="245560"/>
    <x v="1"/>
    <x v="2"/>
    <s v="Cyber: CAT1 Mitigation and Burndown"/>
    <x v="13"/>
    <m/>
    <x v="1"/>
    <m/>
    <s v="MUOS/Agile Teams/Cyber"/>
    <s v="Johnson, Derek T"/>
    <x v="2"/>
    <x v="0"/>
    <e v="#N/A"/>
    <x v="0"/>
    <x v="1"/>
    <x v="3"/>
    <x v="27"/>
    <n v="0"/>
  </r>
  <r>
    <x v="512"/>
    <n v="1012503"/>
    <x v="0"/>
    <x v="2"/>
    <s v="Feature 1012503: Provide TOFF SME (system admin) support for patching RM Guards in the labs (part 1)"/>
    <x v="11"/>
    <n v="2"/>
    <x v="0"/>
    <m/>
    <s v="MUOS/Agile Teams/TOFF"/>
    <s v="Young, Allen W"/>
    <x v="27"/>
    <x v="6"/>
    <e v="#N/A"/>
    <x v="0"/>
    <x v="0"/>
    <x v="3"/>
    <x v="28"/>
    <n v="1012747"/>
  </r>
  <r>
    <x v="513"/>
    <n v="1012503"/>
    <x v="2"/>
    <x v="2"/>
    <s v="Feature 1012503: TASK = Place the RM Guard patch installation instructions and patch CD under CM control"/>
    <x v="11"/>
    <m/>
    <x v="0"/>
    <m/>
    <s v="MUOS/Agile Teams/Cyber"/>
    <s v="Dewberry, Kirk M"/>
    <x v="23"/>
    <x v="0"/>
    <e v="#N/A"/>
    <x v="0"/>
    <x v="0"/>
    <x v="3"/>
    <x v="28"/>
    <n v="1012719"/>
  </r>
  <r>
    <x v="514"/>
    <n v="1012503"/>
    <x v="0"/>
    <x v="0"/>
    <s v="Feature 1012503: Provide UX SME support for reviewing RM Guard patch and verification instructions"/>
    <x v="1"/>
    <n v="1"/>
    <x v="1"/>
    <m/>
    <s v="MUOS/Agile Teams/Falcons"/>
    <s v="Vomocil, Jessica"/>
    <x v="14"/>
    <x v="1"/>
    <e v="#N/A"/>
    <x v="0"/>
    <x v="0"/>
    <x v="3"/>
    <x v="28"/>
    <n v="1012778"/>
  </r>
  <r>
    <x v="515"/>
    <n v="1012503"/>
    <x v="0"/>
    <x v="0"/>
    <s v="Feature 1012503: Provide IA Patching SME support for testing patch installation instructions for the RM Guards (part 2)"/>
    <x v="1"/>
    <n v="1"/>
    <x v="0"/>
    <m/>
    <s v="MUOS/Agile Teams/Cyber"/>
    <s v="Burnett, Johnathan D"/>
    <x v="15"/>
    <x v="0"/>
    <e v="#N/A"/>
    <x v="0"/>
    <x v="0"/>
    <x v="3"/>
    <x v="28"/>
    <n v="1012766"/>
  </r>
  <r>
    <x v="516"/>
    <n v="1012503"/>
    <x v="0"/>
    <x v="0"/>
    <s v="Feature 1012503: Provide SME support for testing patch installation instructions for the RM Guards (part 2)"/>
    <x v="1"/>
    <n v="1"/>
    <x v="0"/>
    <m/>
    <s v="MUOS/Agile Teams/Cyber"/>
    <s v="Unassigned"/>
    <x v="0"/>
    <x v="0"/>
    <e v="#N/A"/>
    <x v="0"/>
    <x v="0"/>
    <x v="3"/>
    <x v="28"/>
    <n v="1012764"/>
  </r>
  <r>
    <x v="517"/>
    <n v="1012503"/>
    <x v="0"/>
    <x v="0"/>
    <s v="Feature 1012503: Provide TOFF SME (system admin) support for patching RM Guards in the labs (part 2)"/>
    <x v="1"/>
    <n v="2"/>
    <x v="0"/>
    <m/>
    <s v="MUOS/Agile Teams/SIC"/>
    <s v="Young, Allen W"/>
    <x v="27"/>
    <x v="2"/>
    <e v="#N/A"/>
    <x v="0"/>
    <x v="0"/>
    <x v="3"/>
    <x v="28"/>
    <n v="1012752"/>
  </r>
  <r>
    <x v="518"/>
    <n v="1012503"/>
    <x v="0"/>
    <x v="0"/>
    <s v="Feature 1012503: Provide IA Patching SME support for testing patch installation instructions for the RM Guards (part 1)"/>
    <x v="1"/>
    <n v="2"/>
    <x v="0"/>
    <m/>
    <s v="MUOS/Agile Teams/Cyber"/>
    <s v="Burnett, Johnathan D"/>
    <x v="15"/>
    <x v="0"/>
    <e v="#N/A"/>
    <x v="0"/>
    <x v="0"/>
    <x v="3"/>
    <x v="28"/>
    <n v="1012744"/>
  </r>
  <r>
    <x v="519"/>
    <n v="1012503"/>
    <x v="0"/>
    <x v="0"/>
    <s v="Feature 1012503: Create an MPC for deploying RM Guard patch to SCS"/>
    <x v="1"/>
    <n v="1"/>
    <x v="0"/>
    <m/>
    <s v="MUOS/Agile Teams/Cyber"/>
    <s v="Unassigned"/>
    <x v="0"/>
    <x v="0"/>
    <e v="#N/A"/>
    <x v="0"/>
    <x v="0"/>
    <x v="3"/>
    <x v="28"/>
    <n v="1012739"/>
  </r>
  <r>
    <x v="520"/>
    <n v="1012503"/>
    <x v="0"/>
    <x v="0"/>
    <s v="Feature 1012503: Create an MPC for deploying RM Guard patch to NMS"/>
    <x v="1"/>
    <n v="1"/>
    <x v="0"/>
    <m/>
    <s v="MUOS/Agile Teams/Cyber"/>
    <s v="Unassigned"/>
    <x v="0"/>
    <x v="0"/>
    <e v="#N/A"/>
    <x v="0"/>
    <x v="0"/>
    <x v="3"/>
    <x v="28"/>
    <n v="1012658"/>
  </r>
  <r>
    <x v="521"/>
    <n v="1012503"/>
    <x v="0"/>
    <x v="0"/>
    <s v="Feature 1012503: Provide TOFF SME support for patching SCS RM Guards"/>
    <x v="1"/>
    <n v="2"/>
    <x v="0"/>
    <m/>
    <s v="MUOS/Agile Teams/SIC"/>
    <s v="Trella, Chris M"/>
    <x v="28"/>
    <x v="2"/>
    <e v="#N/A"/>
    <x v="0"/>
    <x v="0"/>
    <x v="3"/>
    <x v="28"/>
    <n v="1012655"/>
  </r>
  <r>
    <x v="522"/>
    <n v="1012503"/>
    <x v="0"/>
    <x v="0"/>
    <s v="Feature 1012503: Provide SIC SME support for patching NMS RM Guards"/>
    <x v="1"/>
    <n v="2"/>
    <x v="0"/>
    <m/>
    <s v="MUOS/Agile Teams/SIC"/>
    <s v="Black, Colin R"/>
    <x v="14"/>
    <x v="2"/>
    <e v="#N/A"/>
    <x v="0"/>
    <x v="0"/>
    <x v="3"/>
    <x v="28"/>
    <n v="1012654"/>
  </r>
  <r>
    <x v="523"/>
    <n v="1012503"/>
    <x v="0"/>
    <x v="0"/>
    <s v="Feature 1012503: Perform SWIT testing for the patch and installation instructions of the NMS RM Guards"/>
    <x v="1"/>
    <n v="2"/>
    <x v="0"/>
    <m/>
    <s v="MUOS/Agile Teams/Cyber"/>
    <s v="Dewberry, Kirk M"/>
    <x v="23"/>
    <x v="0"/>
    <e v="#N/A"/>
    <x v="0"/>
    <x v="0"/>
    <x v="3"/>
    <x v="28"/>
    <n v="1012650"/>
  </r>
  <r>
    <x v="524"/>
    <n v="1012503"/>
    <x v="0"/>
    <x v="0"/>
    <s v="Feature 1012503: Update Node Config for NMS and SCS RM Guards"/>
    <x v="1"/>
    <n v="1"/>
    <x v="0"/>
    <m/>
    <s v="MUOS/Agile Teams/Cyber"/>
    <s v="Dewberry, Kirk M"/>
    <x v="23"/>
    <x v="0"/>
    <e v="#N/A"/>
    <x v="0"/>
    <x v="0"/>
    <x v="3"/>
    <x v="28"/>
    <n v="1012613"/>
  </r>
  <r>
    <x v="525"/>
    <n v="1012503"/>
    <x v="0"/>
    <x v="0"/>
    <s v="Feature 1012503: Document Installation Instructions for the RM Guard Patch"/>
    <x v="1"/>
    <n v="0"/>
    <x v="0"/>
    <m/>
    <s v="MUOS/Agile Teams/Cyber"/>
    <s v="Unassigned"/>
    <x v="0"/>
    <x v="0"/>
    <e v="#N/A"/>
    <x v="0"/>
    <x v="0"/>
    <x v="3"/>
    <x v="28"/>
    <n v="1012607"/>
  </r>
  <r>
    <x v="526"/>
    <n v="1012503"/>
    <x v="0"/>
    <x v="0"/>
    <s v="Feature 1012503: Generate patch Installation and verification instructions for the SCS RM Guards in VLAB"/>
    <x v="1"/>
    <n v="2"/>
    <x v="0"/>
    <m/>
    <s v="MUOS/Agile Teams/Cyber"/>
    <s v="Dewberry, Kirk M"/>
    <x v="23"/>
    <x v="0"/>
    <e v="#N/A"/>
    <x v="0"/>
    <x v="0"/>
    <x v="3"/>
    <x v="28"/>
    <n v="1012584"/>
  </r>
  <r>
    <x v="527"/>
    <n v="1012503"/>
    <x v="0"/>
    <x v="0"/>
    <s v="Feature 1012503: Perform VLAB testing for the NMS and SCS RM Guard patch and installation instructions"/>
    <x v="1"/>
    <n v="2"/>
    <x v="0"/>
    <m/>
    <s v="MUOS/Agile Teams/Cyber"/>
    <s v="Dewberry, Kirk M"/>
    <x v="23"/>
    <x v="0"/>
    <e v="#N/A"/>
    <x v="0"/>
    <x v="0"/>
    <x v="3"/>
    <x v="28"/>
    <n v="1012508"/>
  </r>
  <r>
    <x v="528"/>
    <n v="1012503"/>
    <x v="0"/>
    <x v="3"/>
    <s v="Feature 1012503: Generate patch Installation and verification instructions for the NMS RM Guards in SWIT/VLAB"/>
    <x v="1"/>
    <n v="2"/>
    <x v="0"/>
    <m/>
    <s v="MUOS/Agile Teams/Cyber"/>
    <s v="Dewberry, Kirk M"/>
    <x v="23"/>
    <x v="0"/>
    <e v="#N/A"/>
    <x v="0"/>
    <x v="0"/>
    <x v="3"/>
    <x v="28"/>
    <n v="1012505"/>
  </r>
  <r>
    <x v="529"/>
    <n v="245560"/>
    <x v="1"/>
    <x v="3"/>
    <s v="Cyber: Patch NMS and SCS Radiant Mercury Guards in GD Labs"/>
    <x v="1"/>
    <m/>
    <x v="1"/>
    <m/>
    <s v="MUOS/Agile Teams/Cyber"/>
    <s v="Garrison, David D"/>
    <x v="11"/>
    <x v="0"/>
    <e v="#N/A"/>
    <x v="0"/>
    <x v="1"/>
    <x v="3"/>
    <x v="28"/>
    <n v="0"/>
  </r>
  <r>
    <x v="530"/>
    <n v="1014737"/>
    <x v="0"/>
    <x v="0"/>
    <s v="Associate IAVA to Hostnames - 16.1"/>
    <x v="19"/>
    <n v="2"/>
    <x v="0"/>
    <m/>
    <s v="MUOS/Agile Teams/Cyber"/>
    <s v="Unassigned"/>
    <x v="0"/>
    <x v="0"/>
    <e v="#N/A"/>
    <x v="0"/>
    <x v="0"/>
    <x v="3"/>
    <x v="29"/>
    <n v="1024541"/>
  </r>
  <r>
    <x v="531"/>
    <n v="1014737"/>
    <x v="0"/>
    <x v="0"/>
    <s v="Support PMW as Needed - 16.1"/>
    <x v="19"/>
    <n v="1"/>
    <x v="0"/>
    <m/>
    <s v="MUOS/Agile Teams/Cyber"/>
    <s v="Unassigned"/>
    <x v="0"/>
    <x v="0"/>
    <e v="#N/A"/>
    <x v="0"/>
    <x v="0"/>
    <x v="3"/>
    <x v="29"/>
    <n v="1020041"/>
  </r>
  <r>
    <x v="532"/>
    <n v="1014737"/>
    <x v="0"/>
    <x v="0"/>
    <s v="IAVA Intake - 16.1"/>
    <x v="19"/>
    <n v="2"/>
    <x v="0"/>
    <m/>
    <s v="MUOS/Agile Teams/Cyber"/>
    <s v="Morton, Randall-P57014"/>
    <x v="9"/>
    <x v="0"/>
    <e v="#N/A"/>
    <x v="0"/>
    <x v="0"/>
    <x v="3"/>
    <x v="29"/>
    <n v="1020035"/>
  </r>
  <r>
    <x v="533"/>
    <n v="1014737"/>
    <x v="0"/>
    <x v="0"/>
    <s v="Scan Call Banks for RMF IATT Continuous Monitoring - 16.1"/>
    <x v="19"/>
    <n v="2"/>
    <x v="0"/>
    <m/>
    <s v="MUOS/Agile Teams/Cyber"/>
    <s v="Unassigned"/>
    <x v="0"/>
    <x v="0"/>
    <e v="#N/A"/>
    <x v="0"/>
    <x v="0"/>
    <x v="3"/>
    <x v="29"/>
    <n v="1014741"/>
  </r>
  <r>
    <x v="534"/>
    <n v="1014737"/>
    <x v="0"/>
    <x v="0"/>
    <s v="Associate IAVA to Hostnames - 16.2"/>
    <x v="20"/>
    <n v="2"/>
    <x v="0"/>
    <m/>
    <s v="MUOS/Agile Teams/Cyber"/>
    <s v="Unassigned"/>
    <x v="0"/>
    <x v="0"/>
    <e v="#N/A"/>
    <x v="0"/>
    <x v="0"/>
    <x v="3"/>
    <x v="29"/>
    <n v="1024542"/>
  </r>
  <r>
    <x v="535"/>
    <n v="1014737"/>
    <x v="0"/>
    <x v="0"/>
    <s v="Support PMW as Needed - 16.2"/>
    <x v="20"/>
    <n v="1"/>
    <x v="0"/>
    <m/>
    <s v="MUOS/Agile Teams/Cyber"/>
    <s v="Unassigned"/>
    <x v="0"/>
    <x v="0"/>
    <e v="#N/A"/>
    <x v="0"/>
    <x v="0"/>
    <x v="3"/>
    <x v="29"/>
    <n v="1020044"/>
  </r>
  <r>
    <x v="536"/>
    <n v="1014737"/>
    <x v="0"/>
    <x v="0"/>
    <s v="IAVA Intake - 16.2"/>
    <x v="20"/>
    <n v="2"/>
    <x v="0"/>
    <m/>
    <s v="MUOS/Agile Teams/Cyber"/>
    <s v="Morton, Randall-P57014"/>
    <x v="9"/>
    <x v="0"/>
    <e v="#N/A"/>
    <x v="0"/>
    <x v="0"/>
    <x v="3"/>
    <x v="29"/>
    <n v="1020037"/>
  </r>
  <r>
    <x v="537"/>
    <n v="1014737"/>
    <x v="0"/>
    <x v="0"/>
    <s v="Associate IAVA to Hostnames - 16.3"/>
    <x v="29"/>
    <n v="2"/>
    <x v="0"/>
    <m/>
    <s v="MUOS/Agile Teams/Cyber"/>
    <s v="Unassigned"/>
    <x v="0"/>
    <x v="0"/>
    <e v="#N/A"/>
    <x v="0"/>
    <x v="0"/>
    <x v="3"/>
    <x v="29"/>
    <n v="1024543"/>
  </r>
  <r>
    <x v="538"/>
    <n v="1014737"/>
    <x v="0"/>
    <x v="0"/>
    <s v="Support PMW as Needed - 16.3"/>
    <x v="29"/>
    <n v="1"/>
    <x v="0"/>
    <m/>
    <s v="MUOS/Agile Teams/Cyber"/>
    <s v="Unassigned"/>
    <x v="0"/>
    <x v="0"/>
    <e v="#N/A"/>
    <x v="0"/>
    <x v="0"/>
    <x v="3"/>
    <x v="29"/>
    <n v="1020045"/>
  </r>
  <r>
    <x v="539"/>
    <n v="1014737"/>
    <x v="0"/>
    <x v="0"/>
    <s v="IAVA Intake - 16.3"/>
    <x v="29"/>
    <n v="2"/>
    <x v="0"/>
    <m/>
    <s v="MUOS/Agile Teams/Cyber"/>
    <s v="Morton, Randall-P57014"/>
    <x v="9"/>
    <x v="0"/>
    <e v="#N/A"/>
    <x v="0"/>
    <x v="0"/>
    <x v="3"/>
    <x v="29"/>
    <n v="1020038"/>
  </r>
  <r>
    <x v="540"/>
    <n v="1014737"/>
    <x v="0"/>
    <x v="0"/>
    <s v="Scan Call Banks for RMF IATT Continuous Monitoring - 16.3"/>
    <x v="29"/>
    <n v="2"/>
    <x v="0"/>
    <m/>
    <s v="MUOS/Agile Teams/Cyber"/>
    <s v="Unassigned"/>
    <x v="0"/>
    <x v="0"/>
    <e v="#N/A"/>
    <x v="0"/>
    <x v="0"/>
    <x v="3"/>
    <x v="29"/>
    <n v="1014589"/>
  </r>
  <r>
    <x v="541"/>
    <n v="1014737"/>
    <x v="0"/>
    <x v="0"/>
    <s v="Associate IAVA to Hostnames - 16.4"/>
    <x v="30"/>
    <n v="2"/>
    <x v="0"/>
    <m/>
    <s v="MUOS/Agile Teams/Cyber"/>
    <s v="Unassigned"/>
    <x v="0"/>
    <x v="0"/>
    <e v="#N/A"/>
    <x v="0"/>
    <x v="0"/>
    <x v="3"/>
    <x v="29"/>
    <n v="1024544"/>
  </r>
  <r>
    <x v="542"/>
    <n v="1014737"/>
    <x v="0"/>
    <x v="0"/>
    <s v="Support PMW as Needed - 16.4"/>
    <x v="30"/>
    <n v="1"/>
    <x v="0"/>
    <m/>
    <s v="MUOS/Agile Teams/Cyber"/>
    <s v="Unassigned"/>
    <x v="0"/>
    <x v="0"/>
    <e v="#N/A"/>
    <x v="0"/>
    <x v="0"/>
    <x v="3"/>
    <x v="29"/>
    <n v="1020046"/>
  </r>
  <r>
    <x v="543"/>
    <n v="1014737"/>
    <x v="0"/>
    <x v="0"/>
    <s v="IAVA Intake - 16.4"/>
    <x v="30"/>
    <n v="2"/>
    <x v="0"/>
    <m/>
    <s v="MUOS/Agile Teams/Cyber"/>
    <s v="Morton, Randall-P57014"/>
    <x v="9"/>
    <x v="0"/>
    <e v="#N/A"/>
    <x v="0"/>
    <x v="0"/>
    <x v="3"/>
    <x v="29"/>
    <n v="1020039"/>
  </r>
  <r>
    <x v="544"/>
    <n v="1014737"/>
    <x v="0"/>
    <x v="0"/>
    <s v="Associate IAVA to Hostnames - 16.5"/>
    <x v="31"/>
    <n v="2"/>
    <x v="0"/>
    <m/>
    <s v="MUOS/Agile Teams/Cyber"/>
    <s v="Unassigned"/>
    <x v="0"/>
    <x v="0"/>
    <e v="#N/A"/>
    <x v="0"/>
    <x v="0"/>
    <x v="3"/>
    <x v="29"/>
    <n v="1024545"/>
  </r>
  <r>
    <x v="545"/>
    <n v="1014737"/>
    <x v="0"/>
    <x v="0"/>
    <s v="Support PMW as Needed - 16.5"/>
    <x v="31"/>
    <n v="1"/>
    <x v="0"/>
    <m/>
    <s v="MUOS/Agile Teams/Cyber"/>
    <s v="Unassigned"/>
    <x v="0"/>
    <x v="0"/>
    <e v="#N/A"/>
    <x v="0"/>
    <x v="0"/>
    <x v="3"/>
    <x v="29"/>
    <n v="1020047"/>
  </r>
  <r>
    <x v="546"/>
    <n v="1014737"/>
    <x v="0"/>
    <x v="0"/>
    <s v="IAVA Intake - 16.5"/>
    <x v="31"/>
    <n v="2"/>
    <x v="0"/>
    <m/>
    <s v="MUOS/Agile Teams/Cyber"/>
    <s v="Morton, Randall-P57014"/>
    <x v="9"/>
    <x v="0"/>
    <e v="#N/A"/>
    <x v="0"/>
    <x v="0"/>
    <x v="3"/>
    <x v="29"/>
    <n v="1020040"/>
  </r>
  <r>
    <x v="547"/>
    <n v="1014737"/>
    <x v="0"/>
    <x v="0"/>
    <s v="Scan Call Banks for RMF IATT Continuous Monitoring - 16.5"/>
    <x v="31"/>
    <n v="2"/>
    <x v="0"/>
    <m/>
    <s v="MUOS/Agile Teams/Cyber"/>
    <s v="Unassigned"/>
    <x v="0"/>
    <x v="0"/>
    <e v="#N/A"/>
    <x v="0"/>
    <x v="0"/>
    <x v="3"/>
    <x v="29"/>
    <n v="1014591"/>
  </r>
  <r>
    <x v="548"/>
    <n v="245560"/>
    <x v="1"/>
    <x v="5"/>
    <s v="Cyber: RMF Continuous Monitoring - PI 16 (Recurring)"/>
    <x v="32"/>
    <m/>
    <x v="1"/>
    <m/>
    <s v="MUOS/Agile Teams/Cyber"/>
    <s v="Garrison, David D"/>
    <x v="11"/>
    <x v="0"/>
    <e v="#N/A"/>
    <x v="0"/>
    <x v="1"/>
    <x v="3"/>
    <x v="29"/>
    <n v="0"/>
  </r>
  <r>
    <x v="549"/>
    <n v="1020010"/>
    <x v="0"/>
    <x v="0"/>
    <s v="Support application review for DADMs applicability - 16.1"/>
    <x v="19"/>
    <n v="1"/>
    <x v="0"/>
    <m/>
    <s v="MUOS/Agile Teams/Cyber"/>
    <s v="Unassigned"/>
    <x v="0"/>
    <x v="0"/>
    <e v="#N/A"/>
    <x v="0"/>
    <x v="0"/>
    <x v="3"/>
    <x v="30"/>
    <n v="1020048"/>
  </r>
  <r>
    <x v="550"/>
    <n v="1020010"/>
    <x v="0"/>
    <x v="0"/>
    <s v="Support application review for DADMs applicability - 16.2"/>
    <x v="20"/>
    <n v="1"/>
    <x v="0"/>
    <m/>
    <s v="MUOS/Agile Teams/Cyber"/>
    <s v="Unassigned"/>
    <x v="0"/>
    <x v="0"/>
    <e v="#N/A"/>
    <x v="0"/>
    <x v="0"/>
    <x v="3"/>
    <x v="30"/>
    <n v="1020049"/>
  </r>
  <r>
    <x v="551"/>
    <n v="1020010"/>
    <x v="0"/>
    <x v="0"/>
    <s v="Support application review for DADMs applicability - 16.3"/>
    <x v="29"/>
    <n v="1"/>
    <x v="0"/>
    <m/>
    <s v="MUOS/Agile Teams/Cyber"/>
    <s v="Unassigned"/>
    <x v="0"/>
    <x v="0"/>
    <e v="#N/A"/>
    <x v="0"/>
    <x v="0"/>
    <x v="3"/>
    <x v="30"/>
    <n v="1020051"/>
  </r>
  <r>
    <x v="552"/>
    <n v="1020010"/>
    <x v="0"/>
    <x v="0"/>
    <s v="Support application review for DADMs applicability - 16.4"/>
    <x v="30"/>
    <n v="1"/>
    <x v="0"/>
    <m/>
    <s v="MUOS/Agile Teams/Cyber"/>
    <s v="Unassigned"/>
    <x v="0"/>
    <x v="0"/>
    <e v="#N/A"/>
    <x v="0"/>
    <x v="0"/>
    <x v="3"/>
    <x v="30"/>
    <n v="1020052"/>
  </r>
  <r>
    <x v="553"/>
    <n v="1020010"/>
    <x v="0"/>
    <x v="0"/>
    <s v="Support application review for DADMs applicability - 16.5"/>
    <x v="31"/>
    <n v="1"/>
    <x v="0"/>
    <m/>
    <s v="MUOS/Agile Teams/Cyber"/>
    <s v="Unassigned"/>
    <x v="0"/>
    <x v="0"/>
    <e v="#N/A"/>
    <x v="0"/>
    <x v="0"/>
    <x v="3"/>
    <x v="30"/>
    <n v="1020053"/>
  </r>
  <r>
    <x v="554"/>
    <n v="1020010"/>
    <x v="0"/>
    <x v="0"/>
    <s v="MFR EAD 18 Support - Continuing Support"/>
    <x v="32"/>
    <n v="2"/>
    <x v="0"/>
    <m/>
    <s v="MUOS/Agile Teams/Cyber"/>
    <s v="Corcoran, David G"/>
    <x v="3"/>
    <x v="0"/>
    <e v="#N/A"/>
    <x v="0"/>
    <x v="0"/>
    <x v="3"/>
    <x v="30"/>
    <n v="1020127"/>
  </r>
  <r>
    <x v="555"/>
    <n v="1020010"/>
    <x v="0"/>
    <x v="0"/>
    <s v="Update and review with customer MFR for EAD 18.0"/>
    <x v="32"/>
    <n v="3"/>
    <x v="0"/>
    <m/>
    <s v="MUOS/Agile Teams/Cyber"/>
    <s v="Corcoran, David G"/>
    <x v="3"/>
    <x v="0"/>
    <e v="#N/A"/>
    <x v="0"/>
    <x v="0"/>
    <x v="3"/>
    <x v="30"/>
    <n v="1020126"/>
  </r>
  <r>
    <x v="556"/>
    <n v="1020010"/>
    <x v="0"/>
    <x v="0"/>
    <s v="Update ACAS Scan Limitations White Paper - EAD 18"/>
    <x v="32"/>
    <n v="1"/>
    <x v="0"/>
    <m/>
    <s v="MUOS/Agile Teams/Cyber"/>
    <s v="Corcoran, David G"/>
    <x v="3"/>
    <x v="0"/>
    <e v="#N/A"/>
    <x v="0"/>
    <x v="0"/>
    <x v="3"/>
    <x v="30"/>
    <n v="1020125"/>
  </r>
  <r>
    <x v="557"/>
    <n v="1020010"/>
    <x v="0"/>
    <x v="0"/>
    <s v="Review and analyze scan data for EAD 18.0 MFR"/>
    <x v="32"/>
    <n v="3"/>
    <x v="0"/>
    <m/>
    <s v="MUOS/Agile Teams/Cyber"/>
    <s v="Corcoran, David G"/>
    <x v="3"/>
    <x v="0"/>
    <e v="#N/A"/>
    <x v="0"/>
    <x v="0"/>
    <x v="3"/>
    <x v="30"/>
    <n v="1020124"/>
  </r>
  <r>
    <x v="558"/>
    <n v="1020010"/>
    <x v="0"/>
    <x v="0"/>
    <s v="Generate and review with customer MFR for EAD 18.0"/>
    <x v="32"/>
    <n v="3"/>
    <x v="0"/>
    <m/>
    <s v="MUOS/Agile Teams/Cyber"/>
    <s v="Corcoran, David G"/>
    <x v="3"/>
    <x v="0"/>
    <e v="#N/A"/>
    <x v="0"/>
    <x v="0"/>
    <x v="3"/>
    <x v="30"/>
    <n v="1020123"/>
  </r>
  <r>
    <x v="559"/>
    <n v="245560"/>
    <x v="1"/>
    <x v="5"/>
    <s v="Cyber: MFR Deployment Support - PI 16 (Recurring)"/>
    <x v="32"/>
    <m/>
    <x v="1"/>
    <m/>
    <s v="MUOS/Agile Teams/Cyber"/>
    <s v="Corcoran, David G"/>
    <x v="3"/>
    <x v="0"/>
    <e v="#N/A"/>
    <x v="0"/>
    <x v="1"/>
    <x v="3"/>
    <x v="30"/>
    <n v="0"/>
  </r>
  <r>
    <x v="560"/>
    <n v="1020011"/>
    <x v="2"/>
    <x v="0"/>
    <s v="Submit PDO for 98-P55616M – IA - SVD"/>
    <x v="19"/>
    <m/>
    <x v="0"/>
    <m/>
    <s v="MUOS/Agile Teams/Cyber"/>
    <s v="Burnett, Johnathan D"/>
    <x v="15"/>
    <x v="0"/>
    <e v="#N/A"/>
    <x v="0"/>
    <x v="0"/>
    <x v="3"/>
    <x v="31"/>
    <n v="1021661"/>
  </r>
  <r>
    <x v="561"/>
    <n v="1020011"/>
    <x v="0"/>
    <x v="0"/>
    <s v="Update Node Config for IA patches"/>
    <x v="19"/>
    <n v="1"/>
    <x v="0"/>
    <m/>
    <s v="MUOS/Agile Teams/Cyber"/>
    <s v="Dewberry, Kirk M"/>
    <x v="23"/>
    <x v="0"/>
    <e v="#N/A"/>
    <x v="0"/>
    <x v="0"/>
    <x v="3"/>
    <x v="31"/>
    <n v="1020212"/>
  </r>
  <r>
    <x v="562"/>
    <n v="1020011"/>
    <x v="0"/>
    <x v="0"/>
    <s v="Complete SWIT Testing, and complete VLAB test for July Deployment"/>
    <x v="19"/>
    <n v="3"/>
    <x v="0"/>
    <m/>
    <s v="MUOS/Agile Teams/Cyber"/>
    <s v="Dewberry, Kirk M"/>
    <x v="23"/>
    <x v="0"/>
    <e v="#N/A"/>
    <x v="0"/>
    <x v="0"/>
    <x v="3"/>
    <x v="31"/>
    <n v="1020211"/>
  </r>
  <r>
    <x v="563"/>
    <n v="1020011"/>
    <x v="0"/>
    <x v="0"/>
    <s v="Create patch bundle,  measure/sign and formally release  to CM with final  script, download bundle to protected laptop"/>
    <x v="19"/>
    <n v="3"/>
    <x v="0"/>
    <m/>
    <s v="MUOS/Agile Teams/Cyber"/>
    <s v="Dewberry, Kirk M"/>
    <x v="23"/>
    <x v="0"/>
    <e v="#N/A"/>
    <x v="0"/>
    <x v="0"/>
    <x v="3"/>
    <x v="31"/>
    <n v="1020210"/>
  </r>
  <r>
    <x v="564"/>
    <n v="1020011"/>
    <x v="0"/>
    <x v="0"/>
    <s v="Update Node Config for IA patches"/>
    <x v="19"/>
    <n v="1"/>
    <x v="0"/>
    <m/>
    <s v="MUOS/Agile Teams/Cyber"/>
    <s v="Burnett, Johnathan D"/>
    <x v="15"/>
    <x v="0"/>
    <e v="#N/A"/>
    <x v="0"/>
    <x v="0"/>
    <x v="3"/>
    <x v="31"/>
    <n v="1020189"/>
  </r>
  <r>
    <x v="565"/>
    <n v="1020011"/>
    <x v="0"/>
    <x v="0"/>
    <s v="Complete SWIT Testing, and complete VLAB test for July Deployment"/>
    <x v="19"/>
    <n v="3"/>
    <x v="0"/>
    <m/>
    <s v="MUOS/Agile Teams/Cyber"/>
    <s v="Burnett, Johnathan D"/>
    <x v="15"/>
    <x v="0"/>
    <e v="#N/A"/>
    <x v="0"/>
    <x v="0"/>
    <x v="3"/>
    <x v="31"/>
    <n v="1020186"/>
  </r>
  <r>
    <x v="566"/>
    <n v="1020011"/>
    <x v="0"/>
    <x v="0"/>
    <s v="Create patch bundle,  measure/sign and formally release  to CM with final  script, download bundle to protected laptop"/>
    <x v="19"/>
    <n v="3"/>
    <x v="0"/>
    <m/>
    <s v="MUOS/Agile Teams/Cyber"/>
    <s v="Burnett, Johnathan D"/>
    <x v="15"/>
    <x v="0"/>
    <e v="#N/A"/>
    <x v="0"/>
    <x v="0"/>
    <x v="3"/>
    <x v="31"/>
    <n v="1020184"/>
  </r>
  <r>
    <x v="567"/>
    <n v="1020011"/>
    <x v="0"/>
    <x v="0"/>
    <s v="Support PMW Emergent Data Calls - 16.1"/>
    <x v="19"/>
    <n v="1"/>
    <x v="0"/>
    <m/>
    <s v="MUOS/Agile Teams/Cyber"/>
    <s v="Burnett, Johnathan D"/>
    <x v="15"/>
    <x v="0"/>
    <e v="#N/A"/>
    <x v="0"/>
    <x v="0"/>
    <x v="3"/>
    <x v="31"/>
    <n v="1020128"/>
  </r>
  <r>
    <x v="568"/>
    <n v="1020011"/>
    <x v="0"/>
    <x v="0"/>
    <s v="Update IA-Server-patch-tracker spreadsheet in Clear Case w/patch bundle installed"/>
    <x v="20"/>
    <n v="3"/>
    <x v="0"/>
    <m/>
    <s v="MUOS/Agile Teams/Cyber"/>
    <s v="Dewberry, Kirk M"/>
    <x v="23"/>
    <x v="0"/>
    <e v="#N/A"/>
    <x v="0"/>
    <x v="0"/>
    <x v="3"/>
    <x v="31"/>
    <n v="1020188"/>
  </r>
  <r>
    <x v="569"/>
    <n v="1020011"/>
    <x v="0"/>
    <x v="0"/>
    <s v="July 2020 IA Patch Deployment (Kirk)"/>
    <x v="20"/>
    <n v="5"/>
    <x v="0"/>
    <m/>
    <s v="MUOS/Agile Teams/Cyber"/>
    <s v="Dewberry, Kirk M"/>
    <x v="23"/>
    <x v="0"/>
    <e v="#N/A"/>
    <x v="0"/>
    <x v="0"/>
    <x v="3"/>
    <x v="31"/>
    <n v="1020145"/>
  </r>
  <r>
    <x v="570"/>
    <n v="1020011"/>
    <x v="0"/>
    <x v="0"/>
    <s v="July 2020 IA Patch Deployment (Johnathan)"/>
    <x v="20"/>
    <n v="5"/>
    <x v="0"/>
    <m/>
    <s v="MUOS/Agile Teams/Cyber"/>
    <s v="Burnett, Johnathan D"/>
    <x v="15"/>
    <x v="0"/>
    <e v="#N/A"/>
    <x v="0"/>
    <x v="0"/>
    <x v="3"/>
    <x v="31"/>
    <n v="1020144"/>
  </r>
  <r>
    <x v="571"/>
    <n v="1020011"/>
    <x v="0"/>
    <x v="0"/>
    <s v="Support PMW Emergent Data Calls - 16.2"/>
    <x v="20"/>
    <n v="1"/>
    <x v="0"/>
    <m/>
    <s v="MUOS/Agile Teams/Cyber"/>
    <s v="Burnett, Johnathan D"/>
    <x v="15"/>
    <x v="0"/>
    <e v="#N/A"/>
    <x v="0"/>
    <x v="0"/>
    <x v="3"/>
    <x v="31"/>
    <n v="1020129"/>
  </r>
  <r>
    <x v="572"/>
    <n v="1020011"/>
    <x v="0"/>
    <x v="0"/>
    <s v="Release status report with metrics spreadsheet for July Deployment"/>
    <x v="29"/>
    <n v="2"/>
    <x v="0"/>
    <m/>
    <s v="MUOS/Agile Teams/Cyber"/>
    <s v="Dewberry, Kirk M"/>
    <x v="23"/>
    <x v="0"/>
    <e v="#N/A"/>
    <x v="0"/>
    <x v="0"/>
    <x v="3"/>
    <x v="31"/>
    <n v="1020214"/>
  </r>
  <r>
    <x v="573"/>
    <n v="1020011"/>
    <x v="0"/>
    <x v="0"/>
    <s v="September 2020 Patch Deployment - Develop and finalize candidate patch target list"/>
    <x v="29"/>
    <n v="3"/>
    <x v="0"/>
    <m/>
    <s v="MUOS/Agile Teams/Cyber"/>
    <s v="Dewberry, Kirk M"/>
    <x v="23"/>
    <x v="0"/>
    <e v="#N/A"/>
    <x v="0"/>
    <x v="0"/>
    <x v="3"/>
    <x v="31"/>
    <n v="1020213"/>
  </r>
  <r>
    <x v="574"/>
    <n v="1020011"/>
    <x v="0"/>
    <x v="0"/>
    <s v="September 2020 Patch Deployment - Develop and finalize candidate patch target list"/>
    <x v="29"/>
    <n v="3"/>
    <x v="0"/>
    <m/>
    <s v="MUOS/Agile Teams/Cyber"/>
    <s v="Burnett, Johnathan D"/>
    <x v="15"/>
    <x v="0"/>
    <e v="#N/A"/>
    <x v="0"/>
    <x v="0"/>
    <x v="3"/>
    <x v="31"/>
    <n v="1020193"/>
  </r>
  <r>
    <x v="575"/>
    <n v="1020011"/>
    <x v="0"/>
    <x v="0"/>
    <s v="Updated HW SW Map for July Patch deployment"/>
    <x v="29"/>
    <n v="3"/>
    <x v="0"/>
    <m/>
    <s v="MUOS/Agile Teams/Cyber"/>
    <s v="Dewberry, Kirk M"/>
    <x v="23"/>
    <x v="0"/>
    <e v="#N/A"/>
    <x v="0"/>
    <x v="0"/>
    <x v="3"/>
    <x v="31"/>
    <n v="1020192"/>
  </r>
  <r>
    <x v="576"/>
    <n v="1020011"/>
    <x v="0"/>
    <x v="0"/>
    <s v="Release status report with metrics spreadsheet for July Deployment"/>
    <x v="29"/>
    <n v="2"/>
    <x v="0"/>
    <m/>
    <s v="MUOS/Agile Teams/Cyber"/>
    <s v="Burnett, Johnathan D"/>
    <x v="15"/>
    <x v="0"/>
    <e v="#N/A"/>
    <x v="0"/>
    <x v="0"/>
    <x v="3"/>
    <x v="31"/>
    <n v="1020191"/>
  </r>
  <r>
    <x v="577"/>
    <n v="1020011"/>
    <x v="0"/>
    <x v="0"/>
    <s v="Support PMW Emergent Data Calls - 16.3"/>
    <x v="29"/>
    <n v="1"/>
    <x v="0"/>
    <m/>
    <s v="MUOS/Agile Teams/Cyber"/>
    <s v="Burnett, Johnathan D"/>
    <x v="15"/>
    <x v="0"/>
    <e v="#N/A"/>
    <x v="0"/>
    <x v="0"/>
    <x v="3"/>
    <x v="31"/>
    <n v="1020130"/>
  </r>
  <r>
    <x v="578"/>
    <n v="1020011"/>
    <x v="0"/>
    <x v="0"/>
    <s v="Validate September Deployment Patches in SWIT/Vlab vs Site"/>
    <x v="30"/>
    <n v="2"/>
    <x v="0"/>
    <m/>
    <s v="MUOS/Agile Teams/Cyber"/>
    <s v="Dewberry, Kirk M"/>
    <x v="23"/>
    <x v="0"/>
    <e v="#N/A"/>
    <x v="0"/>
    <x v="0"/>
    <x v="3"/>
    <x v="31"/>
    <n v="1020198"/>
  </r>
  <r>
    <x v="579"/>
    <n v="1020011"/>
    <x v="0"/>
    <x v="0"/>
    <s v="Update Patch SVDs for with redlines from site and misc cleanup"/>
    <x v="30"/>
    <n v="2"/>
    <x v="0"/>
    <m/>
    <s v="MUOS/Agile Teams/Cyber"/>
    <s v="Dewberry, Kirk M"/>
    <x v="23"/>
    <x v="0"/>
    <e v="#N/A"/>
    <x v="0"/>
    <x v="0"/>
    <x v="3"/>
    <x v="31"/>
    <n v="1020196"/>
  </r>
  <r>
    <x v="580"/>
    <n v="1020011"/>
    <x v="0"/>
    <x v="0"/>
    <s v="Scan and review the patch findings from the site and SWIT and VLAB"/>
    <x v="30"/>
    <n v="3"/>
    <x v="0"/>
    <m/>
    <s v="MUOS/Agile Teams/Cyber"/>
    <s v="Dewberry, Kirk M"/>
    <x v="23"/>
    <x v="0"/>
    <e v="#N/A"/>
    <x v="0"/>
    <x v="0"/>
    <x v="3"/>
    <x v="31"/>
    <n v="1020194"/>
  </r>
  <r>
    <x v="581"/>
    <n v="1020011"/>
    <x v="0"/>
    <x v="0"/>
    <s v="Support PMW Emergent Data Calls - 16.4"/>
    <x v="30"/>
    <n v="1"/>
    <x v="0"/>
    <m/>
    <s v="MUOS/Agile Teams/Cyber"/>
    <s v="Burnett, Johnathan D"/>
    <x v="15"/>
    <x v="0"/>
    <e v="#N/A"/>
    <x v="0"/>
    <x v="0"/>
    <x v="3"/>
    <x v="31"/>
    <n v="1020131"/>
  </r>
  <r>
    <x v="582"/>
    <n v="1020011"/>
    <x v="0"/>
    <x v="0"/>
    <s v="Download September patches, and update patching script"/>
    <x v="31"/>
    <n v="2"/>
    <x v="0"/>
    <m/>
    <s v="MUOS/Agile Teams/Cyber"/>
    <s v="Dewberry, Kirk M"/>
    <x v="23"/>
    <x v="0"/>
    <e v="#N/A"/>
    <x v="0"/>
    <x v="0"/>
    <x v="3"/>
    <x v="31"/>
    <n v="1020207"/>
  </r>
  <r>
    <x v="583"/>
    <n v="1020011"/>
    <x v="0"/>
    <x v="0"/>
    <s v="Complete SWIT testing For September Patches"/>
    <x v="31"/>
    <n v="2"/>
    <x v="0"/>
    <m/>
    <s v="MUOS/Agile Teams/Cyber"/>
    <s v="Dewberry, Kirk M"/>
    <x v="23"/>
    <x v="0"/>
    <e v="#N/A"/>
    <x v="0"/>
    <x v="0"/>
    <x v="3"/>
    <x v="31"/>
    <n v="1020199"/>
  </r>
  <r>
    <x v="584"/>
    <n v="1020011"/>
    <x v="0"/>
    <x v="0"/>
    <s v="Support PMW Emergent Data Calls - 16.5"/>
    <x v="31"/>
    <n v="1"/>
    <x v="0"/>
    <m/>
    <s v="MUOS/Agile Teams/Cyber"/>
    <s v="Burnett, Johnathan D"/>
    <x v="15"/>
    <x v="0"/>
    <e v="#N/A"/>
    <x v="0"/>
    <x v="0"/>
    <x v="3"/>
    <x v="31"/>
    <n v="1020132"/>
  </r>
  <r>
    <x v="585"/>
    <n v="1020011"/>
    <x v="0"/>
    <x v="0"/>
    <s v="Patch Gen 2 ETT Laptops in the Depot"/>
    <x v="32"/>
    <n v="2"/>
    <x v="0"/>
    <m/>
    <s v="MUOS/Agile Teams/Cyber"/>
    <s v="Burnett, Johnathan D"/>
    <x v="15"/>
    <x v="0"/>
    <e v="#N/A"/>
    <x v="0"/>
    <x v="0"/>
    <x v="3"/>
    <x v="31"/>
    <n v="1021011"/>
  </r>
  <r>
    <x v="586"/>
    <n v="245560"/>
    <x v="1"/>
    <x v="5"/>
    <s v="Cyber: TO3 IA Patching - PI 16 (Recurring)"/>
    <x v="32"/>
    <m/>
    <x v="2"/>
    <m/>
    <s v="MUOS/Agile Teams/Cyber"/>
    <s v="Burnett, Johnathan D"/>
    <x v="15"/>
    <x v="0"/>
    <e v="#N/A"/>
    <x v="0"/>
    <x v="1"/>
    <x v="3"/>
    <x v="31"/>
    <n v="0"/>
  </r>
  <r>
    <x v="587"/>
    <n v="245559"/>
    <x v="3"/>
    <x v="1"/>
    <s v="HBSS Compliance and Upgrades For FOUO and High Side"/>
    <x v="1"/>
    <m/>
    <x v="0"/>
    <m/>
    <s v="MUOS/Agile Teams/Cyber"/>
    <s v="Ebert, Brandon L"/>
    <x v="13"/>
    <x v="0"/>
    <e v="#N/A"/>
    <x v="0"/>
    <x v="0"/>
    <x v="4"/>
    <x v="32"/>
    <n v="0"/>
  </r>
  <r>
    <x v="588"/>
    <n v="350955"/>
    <x v="1"/>
    <x v="1"/>
    <s v="Feature 350268: HBSS modules update/addition system analysis (AVE, HIPS, Policy Auditor, RSD, and EPO)"/>
    <x v="1"/>
    <m/>
    <x v="0"/>
    <m/>
    <s v="MUOS/Agile Teams/Okapi"/>
    <s v="Ebert, Brandon L"/>
    <x v="13"/>
    <x v="5"/>
    <e v="#N/A"/>
    <x v="0"/>
    <x v="2"/>
    <x v="4"/>
    <x v="33"/>
    <n v="0"/>
  </r>
  <r>
    <x v="589"/>
    <n v="350955"/>
    <x v="1"/>
    <x v="4"/>
    <s v="HBSS: Develop, Implement, Test, and Deploy: ePO - Policy Auditor File Integrity (FIM) Module, Win2012R2 STIGs Update, HIPS Option Policy Findings"/>
    <x v="1"/>
    <m/>
    <x v="0"/>
    <m/>
    <s v="MUOS/Agile Teams/System Engineering"/>
    <s v="Ebert, Brandon L"/>
    <x v="13"/>
    <x v="3"/>
    <e v="#N/A"/>
    <x v="0"/>
    <x v="2"/>
    <x v="4"/>
    <x v="34"/>
    <n v="0"/>
  </r>
  <r>
    <x v="590"/>
    <n v="350955"/>
    <x v="1"/>
    <x v="1"/>
    <s v="HBSS: Investigate/Generate the effort: ePO and Manage Hosts - Common, Compliant Low/High Sides Architecture"/>
    <x v="1"/>
    <m/>
    <x v="0"/>
    <m/>
    <s v="MUOS/Agile Teams/Okapi"/>
    <s v="Ebert, Brandon L"/>
    <x v="13"/>
    <x v="5"/>
    <e v="#N/A"/>
    <x v="0"/>
    <x v="2"/>
    <x v="4"/>
    <x v="35"/>
    <n v="0"/>
  </r>
  <r>
    <x v="591"/>
    <n v="350955"/>
    <x v="1"/>
    <x v="1"/>
    <s v="HBSS: Investigate/Generate findings: STIG compliance ePO - SQL DB"/>
    <x v="1"/>
    <m/>
    <x v="0"/>
    <m/>
    <s v="MUOS/Agile Teams/Okapi"/>
    <s v="Ebert, Brandon L"/>
    <x v="13"/>
    <x v="5"/>
    <e v="#N/A"/>
    <x v="0"/>
    <x v="2"/>
    <x v="4"/>
    <x v="36"/>
    <n v="0"/>
  </r>
  <r>
    <x v="592"/>
    <n v="350955"/>
    <x v="1"/>
    <x v="1"/>
    <s v="HBSS: Develop, Implement, and Deploy: STIG compliance ePO - SQL DB"/>
    <x v="1"/>
    <m/>
    <x v="0"/>
    <m/>
    <s v="MUOS/Agile Teams/Okapi"/>
    <s v="Ebert, Brandon L"/>
    <x v="13"/>
    <x v="5"/>
    <e v="#N/A"/>
    <x v="0"/>
    <x v="2"/>
    <x v="4"/>
    <x v="37"/>
    <n v="0"/>
  </r>
  <r>
    <x v="593"/>
    <n v="350955"/>
    <x v="1"/>
    <x v="1"/>
    <s v="HBSS: Investigate/Generate the effort: ePO - ArcSight Connector Module"/>
    <x v="1"/>
    <m/>
    <x v="0"/>
    <m/>
    <s v="MUOS/Agile Teams/Okapi"/>
    <s v="Ebert, Brandon L"/>
    <x v="13"/>
    <x v="5"/>
    <e v="#N/A"/>
    <x v="0"/>
    <x v="2"/>
    <x v="4"/>
    <x v="38"/>
    <n v="0"/>
  </r>
  <r>
    <x v="594"/>
    <n v="350955"/>
    <x v="1"/>
    <x v="1"/>
    <s v="HBSS: Develop, Implement, and Deploy: ePO - ArcSight Connector Moddule"/>
    <x v="1"/>
    <m/>
    <x v="0"/>
    <m/>
    <s v="MUOS/Agile Teams/Okapi"/>
    <s v="Ebert, Brandon L"/>
    <x v="13"/>
    <x v="5"/>
    <e v="#N/A"/>
    <x v="0"/>
    <x v="2"/>
    <x v="4"/>
    <x v="39"/>
    <n v="0"/>
  </r>
  <r>
    <x v="595"/>
    <n v="350955"/>
    <x v="1"/>
    <x v="1"/>
    <s v="HBSS: Investigate/Generate the effort: Managed Hosts - McAfee Application Control (MAC)  Module"/>
    <x v="1"/>
    <m/>
    <x v="0"/>
    <m/>
    <s v="MUOS/Agile Teams/Okapi"/>
    <s v="Ebert, Brandon L"/>
    <x v="13"/>
    <x v="5"/>
    <e v="#N/A"/>
    <x v="0"/>
    <x v="2"/>
    <x v="4"/>
    <x v="40"/>
    <n v="0"/>
  </r>
  <r>
    <x v="596"/>
    <n v="350955"/>
    <x v="1"/>
    <x v="1"/>
    <s v="HBSS: Develop, Implement, and Deploy: Identified/Applicable Mananged Hosts - MAC Module"/>
    <x v="1"/>
    <m/>
    <x v="0"/>
    <m/>
    <s v="MUOS/Agile Teams/Okapi"/>
    <s v="Ebert, Brandon L"/>
    <x v="13"/>
    <x v="5"/>
    <e v="#N/A"/>
    <x v="0"/>
    <x v="2"/>
    <x v="4"/>
    <x v="41"/>
    <n v="0"/>
  </r>
  <r>
    <x v="597"/>
    <n v="350955"/>
    <x v="1"/>
    <x v="1"/>
    <s v="HBSS: Generate HIPS (IPS, Firewall)/VSE Analysis and Address Findings - HBSS Low Side - SF"/>
    <x v="1"/>
    <m/>
    <x v="0"/>
    <m/>
    <s v="MUOS/Agile Teams/Okapi"/>
    <s v="Ebert, Brandon L"/>
    <x v="13"/>
    <x v="5"/>
    <e v="#N/A"/>
    <x v="0"/>
    <x v="2"/>
    <x v="4"/>
    <x v="42"/>
    <n v="0"/>
  </r>
  <r>
    <x v="598"/>
    <n v="351942"/>
    <x v="0"/>
    <x v="0"/>
    <s v="Feature 351942: IA Posture Assessment"/>
    <x v="0"/>
    <n v="8"/>
    <x v="0"/>
    <s v="#351948"/>
    <s v="MUOS/Agile Teams/Cyber"/>
    <s v="Unassigned"/>
    <x v="0"/>
    <x v="0"/>
    <e v="#N/A"/>
    <x v="0"/>
    <x v="0"/>
    <x v="4"/>
    <x v="42"/>
    <n v="351945"/>
  </r>
  <r>
    <x v="599"/>
    <n v="350955"/>
    <x v="1"/>
    <x v="1"/>
    <s v="HBSS: Generate HIPS (IPS, Firewall)/VSE Analysis and Address Findings - HBSS Low Side - RAF"/>
    <x v="1"/>
    <m/>
    <x v="0"/>
    <m/>
    <s v="MUOS/Agile Teams/Okapi"/>
    <s v="Ebert, Brandon L"/>
    <x v="13"/>
    <x v="5"/>
    <e v="#N/A"/>
    <x v="0"/>
    <x v="2"/>
    <x v="4"/>
    <x v="43"/>
    <n v="0"/>
  </r>
  <r>
    <x v="600"/>
    <n v="351959"/>
    <x v="0"/>
    <x v="0"/>
    <s v="Feature 351959: IA Posture Assessment"/>
    <x v="0"/>
    <n v="8"/>
    <x v="0"/>
    <s v="#351965"/>
    <s v="MUOS/Agile Teams/Cyber"/>
    <s v="Unassigned"/>
    <x v="0"/>
    <x v="0"/>
    <e v="#N/A"/>
    <x v="0"/>
    <x v="0"/>
    <x v="4"/>
    <x v="43"/>
    <n v="351962"/>
  </r>
  <r>
    <x v="601"/>
    <n v="350955"/>
    <x v="1"/>
    <x v="1"/>
    <s v="HBSS: Generate HIPS (IPS, Firewall)/VSE Analysis and Address Findings - HBSS Low Side - NMF"/>
    <x v="1"/>
    <m/>
    <x v="0"/>
    <m/>
    <s v="MUOS/Agile Teams/Okapi"/>
    <s v="Ebert, Brandon L"/>
    <x v="13"/>
    <x v="5"/>
    <e v="#N/A"/>
    <x v="0"/>
    <x v="2"/>
    <x v="4"/>
    <x v="44"/>
    <n v="0"/>
  </r>
  <r>
    <x v="602"/>
    <n v="351977"/>
    <x v="0"/>
    <x v="0"/>
    <s v="Feature 351977: IA Posture Assessment"/>
    <x v="0"/>
    <n v="8"/>
    <x v="0"/>
    <s v="#351983"/>
    <s v="MUOS/Agile Teams/Cyber"/>
    <s v="Unassigned"/>
    <x v="0"/>
    <x v="0"/>
    <e v="#N/A"/>
    <x v="0"/>
    <x v="0"/>
    <x v="4"/>
    <x v="44"/>
    <n v="351980"/>
  </r>
  <r>
    <x v="603"/>
    <n v="350955"/>
    <x v="1"/>
    <x v="1"/>
    <s v="HBSS: Develop, Implement, and Deploy: New ePO and Managed Hosts - HBSS Low Side"/>
    <x v="1"/>
    <m/>
    <x v="0"/>
    <m/>
    <s v="MUOS/Agile Teams/Okapi"/>
    <s v="Ebert, Brandon L"/>
    <x v="13"/>
    <x v="5"/>
    <e v="#N/A"/>
    <x v="0"/>
    <x v="2"/>
    <x v="4"/>
    <x v="45"/>
    <n v="0"/>
  </r>
  <r>
    <x v="604"/>
    <n v="351997"/>
    <x v="0"/>
    <x v="0"/>
    <s v="Feature 351997: IA Posture Assessment"/>
    <x v="0"/>
    <n v="8"/>
    <x v="0"/>
    <s v="#352003"/>
    <s v="MUOS/Agile Teams/Cyber"/>
    <s v="Unassigned"/>
    <x v="0"/>
    <x v="0"/>
    <e v="#N/A"/>
    <x v="0"/>
    <x v="0"/>
    <x v="4"/>
    <x v="45"/>
    <n v="352000"/>
  </r>
  <r>
    <x v="605"/>
    <n v="350955"/>
    <x v="1"/>
    <x v="1"/>
    <s v="HBSS: Develop, Implement, and Deploy New ePO (5.9.x) - HBSS High Side"/>
    <x v="1"/>
    <m/>
    <x v="0"/>
    <m/>
    <s v="MUOS/Agile Teams/Okapi"/>
    <s v="Ebert, Brandon L"/>
    <x v="13"/>
    <x v="5"/>
    <e v="#N/A"/>
    <x v="0"/>
    <x v="2"/>
    <x v="4"/>
    <x v="46"/>
    <n v="0"/>
  </r>
  <r>
    <x v="606"/>
    <n v="352189"/>
    <x v="0"/>
    <x v="0"/>
    <s v="Feature 352189: IA Posture Assessment"/>
    <x v="0"/>
    <n v="8"/>
    <x v="0"/>
    <s v="#352195"/>
    <s v="MUOS/Agile Teams/Cyber"/>
    <s v="Unassigned"/>
    <x v="0"/>
    <x v="0"/>
    <e v="#N/A"/>
    <x v="0"/>
    <x v="0"/>
    <x v="4"/>
    <x v="46"/>
    <n v="352192"/>
  </r>
  <r>
    <x v="607"/>
    <n v="245559"/>
    <x v="3"/>
    <x v="1"/>
    <s v="MUOS Approved HW List Management"/>
    <x v="0"/>
    <m/>
    <x v="0"/>
    <m/>
    <s v="MUOS/Agile Teams/Cyber"/>
    <s v="Dailey, Conan B"/>
    <x v="8"/>
    <x v="0"/>
    <e v="#N/A"/>
    <x v="0"/>
    <x v="0"/>
    <x v="5"/>
    <x v="32"/>
    <n v="0"/>
  </r>
  <r>
    <x v="608"/>
    <n v="245559"/>
    <x v="3"/>
    <x v="1"/>
    <s v="MUOS Approved SW List Management"/>
    <x v="0"/>
    <m/>
    <x v="0"/>
    <m/>
    <s v="MUOS/Agile Teams/Cyber"/>
    <s v="Dailey, Conan B"/>
    <x v="8"/>
    <x v="0"/>
    <e v="#N/A"/>
    <x v="0"/>
    <x v="0"/>
    <x v="6"/>
    <x v="32"/>
    <n v="0"/>
  </r>
  <r>
    <x v="609"/>
    <n v="385655"/>
    <x v="2"/>
    <x v="2"/>
    <s v="IA Patching SVD Clean-up: October 2019 Deployment"/>
    <x v="6"/>
    <m/>
    <x v="0"/>
    <m/>
    <s v="MUOS/Agile Teams/Cyber"/>
    <s v="Burnett, Johnathan D"/>
    <x v="15"/>
    <x v="0"/>
    <e v="#N/A"/>
    <x v="0"/>
    <x v="0"/>
    <x v="7"/>
    <x v="47"/>
    <n v="376260"/>
  </r>
  <r>
    <x v="610"/>
    <n v="1022167"/>
    <x v="3"/>
    <x v="6"/>
    <s v="TO-10: IA Analysis and Support"/>
    <x v="32"/>
    <m/>
    <x v="0"/>
    <m/>
    <s v="MUOS/Agile Teams/Cyber"/>
    <s v="Syring, Michael-P64348"/>
    <x v="14"/>
    <x v="0"/>
    <e v="#N/A"/>
    <x v="0"/>
    <x v="0"/>
    <x v="8"/>
    <x v="32"/>
    <n v="0"/>
  </r>
  <r>
    <x v="611"/>
    <n v="1022362"/>
    <x v="1"/>
    <x v="5"/>
    <s v="TO-10 IA: Support NSA Discussions (PI16)"/>
    <x v="33"/>
    <m/>
    <x v="1"/>
    <m/>
    <s v="MUOS/Agile Teams/WWTS"/>
    <s v="Syring, Michael-P64348"/>
    <x v="14"/>
    <x v="1"/>
    <e v="#N/A"/>
    <x v="0"/>
    <x v="2"/>
    <x v="8"/>
    <x v="48"/>
    <n v="0"/>
  </r>
  <r>
    <x v="612"/>
    <n v="1022319"/>
    <x v="0"/>
    <x v="0"/>
    <s v="Complete the Exam - Aidan Spies"/>
    <x v="32"/>
    <n v="1"/>
    <x v="0"/>
    <m/>
    <s v="MUOS/Agile Teams/Magic"/>
    <s v="Spies, Aidan M."/>
    <x v="14"/>
    <x v="4"/>
    <e v="#N/A"/>
    <x v="0"/>
    <x v="0"/>
    <x v="9"/>
    <x v="49"/>
    <n v="1023321"/>
  </r>
  <r>
    <x v="613"/>
    <n v="1022319"/>
    <x v="0"/>
    <x v="0"/>
    <s v="Complete the Exam - Bob Baumgartner"/>
    <x v="32"/>
    <n v="1"/>
    <x v="0"/>
    <m/>
    <s v="MUOS/Agile Teams/Octopi"/>
    <s v="Baumgartner, Robert-p57221"/>
    <x v="14"/>
    <x v="1"/>
    <e v="#N/A"/>
    <x v="0"/>
    <x v="0"/>
    <x v="9"/>
    <x v="49"/>
    <n v="1023320"/>
  </r>
  <r>
    <x v="614"/>
    <n v="1022319"/>
    <x v="0"/>
    <x v="0"/>
    <s v="Attend Online Training - Aidan Spies"/>
    <x v="32"/>
    <n v="5"/>
    <x v="0"/>
    <m/>
    <s v="MUOS/Agile Teams/Magic"/>
    <s v="Spies, Aidan M."/>
    <x v="14"/>
    <x v="4"/>
    <e v="#N/A"/>
    <x v="0"/>
    <x v="0"/>
    <x v="9"/>
    <x v="49"/>
    <n v="1023317"/>
  </r>
  <r>
    <x v="615"/>
    <n v="1022319"/>
    <x v="0"/>
    <x v="0"/>
    <s v="Attend Online Training - Bob Baumgartner"/>
    <x v="32"/>
    <n v="5"/>
    <x v="0"/>
    <m/>
    <s v="MUOS/Agile Teams/Octopi"/>
    <s v="Baumgartner, Robert-p57221"/>
    <x v="14"/>
    <x v="1"/>
    <e v="#N/A"/>
    <x v="0"/>
    <x v="0"/>
    <x v="9"/>
    <x v="49"/>
    <n v="1023316"/>
  </r>
  <r>
    <x v="616"/>
    <n v="1022319"/>
    <x v="0"/>
    <x v="0"/>
    <s v="Self-Study for the Exam - Aidan Spies"/>
    <x v="32"/>
    <n v="8"/>
    <x v="0"/>
    <m/>
    <s v="MUOS/Agile Teams/Magic"/>
    <s v="Spies, Aidan M."/>
    <x v="14"/>
    <x v="4"/>
    <e v="#N/A"/>
    <x v="0"/>
    <x v="0"/>
    <x v="9"/>
    <x v="49"/>
    <n v="1023314"/>
  </r>
  <r>
    <x v="617"/>
    <n v="1022319"/>
    <x v="0"/>
    <x v="0"/>
    <s v="Self-Study for the Exam - Bob Baumgartner"/>
    <x v="32"/>
    <n v="8"/>
    <x v="0"/>
    <m/>
    <s v="MUOS/Agile Teams/Octopi"/>
    <s v="Baumgartner, Robert-p57221"/>
    <x v="14"/>
    <x v="1"/>
    <e v="#N/A"/>
    <x v="0"/>
    <x v="0"/>
    <x v="9"/>
    <x v="49"/>
    <n v="1023313"/>
  </r>
  <r>
    <x v="618"/>
    <n v="1022319"/>
    <x v="0"/>
    <x v="0"/>
    <s v="Complete the Exam - Michael Valverde"/>
    <x v="32"/>
    <n v="1"/>
    <x v="0"/>
    <m/>
    <s v="MUOS/Agile Teams/Okapi2"/>
    <s v="Valverde, Michael-P57677"/>
    <x v="29"/>
    <x v="1"/>
    <e v="#N/A"/>
    <x v="0"/>
    <x v="0"/>
    <x v="9"/>
    <x v="49"/>
    <n v="1023311"/>
  </r>
  <r>
    <x v="619"/>
    <n v="1022319"/>
    <x v="0"/>
    <x v="0"/>
    <s v="Attend Online Training - Michael Valverde"/>
    <x v="32"/>
    <n v="5"/>
    <x v="0"/>
    <m/>
    <s v="MUOS/Agile Teams/Okapi2"/>
    <s v="Valverde, Michael-P57677"/>
    <x v="29"/>
    <x v="1"/>
    <e v="#N/A"/>
    <x v="0"/>
    <x v="0"/>
    <x v="9"/>
    <x v="49"/>
    <n v="1023310"/>
  </r>
  <r>
    <x v="620"/>
    <n v="1022319"/>
    <x v="0"/>
    <x v="0"/>
    <s v="Self-Study for the Exam - Michael Valverde"/>
    <x v="32"/>
    <n v="8"/>
    <x v="0"/>
    <m/>
    <s v="MUOS/Agile Teams/Okapi2"/>
    <s v="Valverde, Michael-P57677"/>
    <x v="29"/>
    <x v="1"/>
    <e v="#N/A"/>
    <x v="0"/>
    <x v="0"/>
    <x v="9"/>
    <x v="49"/>
    <n v="1023309"/>
  </r>
  <r>
    <x v="621"/>
    <n v="1022319"/>
    <x v="0"/>
    <x v="0"/>
    <s v="Complete the Exam - Anil Boddapati"/>
    <x v="32"/>
    <n v="1"/>
    <x v="0"/>
    <m/>
    <s v="MUOS/Agile Teams/Magic"/>
    <s v="Boddapati, Anil"/>
    <x v="14"/>
    <x v="4"/>
    <e v="#N/A"/>
    <x v="0"/>
    <x v="0"/>
    <x v="9"/>
    <x v="49"/>
    <n v="1022322"/>
  </r>
  <r>
    <x v="622"/>
    <n v="1022319"/>
    <x v="0"/>
    <x v="0"/>
    <s v="Attend Online Training - Anil Boddapati"/>
    <x v="32"/>
    <n v="5"/>
    <x v="0"/>
    <m/>
    <s v="MUOS/Agile Teams/Magic"/>
    <s v="Boddapati, Anil"/>
    <x v="14"/>
    <x v="4"/>
    <e v="#N/A"/>
    <x v="0"/>
    <x v="0"/>
    <x v="9"/>
    <x v="49"/>
    <n v="1022321"/>
  </r>
  <r>
    <x v="623"/>
    <n v="1022319"/>
    <x v="0"/>
    <x v="0"/>
    <s v="Self-Study for the Exam - Anil Boddapati"/>
    <x v="32"/>
    <n v="8"/>
    <x v="0"/>
    <m/>
    <s v="MUOS/Agile Teams/Magic"/>
    <s v="Boddapati, Anil"/>
    <x v="14"/>
    <x v="4"/>
    <e v="#N/A"/>
    <x v="0"/>
    <x v="0"/>
    <x v="9"/>
    <x v="49"/>
    <n v="1022320"/>
  </r>
  <r>
    <x v="624"/>
    <n v="1022688"/>
    <x v="1"/>
    <x v="5"/>
    <s v="1022319: IAT Security Compliance Execution - PI 16"/>
    <x v="33"/>
    <m/>
    <x v="1"/>
    <m/>
    <s v="MUOS/Agile Teams/Cyber"/>
    <s v="Johnson, Derek T"/>
    <x v="2"/>
    <x v="0"/>
    <e v="#N/A"/>
    <x v="0"/>
    <x v="1"/>
    <x v="9"/>
    <x v="49"/>
    <n v="0"/>
  </r>
  <r>
    <x v="625"/>
    <n v="1023424"/>
    <x v="0"/>
    <x v="0"/>
    <s v="Complete the Exam - Person A"/>
    <x v="34"/>
    <n v="1"/>
    <x v="0"/>
    <m/>
    <s v="MUOS"/>
    <s v="Unassigned"/>
    <x v="0"/>
    <x v="1"/>
    <e v="#N/A"/>
    <x v="0"/>
    <x v="0"/>
    <x v="9"/>
    <x v="50"/>
    <n v="1023427"/>
  </r>
  <r>
    <x v="626"/>
    <n v="1023424"/>
    <x v="0"/>
    <x v="0"/>
    <s v="Attend Online Training - Person A"/>
    <x v="34"/>
    <n v="5"/>
    <x v="0"/>
    <m/>
    <s v="MUOS"/>
    <s v="Unassigned"/>
    <x v="0"/>
    <x v="1"/>
    <e v="#N/A"/>
    <x v="0"/>
    <x v="0"/>
    <x v="9"/>
    <x v="50"/>
    <n v="1023426"/>
  </r>
  <r>
    <x v="627"/>
    <n v="1023424"/>
    <x v="0"/>
    <x v="0"/>
    <s v="Self-Study for the Exam - Person A"/>
    <x v="34"/>
    <n v="8"/>
    <x v="0"/>
    <m/>
    <s v="MUOS"/>
    <s v="Unassigned"/>
    <x v="0"/>
    <x v="1"/>
    <e v="#N/A"/>
    <x v="0"/>
    <x v="0"/>
    <x v="9"/>
    <x v="50"/>
    <n v="1023425"/>
  </r>
  <r>
    <x v="628"/>
    <n v="1022688"/>
    <x v="1"/>
    <x v="1"/>
    <s v="1023424: IAT Security Compliance Execution - PI 17"/>
    <x v="34"/>
    <m/>
    <x v="0"/>
    <m/>
    <s v="MUOS/Agile Teams/Cyber"/>
    <s v="Johnson, Derek T"/>
    <x v="2"/>
    <x v="0"/>
    <e v="#N/A"/>
    <x v="0"/>
    <x v="1"/>
    <x v="9"/>
    <x v="50"/>
    <n v="0"/>
  </r>
  <r>
    <x v="629"/>
    <n v="1023428"/>
    <x v="0"/>
    <x v="0"/>
    <s v="Complete the Exam - Person A"/>
    <x v="35"/>
    <n v="1"/>
    <x v="0"/>
    <m/>
    <s v="MUOS"/>
    <s v="Unassigned"/>
    <x v="0"/>
    <x v="1"/>
    <e v="#N/A"/>
    <x v="0"/>
    <x v="0"/>
    <x v="9"/>
    <x v="51"/>
    <n v="1023431"/>
  </r>
  <r>
    <x v="630"/>
    <n v="1023428"/>
    <x v="0"/>
    <x v="0"/>
    <s v="Attend Online Training - Person A"/>
    <x v="35"/>
    <n v="5"/>
    <x v="0"/>
    <m/>
    <s v="MUOS"/>
    <s v="Unassigned"/>
    <x v="0"/>
    <x v="1"/>
    <e v="#N/A"/>
    <x v="0"/>
    <x v="0"/>
    <x v="9"/>
    <x v="51"/>
    <n v="1023430"/>
  </r>
  <r>
    <x v="631"/>
    <n v="1023428"/>
    <x v="0"/>
    <x v="0"/>
    <s v="Self-Study for the Exam - Person A"/>
    <x v="35"/>
    <n v="8"/>
    <x v="0"/>
    <m/>
    <s v="MUOS"/>
    <s v="Unassigned"/>
    <x v="0"/>
    <x v="1"/>
    <e v="#N/A"/>
    <x v="0"/>
    <x v="0"/>
    <x v="9"/>
    <x v="51"/>
    <n v="1023429"/>
  </r>
  <r>
    <x v="632"/>
    <n v="1022688"/>
    <x v="1"/>
    <x v="1"/>
    <s v="1023428: IAT Security Compliance Execution - PI 18"/>
    <x v="35"/>
    <m/>
    <x v="0"/>
    <m/>
    <s v="MUOS/Agile Teams/Cyber"/>
    <s v="Johnson, Derek T"/>
    <x v="2"/>
    <x v="0"/>
    <e v="#N/A"/>
    <x v="0"/>
    <x v="1"/>
    <x v="9"/>
    <x v="51"/>
    <n v="0"/>
  </r>
  <r>
    <x v="633"/>
    <n v="216473"/>
    <x v="0"/>
    <x v="0"/>
    <s v="Feature 216473: IA Patching and STIGs Part 1 of N for Change Key Mgmt A4/A7 Provisioning to be Manual Instead of Automatic"/>
    <x v="1"/>
    <n v="5"/>
    <x v="0"/>
    <s v="#339787"/>
    <s v="MUOS/Agile Teams/Cyber"/>
    <s v="Unassigned"/>
    <x v="0"/>
    <x v="0"/>
    <e v="#N/A"/>
    <x v="0"/>
    <x v="1"/>
    <x v="10"/>
    <x v="52"/>
    <n v="339792"/>
  </r>
  <r>
    <x v="634"/>
    <n v="216473"/>
    <x v="0"/>
    <x v="0"/>
    <s v="Feature 216473: IA Posture Assessment for Change Key Mgmt A4/A7 Provisioning to be Manual Instead of Automatic"/>
    <x v="1"/>
    <n v="8"/>
    <x v="0"/>
    <s v="#339792"/>
    <s v="MUOS/Agile Teams/Cyber"/>
    <s v="Unassigned"/>
    <x v="0"/>
    <x v="0"/>
    <e v="#N/A"/>
    <x v="0"/>
    <x v="1"/>
    <x v="10"/>
    <x v="52"/>
    <n v="339789"/>
  </r>
  <r>
    <x v="635"/>
    <n v="216473"/>
    <x v="0"/>
    <x v="0"/>
    <s v="Feature 216473: IA - Define Patch/ Stig Requirements for Change Key Mgmt A4/A7 Provisioning to be Manual Instead of Automatic"/>
    <x v="1"/>
    <n v="2"/>
    <x v="0"/>
    <m/>
    <s v="MUOS/Agile Teams/Cyber"/>
    <s v="Unassigned"/>
    <x v="0"/>
    <x v="0"/>
    <e v="#N/A"/>
    <x v="0"/>
    <x v="1"/>
    <x v="10"/>
    <x v="52"/>
    <n v="339787"/>
  </r>
  <r>
    <x v="636"/>
    <n v="318430"/>
    <x v="0"/>
    <x v="2"/>
    <s v="Feature 318430 ETT: Review DADMS status"/>
    <x v="8"/>
    <n v="1"/>
    <x v="0"/>
    <m/>
    <s v="MUOS/Agile Teams/Cyber"/>
    <s v="Corcoran, David G"/>
    <x v="3"/>
    <x v="0"/>
    <e v="#N/A"/>
    <x v="8"/>
    <x v="1"/>
    <x v="10"/>
    <x v="53"/>
    <n v="374887"/>
  </r>
  <r>
    <x v="637"/>
    <n v="318430"/>
    <x v="0"/>
    <x v="2"/>
    <s v="Feature 318430 ETT: support  IA Patching and STIGs Assessment (Initial Assessment - part 2)"/>
    <x v="4"/>
    <n v="3"/>
    <x v="0"/>
    <m/>
    <s v="MUOS/Agile Teams/Cyber"/>
    <s v="Murray, Will-P67105"/>
    <x v="4"/>
    <x v="0"/>
    <e v="#N/A"/>
    <x v="8"/>
    <x v="1"/>
    <x v="10"/>
    <x v="53"/>
    <n v="377325"/>
  </r>
  <r>
    <x v="638"/>
    <n v="318430"/>
    <x v="0"/>
    <x v="2"/>
    <s v="Feature 318430 ETT: support  IA Patching and STIGs Assessment (Initial Assessment)"/>
    <x v="4"/>
    <n v="1"/>
    <x v="0"/>
    <m/>
    <s v="MUOS/Agile Teams/Cyber"/>
    <s v="Corcoran, David G"/>
    <x v="3"/>
    <x v="0"/>
    <e v="#N/A"/>
    <x v="8"/>
    <x v="1"/>
    <x v="10"/>
    <x v="53"/>
    <n v="377324"/>
  </r>
  <r>
    <x v="639"/>
    <n v="318430"/>
    <x v="0"/>
    <x v="2"/>
    <s v="Feature 318430: Build ILS laptops for VLAB"/>
    <x v="26"/>
    <n v="3"/>
    <x v="0"/>
    <m/>
    <s v="MUOS/Agile Teams/Cyber"/>
    <s v="Burnett, Johnathan D"/>
    <x v="15"/>
    <x v="0"/>
    <e v="#N/A"/>
    <x v="8"/>
    <x v="1"/>
    <x v="10"/>
    <x v="53"/>
    <n v="391363"/>
  </r>
  <r>
    <x v="640"/>
    <n v="318430"/>
    <x v="0"/>
    <x v="2"/>
    <s v="Feature 390286: Update Account Maintenance Plan with improved password guidance - 13.3"/>
    <x v="23"/>
    <n v="5"/>
    <x v="0"/>
    <m/>
    <s v="MUOS/Agile Teams/Cyber"/>
    <s v="Stevens, Alice L"/>
    <x v="19"/>
    <x v="0"/>
    <e v="#N/A"/>
    <x v="8"/>
    <x v="1"/>
    <x v="10"/>
    <x v="53"/>
    <n v="390288"/>
  </r>
  <r>
    <x v="641"/>
    <n v="327793"/>
    <x v="0"/>
    <x v="0"/>
    <s v="Allow Deletion of a Group Key Set from a Terminal Profile (Enabler): IA support"/>
    <x v="1"/>
    <n v="5"/>
    <x v="0"/>
    <m/>
    <s v="MUOS/Agile Teams/Cyber"/>
    <s v="Morton, Randall-P57014"/>
    <x v="9"/>
    <x v="0"/>
    <e v="#N/A"/>
    <x v="0"/>
    <x v="1"/>
    <x v="10"/>
    <x v="54"/>
    <n v="368600"/>
  </r>
  <r>
    <x v="642"/>
    <n v="338744"/>
    <x v="0"/>
    <x v="0"/>
    <s v="Feature 338744: IATT Compliance &amp; IA Posture Assessment"/>
    <x v="1"/>
    <n v="3"/>
    <x v="1"/>
    <s v="#339136"/>
    <s v="MUOS/Agile Teams/Cyber"/>
    <s v="Vaughn, Gerald D (NE)"/>
    <x v="12"/>
    <x v="0"/>
    <e v="#N/A"/>
    <x v="0"/>
    <x v="1"/>
    <x v="10"/>
    <x v="55"/>
    <n v="339133"/>
  </r>
  <r>
    <x v="643"/>
    <n v="338744"/>
    <x v="0"/>
    <x v="0"/>
    <s v="Feature 338744: Define Patches/STIGs - Initial Scans"/>
    <x v="1"/>
    <n v="2"/>
    <x v="1"/>
    <m/>
    <s v="MUOS/Agile Teams/Cyber"/>
    <s v="Vaughn, Gerald D (NE)"/>
    <x v="12"/>
    <x v="0"/>
    <e v="#N/A"/>
    <x v="0"/>
    <x v="1"/>
    <x v="10"/>
    <x v="55"/>
    <n v="339131"/>
  </r>
  <r>
    <x v="644"/>
    <n v="339182"/>
    <x v="0"/>
    <x v="0"/>
    <s v="Feature 339182: IA Posture Assessment for Upgrade Site Printers"/>
    <x v="1"/>
    <n v="1"/>
    <x v="0"/>
    <s v="#339188"/>
    <s v="MUOS/Agile Teams/Cyber"/>
    <s v="Unassigned"/>
    <x v="0"/>
    <x v="0"/>
    <e v="#N/A"/>
    <x v="0"/>
    <x v="1"/>
    <x v="10"/>
    <x v="56"/>
    <n v="339185"/>
  </r>
  <r>
    <x v="645"/>
    <n v="339182"/>
    <x v="0"/>
    <x v="0"/>
    <s v="Feature 339182: IA - Support Printer Selection"/>
    <x v="1"/>
    <n v="1"/>
    <x v="0"/>
    <m/>
    <s v="MUOS/Agile Teams/Cyber"/>
    <s v="Unassigned"/>
    <x v="0"/>
    <x v="0"/>
    <e v="#N/A"/>
    <x v="0"/>
    <x v="1"/>
    <x v="10"/>
    <x v="56"/>
    <n v="339183"/>
  </r>
  <r>
    <x v="646"/>
    <n v="341770"/>
    <x v="0"/>
    <x v="2"/>
    <s v="Feature 341770: IA - Define Requirements and Design of IDS (Part 1)"/>
    <x v="2"/>
    <n v="3"/>
    <x v="0"/>
    <m/>
    <s v="MUOS/Agile Teams/Cyber"/>
    <s v="Tang, Kent-P22339"/>
    <x v="16"/>
    <x v="0"/>
    <e v="#N/A"/>
    <x v="0"/>
    <x v="1"/>
    <x v="10"/>
    <x v="57"/>
    <n v="376403"/>
  </r>
  <r>
    <x v="647"/>
    <n v="341770"/>
    <x v="0"/>
    <x v="2"/>
    <s v="Feature 341770: IA - Define Requirements and Design of IDS (Part 2)"/>
    <x v="8"/>
    <n v="8"/>
    <x v="0"/>
    <m/>
    <s v="MUOS/Agile Teams/Cyber"/>
    <s v="Tang, Kent-P22339"/>
    <x v="16"/>
    <x v="0"/>
    <e v="#N/A"/>
    <x v="0"/>
    <x v="1"/>
    <x v="10"/>
    <x v="57"/>
    <n v="362541"/>
  </r>
  <r>
    <x v="648"/>
    <n v="341770"/>
    <x v="0"/>
    <x v="2"/>
    <s v="Feature 341770: IA - Determine IDS Solution - Part 1"/>
    <x v="3"/>
    <n v="8"/>
    <x v="0"/>
    <m/>
    <s v="MUOS/Agile Teams/Cyber"/>
    <s v="Tang, Kent-P22339"/>
    <x v="16"/>
    <x v="0"/>
    <e v="#N/A"/>
    <x v="0"/>
    <x v="1"/>
    <x v="10"/>
    <x v="57"/>
    <n v="362585"/>
  </r>
  <r>
    <x v="649"/>
    <n v="341770"/>
    <x v="0"/>
    <x v="2"/>
    <s v="Feature 341770: IA - Determine IDS Solution - support"/>
    <x v="4"/>
    <n v="2"/>
    <x v="0"/>
    <m/>
    <s v="MUOS/Agile Teams/Cyber"/>
    <s v="Corcoran, David G"/>
    <x v="3"/>
    <x v="0"/>
    <e v="#N/A"/>
    <x v="0"/>
    <x v="1"/>
    <x v="10"/>
    <x v="57"/>
    <n v="383411"/>
  </r>
  <r>
    <x v="650"/>
    <n v="341770"/>
    <x v="0"/>
    <x v="2"/>
    <s v="Feature 341770: IA - Determine IDS Solution - Part 2"/>
    <x v="4"/>
    <n v="3"/>
    <x v="0"/>
    <m/>
    <s v="MUOS/Agile Teams/Cyber"/>
    <s v="Tang, Kent-P22339"/>
    <x v="16"/>
    <x v="0"/>
    <e v="#N/A"/>
    <x v="0"/>
    <x v="1"/>
    <x v="10"/>
    <x v="57"/>
    <n v="382383"/>
  </r>
  <r>
    <x v="651"/>
    <n v="341770"/>
    <x v="0"/>
    <x v="2"/>
    <s v="Feature 341770: IA: Deployment Phased Approach Definition (IDS)"/>
    <x v="4"/>
    <n v="1"/>
    <x v="0"/>
    <m/>
    <s v="MUOS/Agile Teams/Cyber"/>
    <s v="Tang, Kent-P22339"/>
    <x v="16"/>
    <x v="0"/>
    <e v="#N/A"/>
    <x v="0"/>
    <x v="1"/>
    <x v="10"/>
    <x v="57"/>
    <n v="371308"/>
  </r>
  <r>
    <x v="652"/>
    <n v="341770"/>
    <x v="0"/>
    <x v="2"/>
    <s v="Feature 341770: IA - Review Support  - Dave - Part 1   "/>
    <x v="5"/>
    <n v="3"/>
    <x v="0"/>
    <m/>
    <s v="MUOS/Agile Teams/Cyber"/>
    <s v="Corcoran, David G"/>
    <x v="3"/>
    <x v="0"/>
    <e v="#N/A"/>
    <x v="0"/>
    <x v="1"/>
    <x v="10"/>
    <x v="57"/>
    <n v="384704"/>
  </r>
  <r>
    <x v="653"/>
    <n v="341770"/>
    <x v="0"/>
    <x v="2"/>
    <s v="Feature 341770: IA - Review Updates - Kent - Part 1"/>
    <x v="5"/>
    <n v="3"/>
    <x v="0"/>
    <m/>
    <s v="MUOS/Agile Teams/Cyber"/>
    <s v="Tang, Kent-P22339"/>
    <x v="16"/>
    <x v="0"/>
    <e v="#N/A"/>
    <x v="0"/>
    <x v="1"/>
    <x v="10"/>
    <x v="57"/>
    <n v="384702"/>
  </r>
  <r>
    <x v="654"/>
    <n v="341770"/>
    <x v="0"/>
    <x v="2"/>
    <s v="Feature 341770: IA - Review Support  - Dave - Part 2"/>
    <x v="6"/>
    <n v="1"/>
    <x v="0"/>
    <m/>
    <s v="MUOS/Agile Teams/Cyber"/>
    <s v="Corcoran, David G"/>
    <x v="3"/>
    <x v="0"/>
    <e v="#N/A"/>
    <x v="0"/>
    <x v="1"/>
    <x v="10"/>
    <x v="57"/>
    <n v="384707"/>
  </r>
  <r>
    <x v="655"/>
    <n v="341770"/>
    <x v="0"/>
    <x v="2"/>
    <s v="Feature 341770: IA - Review Updates - Kent - Part 2"/>
    <x v="6"/>
    <n v="3"/>
    <x v="0"/>
    <m/>
    <s v="MUOS/Agile Teams/Cyber"/>
    <s v="Tang, Kent-P22339"/>
    <x v="16"/>
    <x v="0"/>
    <e v="#N/A"/>
    <x v="0"/>
    <x v="1"/>
    <x v="10"/>
    <x v="57"/>
    <n v="384705"/>
  </r>
  <r>
    <x v="656"/>
    <n v="341770"/>
    <x v="0"/>
    <x v="2"/>
    <s v="Feature 341770: IA - Stakeholders review  - Dave   "/>
    <x v="7"/>
    <n v="1"/>
    <x v="0"/>
    <m/>
    <s v="MUOS/Agile Teams/Cyber"/>
    <s v="Corcoran, David G"/>
    <x v="3"/>
    <x v="0"/>
    <e v="#N/A"/>
    <x v="0"/>
    <x v="1"/>
    <x v="10"/>
    <x v="57"/>
    <n v="384710"/>
  </r>
  <r>
    <x v="657"/>
    <n v="341770"/>
    <x v="0"/>
    <x v="2"/>
    <s v="Feature 341770: IA - Stakeholders review  - Kent"/>
    <x v="7"/>
    <n v="3"/>
    <x v="0"/>
    <m/>
    <s v="MUOS/Agile Teams/Cyber"/>
    <s v="Tang, Kent-P22339"/>
    <x v="16"/>
    <x v="0"/>
    <e v="#N/A"/>
    <x v="0"/>
    <x v="1"/>
    <x v="10"/>
    <x v="57"/>
    <n v="384708"/>
  </r>
  <r>
    <x v="658"/>
    <n v="342054"/>
    <x v="0"/>
    <x v="0"/>
    <s v="Feature 342054: MFR 2 – Cyber Performs initial Cybersecurity Assessment"/>
    <x v="32"/>
    <n v="5"/>
    <x v="3"/>
    <m/>
    <s v="MUOS/Agile Teams/Cyber"/>
    <s v="Unassigned"/>
    <x v="0"/>
    <x v="0"/>
    <n v="26"/>
    <x v="0"/>
    <x v="1"/>
    <x v="10"/>
    <x v="58"/>
    <n v="1013880"/>
  </r>
  <r>
    <x v="659"/>
    <n v="342054"/>
    <x v="0"/>
    <x v="0"/>
    <s v="Feature 342054: MFR 2 – Cyber Completes Final CAP"/>
    <x v="32"/>
    <n v="5"/>
    <x v="3"/>
    <m/>
    <s v="MUOS/Agile Teams/Cyber"/>
    <s v="Unassigned"/>
    <x v="0"/>
    <x v="0"/>
    <n v="26"/>
    <x v="0"/>
    <x v="1"/>
    <x v="10"/>
    <x v="58"/>
    <n v="1013879"/>
  </r>
  <r>
    <x v="660"/>
    <n v="342163"/>
    <x v="0"/>
    <x v="2"/>
    <s v="Feature 342163: IA Posture Assessment"/>
    <x v="14"/>
    <n v="1"/>
    <x v="4"/>
    <s v="#342169"/>
    <s v="MUOS/Agile Teams/Cyber"/>
    <s v="Garrison, David D"/>
    <x v="11"/>
    <x v="0"/>
    <n v="71"/>
    <x v="9"/>
    <x v="1"/>
    <x v="10"/>
    <x v="59"/>
    <n v="342166"/>
  </r>
  <r>
    <x v="661"/>
    <n v="346976"/>
    <x v="0"/>
    <x v="2"/>
    <s v="Connected Aware IA Posture Improvement: Initial Assessment Support - MARIA DB on Linux - 12.1"/>
    <x v="2"/>
    <n v="2"/>
    <x v="5"/>
    <m/>
    <s v="MUOS/Agile Teams/Cyber"/>
    <s v="Murray, Will-P67105"/>
    <x v="4"/>
    <x v="0"/>
    <e v="#N/A"/>
    <x v="0"/>
    <x v="1"/>
    <x v="10"/>
    <x v="60"/>
    <n v="376262"/>
  </r>
  <r>
    <x v="662"/>
    <n v="346976"/>
    <x v="0"/>
    <x v="2"/>
    <s v="Connected Aware IA Posture Improvement: Initial Assessment Support - MARIA DB on Linux - 12.2"/>
    <x v="8"/>
    <n v="1"/>
    <x v="0"/>
    <m/>
    <s v="MUOS/Agile Teams/Cyber"/>
    <s v="Murray, Will-P67105"/>
    <x v="4"/>
    <x v="0"/>
    <e v="#N/A"/>
    <x v="0"/>
    <x v="1"/>
    <x v="10"/>
    <x v="60"/>
    <n v="378353"/>
  </r>
  <r>
    <x v="663"/>
    <n v="354537"/>
    <x v="0"/>
    <x v="2"/>
    <s v="Update Splunk servers to RHEL 7.x: IA Support EA 12.1 (Kent)"/>
    <x v="2"/>
    <n v="1"/>
    <x v="1"/>
    <m/>
    <s v="MUOS/Agile Teams/Cyber"/>
    <s v="Tang, Kent-P22339"/>
    <x v="16"/>
    <x v="0"/>
    <e v="#N/A"/>
    <x v="0"/>
    <x v="1"/>
    <x v="10"/>
    <x v="61"/>
    <n v="375954"/>
  </r>
  <r>
    <x v="664"/>
    <n v="354646"/>
    <x v="0"/>
    <x v="2"/>
    <s v="MUOS Terminal Trade (Cyber Support)"/>
    <x v="9"/>
    <n v="1"/>
    <x v="0"/>
    <m/>
    <s v="MUOS/Agile Teams/Cyber"/>
    <s v="Tang, Kent-P22339"/>
    <x v="16"/>
    <x v="0"/>
    <e v="#N/A"/>
    <x v="10"/>
    <x v="1"/>
    <x v="10"/>
    <x v="62"/>
    <n v="1008525"/>
  </r>
  <r>
    <x v="665"/>
    <n v="354847"/>
    <x v="0"/>
    <x v="0"/>
    <s v="Support for AJM execution plan development"/>
    <x v="1"/>
    <n v="3"/>
    <x v="0"/>
    <m/>
    <s v="MUOS/Agile Teams/Cyber"/>
    <s v="Unassigned"/>
    <x v="0"/>
    <x v="0"/>
    <e v="#N/A"/>
    <x v="0"/>
    <x v="1"/>
    <x v="10"/>
    <x v="63"/>
    <n v="354850"/>
  </r>
  <r>
    <x v="666"/>
    <n v="354871"/>
    <x v="0"/>
    <x v="2"/>
    <s v="Feature 354871: MFR 3 – CSE Performs initial Cybersecurity Assessment (part 1 of 2)"/>
    <x v="22"/>
    <n v="2"/>
    <x v="0"/>
    <s v="#391385"/>
    <s v="MUOS/Agile Teams/Cyber"/>
    <s v="Urban, Carol A"/>
    <x v="20"/>
    <x v="0"/>
    <n v="43"/>
    <x v="11"/>
    <x v="1"/>
    <x v="10"/>
    <x v="64"/>
    <n v="391386"/>
  </r>
  <r>
    <x v="667"/>
    <n v="354871"/>
    <x v="0"/>
    <x v="2"/>
    <s v="Feature 354871: Provide Cyber Support for NAVSOC OA Workstation upgrade"/>
    <x v="17"/>
    <n v="2"/>
    <x v="0"/>
    <m/>
    <s v="MUOS/Agile Teams/Cyber"/>
    <s v="Corcoran, David G"/>
    <x v="3"/>
    <x v="0"/>
    <n v="43"/>
    <x v="11"/>
    <x v="1"/>
    <x v="10"/>
    <x v="64"/>
    <n v="1022656"/>
  </r>
  <r>
    <x v="668"/>
    <n v="354871"/>
    <x v="0"/>
    <x v="0"/>
    <s v="Feature 354871: MFR 3 Ð CSE Completes Final CAP (Change back to Cyber Security Engineering) -  EAD 17.x"/>
    <x v="19"/>
    <n v="5"/>
    <x v="0"/>
    <s v="#391392"/>
    <s v="MUOS/Agile Teams/Cyber"/>
    <s v="Unassigned"/>
    <x v="0"/>
    <x v="0"/>
    <n v="43"/>
    <x v="11"/>
    <x v="1"/>
    <x v="10"/>
    <x v="64"/>
    <n v="391393"/>
  </r>
  <r>
    <x v="669"/>
    <n v="354871"/>
    <x v="0"/>
    <x v="0"/>
    <s v="Feature 354871: MFR 3 Ð CSE Performs initial Cybersecurity Assessment (part 2 of 2)"/>
    <x v="20"/>
    <n v="3"/>
    <x v="0"/>
    <m/>
    <s v="MUOS/Agile Teams/Cyber"/>
    <s v="Tang, Kent-P22339"/>
    <x v="16"/>
    <x v="0"/>
    <n v="43"/>
    <x v="11"/>
    <x v="1"/>
    <x v="10"/>
    <x v="64"/>
    <n v="391502"/>
  </r>
  <r>
    <x v="670"/>
    <n v="355738"/>
    <x v="0"/>
    <x v="2"/>
    <s v="Feature 355738: ETISP Manager Information Assurance"/>
    <x v="8"/>
    <n v="1"/>
    <x v="0"/>
    <m/>
    <s v="MUOS/Agile Teams/Cyber"/>
    <s v="Johnson, Derek T"/>
    <x v="2"/>
    <x v="0"/>
    <e v="#N/A"/>
    <x v="0"/>
    <x v="1"/>
    <x v="10"/>
    <x v="65"/>
    <n v="375493"/>
  </r>
  <r>
    <x v="671"/>
    <n v="355738"/>
    <x v="0"/>
    <x v="2"/>
    <s v="Feature 355738: ETISP Manager Information Assurance - part 2"/>
    <x v="3"/>
    <n v="1"/>
    <x v="0"/>
    <m/>
    <s v="MUOS/Agile Teams/Cyber"/>
    <s v="Johnson, Derek T"/>
    <x v="2"/>
    <x v="0"/>
    <e v="#N/A"/>
    <x v="0"/>
    <x v="1"/>
    <x v="10"/>
    <x v="65"/>
    <n v="380288"/>
  </r>
  <r>
    <x v="672"/>
    <n v="355947"/>
    <x v="0"/>
    <x v="0"/>
    <s v="Feature 355947: IA Posture Assessment"/>
    <x v="0"/>
    <n v="8"/>
    <x v="0"/>
    <s v="#355953"/>
    <s v="MUOS/Agile Teams/Cyber"/>
    <s v="Unassigned"/>
    <x v="0"/>
    <x v="0"/>
    <e v="#N/A"/>
    <x v="0"/>
    <x v="1"/>
    <x v="10"/>
    <x v="66"/>
    <n v="355950"/>
  </r>
  <r>
    <x v="673"/>
    <n v="360622"/>
    <x v="0"/>
    <x v="0"/>
    <s v="Feature 360622: IA Posture Assessment"/>
    <x v="0"/>
    <n v="8"/>
    <x v="0"/>
    <s v="#360628"/>
    <s v="MUOS/Agile Teams/Cyber"/>
    <s v="Unassigned"/>
    <x v="0"/>
    <x v="0"/>
    <e v="#N/A"/>
    <x v="0"/>
    <x v="1"/>
    <x v="10"/>
    <x v="67"/>
    <n v="360625"/>
  </r>
  <r>
    <x v="674"/>
    <n v="363293"/>
    <x v="0"/>
    <x v="0"/>
    <s v="Feature 363298: IA Posture Assessment"/>
    <x v="0"/>
    <n v="8"/>
    <x v="0"/>
    <s v="#363299"/>
    <s v="MUOS/Agile Teams/Cyber"/>
    <s v="Unassigned"/>
    <x v="0"/>
    <x v="0"/>
    <e v="#N/A"/>
    <x v="0"/>
    <x v="1"/>
    <x v="10"/>
    <x v="68"/>
    <n v="363296"/>
  </r>
  <r>
    <x v="675"/>
    <n v="363379"/>
    <x v="0"/>
    <x v="0"/>
    <s v="Feature 363379 freq Splunk index: IA Posture Assessment"/>
    <x v="0"/>
    <n v="8"/>
    <x v="0"/>
    <s v="#363385"/>
    <s v="MUOS/Agile Teams/Cyber"/>
    <s v="Unassigned"/>
    <x v="0"/>
    <x v="0"/>
    <e v="#N/A"/>
    <x v="0"/>
    <x v="1"/>
    <x v="10"/>
    <x v="69"/>
    <n v="363382"/>
  </r>
  <r>
    <x v="676"/>
    <n v="363450"/>
    <x v="0"/>
    <x v="0"/>
    <s v="Feature 363450: IA Posture Assessment"/>
    <x v="36"/>
    <n v="8"/>
    <x v="0"/>
    <s v="#363456"/>
    <s v="MUOS/Agile Teams/Cyber"/>
    <s v="Unassigned"/>
    <x v="0"/>
    <x v="0"/>
    <e v="#N/A"/>
    <x v="0"/>
    <x v="1"/>
    <x v="10"/>
    <x v="70"/>
    <n v="363453"/>
  </r>
  <r>
    <x v="677"/>
    <n v="363784"/>
    <x v="0"/>
    <x v="0"/>
    <s v="Feature 363784 OTAP Splunk: IA Posture Assessment"/>
    <x v="0"/>
    <n v="8"/>
    <x v="0"/>
    <s v="#363790"/>
    <s v="MUOS/Agile Teams/Cyber"/>
    <s v="Unassigned"/>
    <x v="0"/>
    <x v="0"/>
    <e v="#N/A"/>
    <x v="0"/>
    <x v="1"/>
    <x v="10"/>
    <x v="71"/>
    <n v="363787"/>
  </r>
  <r>
    <x v="678"/>
    <n v="366348"/>
    <x v="0"/>
    <x v="2"/>
    <s v="Lab - Polatis Switch Replacement - IA Posture Assessment"/>
    <x v="7"/>
    <n v="2"/>
    <x v="0"/>
    <m/>
    <s v="MUOS/Agile Teams/Cyber"/>
    <s v="Murray, Will-P67105"/>
    <x v="4"/>
    <x v="0"/>
    <e v="#N/A"/>
    <x v="12"/>
    <x v="1"/>
    <x v="10"/>
    <x v="72"/>
    <n v="366356"/>
  </r>
  <r>
    <x v="679"/>
    <n v="366348"/>
    <x v="0"/>
    <x v="2"/>
    <s v="Lab - Polatis Switch Replacement - MFR 3 – CSE Completes Final CAP (Change back to Cyber Security Engineering)"/>
    <x v="26"/>
    <n v="3"/>
    <x v="0"/>
    <m/>
    <s v="MUOS/Agile Teams/Cyber"/>
    <s v="Tang, Kent-P22339"/>
    <x v="16"/>
    <x v="0"/>
    <e v="#N/A"/>
    <x v="12"/>
    <x v="1"/>
    <x v="10"/>
    <x v="72"/>
    <n v="367378"/>
  </r>
  <r>
    <x v="680"/>
    <n v="366348"/>
    <x v="0"/>
    <x v="2"/>
    <s v="Lab - Polatis Switch Replacement - MFR 3 – CSE Completes Final CAP (Change back to Cyber Security Engineering) - Part 2"/>
    <x v="22"/>
    <n v="2"/>
    <x v="0"/>
    <m/>
    <s v="MUOS/Agile Teams/Cyber"/>
    <s v="Tang, Kent-P22339"/>
    <x v="16"/>
    <x v="0"/>
    <e v="#N/A"/>
    <x v="12"/>
    <x v="1"/>
    <x v="10"/>
    <x v="72"/>
    <n v="392376"/>
  </r>
  <r>
    <x v="681"/>
    <n v="366348"/>
    <x v="0"/>
    <x v="2"/>
    <s v="Lab - Polatis Switch Replacement - MFR 3 – CSE Completes Final CAP (Change back to Cyber Security Engineering) - Part 3"/>
    <x v="23"/>
    <n v="3"/>
    <x v="0"/>
    <m/>
    <s v="MUOS/Agile Teams/Cyber"/>
    <s v="Tang, Kent-P22339"/>
    <x v="16"/>
    <x v="0"/>
    <e v="#N/A"/>
    <x v="12"/>
    <x v="1"/>
    <x v="10"/>
    <x v="72"/>
    <n v="392378"/>
  </r>
  <r>
    <x v="682"/>
    <n v="366348"/>
    <x v="0"/>
    <x v="2"/>
    <s v="Lab - Polatis Switch Replacement - MFR 3 – CSE Completes Final CAP (Change back to Cyber Security Engineering) - Part 3b"/>
    <x v="28"/>
    <n v="2"/>
    <x v="0"/>
    <m/>
    <s v="MUOS/Agile Teams/Cyber"/>
    <s v="Tang, Kent-P22339"/>
    <x v="16"/>
    <x v="0"/>
    <e v="#N/A"/>
    <x v="12"/>
    <x v="1"/>
    <x v="10"/>
    <x v="72"/>
    <n v="1002407"/>
  </r>
  <r>
    <x v="683"/>
    <n v="367689"/>
    <x v="0"/>
    <x v="0"/>
    <s v="Feature 367689 - Remove Need for Web GUI with Console Servers: IA Posture Assessment"/>
    <x v="34"/>
    <n v="8"/>
    <x v="6"/>
    <s v="#367695"/>
    <s v="MUOS/Agile Teams/Cyber"/>
    <s v="Unassigned"/>
    <x v="0"/>
    <x v="0"/>
    <n v="81"/>
    <x v="0"/>
    <x v="1"/>
    <x v="10"/>
    <x v="73"/>
    <n v="367692"/>
  </r>
  <r>
    <x v="684"/>
    <n v="367777"/>
    <x v="0"/>
    <x v="2"/>
    <s v="CSE PWI Triage/Assessment Support - PI 12.2"/>
    <x v="8"/>
    <n v="2"/>
    <x v="0"/>
    <m/>
    <s v="MUOS/Agile Teams/Cyber"/>
    <s v="Corcoran, David G"/>
    <x v="3"/>
    <x v="0"/>
    <e v="#N/A"/>
    <x v="0"/>
    <x v="1"/>
    <x v="10"/>
    <x v="74"/>
    <n v="367982"/>
  </r>
  <r>
    <x v="685"/>
    <n v="367777"/>
    <x v="0"/>
    <x v="2"/>
    <s v="CSE PWI Triage/Assessment Support - PI 12.4"/>
    <x v="4"/>
    <n v="1"/>
    <x v="0"/>
    <m/>
    <s v="MUOS/Agile Teams/Cyber"/>
    <s v="Murray, Will-P67105"/>
    <x v="4"/>
    <x v="0"/>
    <e v="#N/A"/>
    <x v="0"/>
    <x v="1"/>
    <x v="10"/>
    <x v="74"/>
    <n v="376137"/>
  </r>
  <r>
    <x v="686"/>
    <n v="367777"/>
    <x v="0"/>
    <x v="2"/>
    <s v="CSE PWI Triage/Assessment Support - PI 12.4"/>
    <x v="4"/>
    <n v="1"/>
    <x v="0"/>
    <m/>
    <s v="MUOS/Agile Teams/Cyber"/>
    <s v="Johnson, Derek T"/>
    <x v="2"/>
    <x v="0"/>
    <e v="#N/A"/>
    <x v="0"/>
    <x v="1"/>
    <x v="10"/>
    <x v="74"/>
    <n v="376136"/>
  </r>
  <r>
    <x v="687"/>
    <n v="367777"/>
    <x v="0"/>
    <x v="2"/>
    <s v="CSE PWI Triage/Assessment Support - PI 12.5"/>
    <x v="5"/>
    <n v="2"/>
    <x v="0"/>
    <m/>
    <s v="MUOS/Agile Teams/Cyber"/>
    <s v="Tang, Kent-P22339"/>
    <x v="16"/>
    <x v="0"/>
    <e v="#N/A"/>
    <x v="0"/>
    <x v="1"/>
    <x v="10"/>
    <x v="74"/>
    <n v="376142"/>
  </r>
  <r>
    <x v="688"/>
    <n v="367777"/>
    <x v="0"/>
    <x v="2"/>
    <s v="CSE PWI Triage/Assessment Support - PI 12.7"/>
    <x v="6"/>
    <n v="2"/>
    <x v="0"/>
    <m/>
    <s v="MUOS/Agile Teams/Cyber"/>
    <s v="Tang, Kent-P22339"/>
    <x v="16"/>
    <x v="0"/>
    <e v="#N/A"/>
    <x v="0"/>
    <x v="1"/>
    <x v="10"/>
    <x v="74"/>
    <n v="376143"/>
  </r>
  <r>
    <x v="689"/>
    <n v="367777"/>
    <x v="0"/>
    <x v="2"/>
    <s v="CSE PWI Triage/Assessment Support - PI 12.7"/>
    <x v="7"/>
    <n v="1"/>
    <x v="0"/>
    <m/>
    <s v="MUOS/Agile Teams/Cyber"/>
    <s v="Unassigned"/>
    <x v="0"/>
    <x v="0"/>
    <e v="#N/A"/>
    <x v="0"/>
    <x v="1"/>
    <x v="10"/>
    <x v="74"/>
    <n v="376144"/>
  </r>
  <r>
    <x v="690"/>
    <n v="368169"/>
    <x v="0"/>
    <x v="0"/>
    <s v="Feature 368169: IA Patching and STIGs"/>
    <x v="0"/>
    <n v="5"/>
    <x v="0"/>
    <s v="#368170"/>
    <s v="MUOS/Agile Teams/Cyber"/>
    <s v="Unassigned"/>
    <x v="0"/>
    <x v="0"/>
    <e v="#N/A"/>
    <x v="0"/>
    <x v="1"/>
    <x v="10"/>
    <x v="75"/>
    <n v="368175"/>
  </r>
  <r>
    <x v="691"/>
    <n v="368169"/>
    <x v="0"/>
    <x v="0"/>
    <s v="Feature 368170 IA Posture Assessment and/or Address IA concerns"/>
    <x v="0"/>
    <n v="8"/>
    <x v="0"/>
    <s v="#368175"/>
    <s v="MUOS/Agile Teams/Cyber"/>
    <s v="Unassigned"/>
    <x v="0"/>
    <x v="0"/>
    <e v="#N/A"/>
    <x v="0"/>
    <x v="1"/>
    <x v="10"/>
    <x v="75"/>
    <n v="368172"/>
  </r>
  <r>
    <x v="692"/>
    <n v="368169"/>
    <x v="0"/>
    <x v="0"/>
    <s v="Feature 368169: IA - Define Patch/ Stig Requirements"/>
    <x v="0"/>
    <n v="2"/>
    <x v="0"/>
    <m/>
    <s v="MUOS/Agile Teams/Cyber"/>
    <s v="Unassigned"/>
    <x v="0"/>
    <x v="0"/>
    <e v="#N/A"/>
    <x v="0"/>
    <x v="1"/>
    <x v="10"/>
    <x v="75"/>
    <n v="368170"/>
  </r>
  <r>
    <x v="693"/>
    <n v="368267"/>
    <x v="0"/>
    <x v="2"/>
    <s v="Feature 368267: CSE Review of HBSS Design Document"/>
    <x v="4"/>
    <n v="2"/>
    <x v="0"/>
    <m/>
    <s v="MUOS/Agile Teams/Cyber"/>
    <s v="Corcoran, David G"/>
    <x v="3"/>
    <x v="0"/>
    <e v="#N/A"/>
    <x v="0"/>
    <x v="1"/>
    <x v="10"/>
    <x v="76"/>
    <n v="373084"/>
  </r>
  <r>
    <x v="694"/>
    <n v="368267"/>
    <x v="0"/>
    <x v="2"/>
    <s v="Feature 368267: IA - Posture Assessment"/>
    <x v="5"/>
    <n v="3"/>
    <x v="0"/>
    <m/>
    <s v="MUOS/Agile Teams/Cyber"/>
    <s v="Murray, Will-P67105"/>
    <x v="4"/>
    <x v="0"/>
    <e v="#N/A"/>
    <x v="0"/>
    <x v="1"/>
    <x v="10"/>
    <x v="76"/>
    <n v="369817"/>
  </r>
  <r>
    <x v="695"/>
    <n v="368267"/>
    <x v="0"/>
    <x v="2"/>
    <s v="Feature 368267: IA - Communicate HBSS ePO Design to PMW IA Stakeholders"/>
    <x v="7"/>
    <n v="2"/>
    <x v="0"/>
    <s v="#369817"/>
    <s v="MUOS/Agile Teams/Cyber"/>
    <s v="Morton, Randall-P57014"/>
    <x v="9"/>
    <x v="0"/>
    <e v="#N/A"/>
    <x v="0"/>
    <x v="1"/>
    <x v="10"/>
    <x v="76"/>
    <n v="372895"/>
  </r>
  <r>
    <x v="696"/>
    <n v="368860"/>
    <x v="0"/>
    <x v="2"/>
    <s v="Feature: 368860 Canadian Foreign Military Sales (FMS) Planning (SME Support)"/>
    <x v="22"/>
    <n v="5"/>
    <x v="1"/>
    <m/>
    <s v="MUOS/Agile Teams/Cyber"/>
    <s v="Morton, Randall-P57014"/>
    <x v="9"/>
    <x v="0"/>
    <e v="#N/A"/>
    <x v="13"/>
    <x v="1"/>
    <x v="10"/>
    <x v="77"/>
    <n v="370630"/>
  </r>
  <r>
    <x v="697"/>
    <n v="368860"/>
    <x v="0"/>
    <x v="2"/>
    <s v="Feature: 368860 Canadian Foreign Military Sales (FMS) Planning (SME Support)"/>
    <x v="23"/>
    <n v="5"/>
    <x v="1"/>
    <m/>
    <s v="MUOS/Agile Teams/Cyber"/>
    <s v="Morton, Randall-P57014"/>
    <x v="9"/>
    <x v="0"/>
    <e v="#N/A"/>
    <x v="13"/>
    <x v="1"/>
    <x v="10"/>
    <x v="77"/>
    <n v="370631"/>
  </r>
  <r>
    <x v="698"/>
    <n v="368860"/>
    <x v="0"/>
    <x v="2"/>
    <s v="Feature: 368860 Canadian Foreign Military Sales (FMS) Planning (SME Support)"/>
    <x v="24"/>
    <n v="5"/>
    <x v="1"/>
    <m/>
    <s v="MUOS/Agile Teams/Cyber"/>
    <s v="Morton, Randall-P57014"/>
    <x v="9"/>
    <x v="0"/>
    <e v="#N/A"/>
    <x v="13"/>
    <x v="1"/>
    <x v="10"/>
    <x v="77"/>
    <n v="370632"/>
  </r>
  <r>
    <x v="699"/>
    <n v="368860"/>
    <x v="0"/>
    <x v="2"/>
    <s v="Feature: 368860 Canadian Foreign Military Sales (FMS) Planning (SME Support)"/>
    <x v="27"/>
    <n v="5"/>
    <x v="0"/>
    <m/>
    <s v="MUOS/Agile Teams/Cyber"/>
    <s v="Morton, Randall-P57014"/>
    <x v="9"/>
    <x v="0"/>
    <e v="#N/A"/>
    <x v="13"/>
    <x v="1"/>
    <x v="10"/>
    <x v="77"/>
    <n v="1005506"/>
  </r>
  <r>
    <x v="700"/>
    <n v="368860"/>
    <x v="0"/>
    <x v="2"/>
    <s v="Feature: 368860 Canadian Foreign Military Sales (FMS) Planning (SME Support)"/>
    <x v="25"/>
    <n v="5"/>
    <x v="1"/>
    <m/>
    <s v="MUOS/Agile Teams/Cyber"/>
    <s v="Morton, Randall-P57014"/>
    <x v="9"/>
    <x v="0"/>
    <e v="#N/A"/>
    <x v="13"/>
    <x v="1"/>
    <x v="10"/>
    <x v="77"/>
    <n v="369099"/>
  </r>
  <r>
    <x v="701"/>
    <n v="368860"/>
    <x v="0"/>
    <x v="2"/>
    <s v="Feature: 368860 High-Level System Architecture ~ Group / Key Mgmnt"/>
    <x v="9"/>
    <n v="2"/>
    <x v="0"/>
    <m/>
    <s v="MUOS/Agile Teams/Cyber"/>
    <s v="Morton, Randall-P57014"/>
    <x v="9"/>
    <x v="0"/>
    <e v="#N/A"/>
    <x v="13"/>
    <x v="1"/>
    <x v="10"/>
    <x v="77"/>
    <n v="1004476"/>
  </r>
  <r>
    <x v="702"/>
    <n v="368860"/>
    <x v="0"/>
    <x v="2"/>
    <s v="Feature: 368860 Cost Estimate ~ COMSEC/Keys"/>
    <x v="10"/>
    <n v="2"/>
    <x v="0"/>
    <m/>
    <s v="MUOS/Agile Teams/Cyber"/>
    <s v="Morton, Randall-P57014"/>
    <x v="9"/>
    <x v="0"/>
    <e v="#N/A"/>
    <x v="13"/>
    <x v="1"/>
    <x v="10"/>
    <x v="77"/>
    <n v="1004522"/>
  </r>
  <r>
    <x v="703"/>
    <n v="368860"/>
    <x v="0"/>
    <x v="2"/>
    <s v="Feature: 368860 High-Level System Architecture ~ COMSEC framework/Traffic Segregation"/>
    <x v="10"/>
    <n v="5"/>
    <x v="0"/>
    <m/>
    <s v="MUOS/Agile Teams/Cyber"/>
    <s v="Morton, Randall-P57014"/>
    <x v="9"/>
    <x v="0"/>
    <e v="#N/A"/>
    <x v="13"/>
    <x v="1"/>
    <x v="10"/>
    <x v="77"/>
    <n v="1004472"/>
  </r>
  <r>
    <x v="704"/>
    <n v="368860"/>
    <x v="0"/>
    <x v="2"/>
    <s v="Feature: 368860 Cost Estimate ~ COMSEC/Keys"/>
    <x v="11"/>
    <n v="2"/>
    <x v="0"/>
    <m/>
    <s v="MUOS/Agile Teams/Cyber"/>
    <s v="Morton, Randall-P57014"/>
    <x v="9"/>
    <x v="0"/>
    <e v="#N/A"/>
    <x v="13"/>
    <x v="1"/>
    <x v="10"/>
    <x v="77"/>
    <n v="1004523"/>
  </r>
  <r>
    <x v="705"/>
    <n v="368860"/>
    <x v="0"/>
    <x v="2"/>
    <s v="Feature: 368860 Cost Estimate ~ IA"/>
    <x v="12"/>
    <n v="2"/>
    <x v="0"/>
    <m/>
    <s v="MUOS/Agile Teams/Cyber"/>
    <s v="Morton, Randall-P57014"/>
    <x v="9"/>
    <x v="0"/>
    <e v="#N/A"/>
    <x v="13"/>
    <x v="1"/>
    <x v="10"/>
    <x v="77"/>
    <n v="1004515"/>
  </r>
  <r>
    <x v="706"/>
    <n v="369358"/>
    <x v="0"/>
    <x v="2"/>
    <s v="Feature 369358: IA - Posture Assessment"/>
    <x v="5"/>
    <n v="5"/>
    <x v="0"/>
    <s v="#372862"/>
    <s v="MUOS/Agile Teams/Cyber"/>
    <s v="Curtis, Chris B"/>
    <x v="7"/>
    <x v="0"/>
    <e v="#N/A"/>
    <x v="0"/>
    <x v="1"/>
    <x v="10"/>
    <x v="78"/>
    <n v="372859"/>
  </r>
  <r>
    <x v="707"/>
    <n v="369358"/>
    <x v="0"/>
    <x v="2"/>
    <s v="Feature 369358: IA - Posture Assessment Pt 2"/>
    <x v="6"/>
    <n v="3"/>
    <x v="0"/>
    <m/>
    <s v="MUOS/Agile Teams/Cyber"/>
    <s v="Curtis, Chris B"/>
    <x v="7"/>
    <x v="0"/>
    <e v="#N/A"/>
    <x v="0"/>
    <x v="1"/>
    <x v="10"/>
    <x v="78"/>
    <n v="376374"/>
  </r>
  <r>
    <x v="708"/>
    <n v="369358"/>
    <x v="0"/>
    <x v="2"/>
    <s v="Feature 369358: IA - Define Patch / STIG Requirements"/>
    <x v="6"/>
    <n v="2"/>
    <x v="0"/>
    <m/>
    <s v="MUOS/Agile Teams/Cyber"/>
    <s v="Curtis, Chris B"/>
    <x v="7"/>
    <x v="0"/>
    <e v="#N/A"/>
    <x v="0"/>
    <x v="1"/>
    <x v="10"/>
    <x v="78"/>
    <n v="372857"/>
  </r>
  <r>
    <x v="709"/>
    <n v="369509"/>
    <x v="0"/>
    <x v="2"/>
    <s v="Feature 369509: update the IA section in the Capability Design Document  "/>
    <x v="4"/>
    <n v="3"/>
    <x v="0"/>
    <m/>
    <s v="MUOS/Agile Teams/Cyber"/>
    <s v="Tang, Kent-P22339"/>
    <x v="16"/>
    <x v="0"/>
    <e v="#N/A"/>
    <x v="0"/>
    <x v="1"/>
    <x v="10"/>
    <x v="79"/>
    <n v="369516"/>
  </r>
  <r>
    <x v="710"/>
    <n v="369509"/>
    <x v="0"/>
    <x v="2"/>
    <s v="Feature 369509: Complete updates in the IA section in the Capability Design Document based on changes late in PI-12"/>
    <x v="7"/>
    <n v="1"/>
    <x v="0"/>
    <m/>
    <s v="MUOS/Agile Teams/Cyber"/>
    <s v="Tang, Kent-P22339"/>
    <x v="16"/>
    <x v="0"/>
    <e v="#N/A"/>
    <x v="0"/>
    <x v="1"/>
    <x v="10"/>
    <x v="79"/>
    <n v="384987"/>
  </r>
  <r>
    <x v="711"/>
    <n v="369527"/>
    <x v="0"/>
    <x v="2"/>
    <s v="CSE PI 12 SME Technical Support"/>
    <x v="7"/>
    <n v="0"/>
    <x v="1"/>
    <m/>
    <s v="MUOS/Agile Teams/Cyber"/>
    <s v="Unassigned"/>
    <x v="0"/>
    <x v="0"/>
    <e v="#N/A"/>
    <x v="0"/>
    <x v="1"/>
    <x v="10"/>
    <x v="80"/>
    <n v="369646"/>
  </r>
  <r>
    <x v="712"/>
    <n v="369608"/>
    <x v="0"/>
    <x v="2"/>
    <s v="Feature 369608: IA - Support of HLR AuC Trade Study"/>
    <x v="5"/>
    <n v="1"/>
    <x v="0"/>
    <m/>
    <s v="MUOS/Agile Teams/Cyber"/>
    <s v="Tang, Kent-P22339"/>
    <x v="16"/>
    <x v="0"/>
    <e v="#N/A"/>
    <x v="0"/>
    <x v="1"/>
    <x v="10"/>
    <x v="81"/>
    <n v="369609"/>
  </r>
  <r>
    <x v="713"/>
    <n v="369613"/>
    <x v="0"/>
    <x v="2"/>
    <s v="Feature 369613: IA - Support of Load Balancer Trade Study - 12.2"/>
    <x v="8"/>
    <n v="1"/>
    <x v="0"/>
    <m/>
    <s v="MUOS/Agile Teams/Cyber"/>
    <s v="Sokol, Anthony W"/>
    <x v="5"/>
    <x v="0"/>
    <e v="#N/A"/>
    <x v="0"/>
    <x v="1"/>
    <x v="10"/>
    <x v="82"/>
    <n v="369614"/>
  </r>
  <r>
    <x v="714"/>
    <n v="369613"/>
    <x v="0"/>
    <x v="2"/>
    <s v="Feature 369613: IA - Support of Load Balancer Trade Study"/>
    <x v="3"/>
    <n v="1"/>
    <x v="0"/>
    <m/>
    <s v="MUOS/Agile Teams/Cyber"/>
    <s v="Johnson, Derek T"/>
    <x v="2"/>
    <x v="0"/>
    <e v="#N/A"/>
    <x v="0"/>
    <x v="1"/>
    <x v="10"/>
    <x v="82"/>
    <n v="376385"/>
  </r>
  <r>
    <x v="715"/>
    <n v="369618"/>
    <x v="0"/>
    <x v="0"/>
    <s v="Support of Fiber Optic MUX Trade Study"/>
    <x v="1"/>
    <n v="2"/>
    <x v="0"/>
    <m/>
    <s v="MUOS/Agile Teams/Cyber"/>
    <s v="Unassigned"/>
    <x v="0"/>
    <x v="0"/>
    <e v="#N/A"/>
    <x v="0"/>
    <x v="1"/>
    <x v="10"/>
    <x v="83"/>
    <n v="369619"/>
  </r>
  <r>
    <x v="716"/>
    <n v="369623"/>
    <x v="0"/>
    <x v="2"/>
    <s v="Feature 369623: IA - Support of GPS Trade Study - NTP Server/GPS"/>
    <x v="5"/>
    <n v="1"/>
    <x v="0"/>
    <m/>
    <s v="MUOS/Agile Teams/Cyber"/>
    <s v="Tang, Kent-P22339"/>
    <x v="16"/>
    <x v="0"/>
    <e v="#N/A"/>
    <x v="0"/>
    <x v="1"/>
    <x v="10"/>
    <x v="84"/>
    <n v="376386"/>
  </r>
  <r>
    <x v="717"/>
    <n v="369623"/>
    <x v="0"/>
    <x v="2"/>
    <s v="Feature 369623: IA - Support of GPS Trade Study - TFDU"/>
    <x v="5"/>
    <n v="1"/>
    <x v="0"/>
    <m/>
    <s v="MUOS/Agile Teams/Cyber"/>
    <s v="Tang, Kent-P22339"/>
    <x v="16"/>
    <x v="0"/>
    <e v="#N/A"/>
    <x v="0"/>
    <x v="1"/>
    <x v="10"/>
    <x v="84"/>
    <n v="369624"/>
  </r>
  <r>
    <x v="718"/>
    <n v="369623"/>
    <x v="0"/>
    <x v="2"/>
    <s v="Feature 369623: IA - Support of GPS Trade Study - NTP Server/GPS"/>
    <x v="26"/>
    <n v="2"/>
    <x v="0"/>
    <m/>
    <s v="MUOS/Agile Teams/Cyber"/>
    <s v="Tang, Kent-P22339"/>
    <x v="16"/>
    <x v="0"/>
    <e v="#N/A"/>
    <x v="0"/>
    <x v="1"/>
    <x v="10"/>
    <x v="84"/>
    <n v="393347"/>
  </r>
  <r>
    <x v="719"/>
    <n v="369623"/>
    <x v="0"/>
    <x v="2"/>
    <s v="Feature 369623: IA - Support of GPS Trade Study - NTP Server/GPS"/>
    <x v="22"/>
    <n v="3"/>
    <x v="0"/>
    <m/>
    <s v="MUOS/Agile Teams/Cyber"/>
    <s v="Tang, Kent-P22339"/>
    <x v="16"/>
    <x v="0"/>
    <e v="#N/A"/>
    <x v="0"/>
    <x v="1"/>
    <x v="10"/>
    <x v="84"/>
    <n v="395273"/>
  </r>
  <r>
    <x v="720"/>
    <n v="369623"/>
    <x v="0"/>
    <x v="2"/>
    <s v="Feature 369623: IA - Support of GPS Trade Study - NTP Server/GPS"/>
    <x v="23"/>
    <n v="1"/>
    <x v="0"/>
    <m/>
    <s v="MUOS/Agile Teams/Cyber"/>
    <s v="Tang, Kent-P22339"/>
    <x v="16"/>
    <x v="0"/>
    <e v="#N/A"/>
    <x v="0"/>
    <x v="1"/>
    <x v="10"/>
    <x v="84"/>
    <n v="395462"/>
  </r>
  <r>
    <x v="721"/>
    <n v="369754"/>
    <x v="0"/>
    <x v="0"/>
    <s v="Feature 369754: IA -  update the IA section in the design documentation"/>
    <x v="34"/>
    <n v="2"/>
    <x v="0"/>
    <m/>
    <s v="MUOS/Agile Teams/Cyber"/>
    <s v="Corcoran, David G"/>
    <x v="3"/>
    <x v="0"/>
    <e v="#N/A"/>
    <x v="0"/>
    <x v="1"/>
    <x v="10"/>
    <x v="85"/>
    <n v="369758"/>
  </r>
  <r>
    <x v="722"/>
    <n v="370032"/>
    <x v="0"/>
    <x v="2"/>
    <s v="Profile Portability (Enabler): Gain NSA Concurrence (IA)"/>
    <x v="4"/>
    <n v="1"/>
    <x v="0"/>
    <m/>
    <s v="MUOS/Agile Teams/Cyber"/>
    <s v="Morton, Randall-P57014"/>
    <x v="9"/>
    <x v="0"/>
    <e v="#N/A"/>
    <x v="14"/>
    <x v="1"/>
    <x v="10"/>
    <x v="86"/>
    <n v="370138"/>
  </r>
  <r>
    <x v="723"/>
    <n v="370032"/>
    <x v="0"/>
    <x v="2"/>
    <s v="Profile Portability (Enabler): Gain NSA Concurrence (IA)"/>
    <x v="5"/>
    <n v="1"/>
    <x v="0"/>
    <m/>
    <s v="MUOS/Agile Teams/Cyber"/>
    <s v="Morton, Randall-P57014"/>
    <x v="9"/>
    <x v="0"/>
    <e v="#N/A"/>
    <x v="14"/>
    <x v="1"/>
    <x v="10"/>
    <x v="86"/>
    <n v="376287"/>
  </r>
  <r>
    <x v="724"/>
    <n v="370032"/>
    <x v="0"/>
    <x v="2"/>
    <s v="Profile Portability (Enabler): Gain NSA Concurrence (IA)"/>
    <x v="6"/>
    <n v="1"/>
    <x v="0"/>
    <m/>
    <s v="MUOS/Agile Teams/Cyber"/>
    <s v="Morton, Randall-P57014"/>
    <x v="9"/>
    <x v="0"/>
    <e v="#N/A"/>
    <x v="14"/>
    <x v="1"/>
    <x v="10"/>
    <x v="86"/>
    <n v="376288"/>
  </r>
  <r>
    <x v="725"/>
    <n v="370032"/>
    <x v="0"/>
    <x v="2"/>
    <s v="Profile Portability (Enabler): Gain NSA Concurrence (IA)"/>
    <x v="7"/>
    <n v="1"/>
    <x v="0"/>
    <m/>
    <s v="MUOS/Agile Teams/Cyber"/>
    <s v="Morton, Randall-P57014"/>
    <x v="9"/>
    <x v="0"/>
    <e v="#N/A"/>
    <x v="14"/>
    <x v="1"/>
    <x v="10"/>
    <x v="86"/>
    <n v="390244"/>
  </r>
  <r>
    <x v="726"/>
    <n v="370032"/>
    <x v="0"/>
    <x v="2"/>
    <s v="Profile Portability (Enabler): Gain NSA Concurrence (IA)"/>
    <x v="26"/>
    <n v="3"/>
    <x v="0"/>
    <m/>
    <s v="MUOS/Agile Teams/Cyber"/>
    <s v="Morton, Randall-P57014"/>
    <x v="9"/>
    <x v="0"/>
    <e v="#N/A"/>
    <x v="14"/>
    <x v="1"/>
    <x v="10"/>
    <x v="86"/>
    <n v="391887"/>
  </r>
  <r>
    <x v="727"/>
    <n v="370032"/>
    <x v="0"/>
    <x v="2"/>
    <s v="Profile Portability (Enabler): Gain NSA Concurrence (IA)"/>
    <x v="22"/>
    <n v="1"/>
    <x v="0"/>
    <m/>
    <s v="MUOS/Agile Teams/Cyber"/>
    <s v="Morton, Randall-P57014"/>
    <x v="9"/>
    <x v="0"/>
    <e v="#N/A"/>
    <x v="14"/>
    <x v="1"/>
    <x v="10"/>
    <x v="86"/>
    <n v="391888"/>
  </r>
  <r>
    <x v="728"/>
    <n v="370032"/>
    <x v="0"/>
    <x v="2"/>
    <s v="Profile Portability (Enabler): Gain NSA Concurrence (IA)"/>
    <x v="23"/>
    <n v="1"/>
    <x v="0"/>
    <m/>
    <s v="MUOS/Agile Teams/Cyber"/>
    <s v="Morton, Randall-P57014"/>
    <x v="9"/>
    <x v="0"/>
    <e v="#N/A"/>
    <x v="14"/>
    <x v="1"/>
    <x v="10"/>
    <x v="86"/>
    <n v="391889"/>
  </r>
  <r>
    <x v="729"/>
    <n v="370104"/>
    <x v="0"/>
    <x v="2"/>
    <s v="Feature 370104: TD 19-15: ULX Phase 3 Design: Placeholder for ETI effort - IA [13.1] Cyber"/>
    <x v="26"/>
    <n v="1"/>
    <x v="0"/>
    <m/>
    <s v="MUOS/Agile Teams/Cyber"/>
    <s v="Tang, Kent-P22339"/>
    <x v="16"/>
    <x v="0"/>
    <e v="#N/A"/>
    <x v="15"/>
    <x v="1"/>
    <x v="10"/>
    <x v="87"/>
    <n v="390385"/>
  </r>
  <r>
    <x v="730"/>
    <n v="370104"/>
    <x v="0"/>
    <x v="2"/>
    <s v="Feature 370104: TD 19-15: ULX Phase 3 Design: Placeholder for ETI effort - IA [13.2] Cyber"/>
    <x v="22"/>
    <n v="1"/>
    <x v="0"/>
    <m/>
    <s v="MUOS/Agile Teams/Cyber"/>
    <s v="Tang, Kent-P22339"/>
    <x v="16"/>
    <x v="0"/>
    <e v="#N/A"/>
    <x v="15"/>
    <x v="1"/>
    <x v="10"/>
    <x v="87"/>
    <n v="391319"/>
  </r>
  <r>
    <x v="731"/>
    <n v="370104"/>
    <x v="0"/>
    <x v="2"/>
    <s v="Feature 370104: TD 19-15: ULX Phase 3 Design: Placeholder for ETI effort - IA [13.3] Cyber"/>
    <x v="23"/>
    <n v="1"/>
    <x v="0"/>
    <m/>
    <s v="MUOS/Agile Teams/Cyber"/>
    <s v="Tang, Kent-P22339"/>
    <x v="16"/>
    <x v="0"/>
    <e v="#N/A"/>
    <x v="15"/>
    <x v="1"/>
    <x v="10"/>
    <x v="87"/>
    <n v="391316"/>
  </r>
  <r>
    <x v="732"/>
    <n v="370104"/>
    <x v="0"/>
    <x v="2"/>
    <s v="Feature 370104: TD 19-15: ULX Phase 3 Design: Placeholder for ETI effort - IA [13.4] Cyber"/>
    <x v="24"/>
    <n v="1"/>
    <x v="0"/>
    <m/>
    <s v="MUOS/Agile Teams/Cyber"/>
    <s v="Tang, Kent-P22339"/>
    <x v="16"/>
    <x v="0"/>
    <e v="#N/A"/>
    <x v="15"/>
    <x v="1"/>
    <x v="10"/>
    <x v="87"/>
    <n v="391322"/>
  </r>
  <r>
    <x v="733"/>
    <n v="371037"/>
    <x v="0"/>
    <x v="2"/>
    <s v="Feature 371037  SV Relocation: Create IA Posture Assessment"/>
    <x v="4"/>
    <n v="0"/>
    <x v="0"/>
    <s v="#371043"/>
    <s v="MUOS/Agile Teams/Cyber"/>
    <s v="Corcoran, David G"/>
    <x v="3"/>
    <x v="0"/>
    <e v="#N/A"/>
    <x v="16"/>
    <x v="1"/>
    <x v="10"/>
    <x v="88"/>
    <n v="371040"/>
  </r>
  <r>
    <x v="734"/>
    <n v="371344"/>
    <x v="0"/>
    <x v="2"/>
    <s v="Feature 371344: IA - Complete reviews of trade study"/>
    <x v="3"/>
    <n v="1"/>
    <x v="0"/>
    <m/>
    <s v="MUOS/Agile Teams/Cyber"/>
    <s v="Murray, Will-P67105"/>
    <x v="4"/>
    <x v="0"/>
    <e v="#N/A"/>
    <x v="0"/>
    <x v="1"/>
    <x v="10"/>
    <x v="89"/>
    <n v="371352"/>
  </r>
  <r>
    <x v="735"/>
    <n v="376446"/>
    <x v="0"/>
    <x v="2"/>
    <s v="Call Bank Servers: IA Posture Improvement - Posture Assessment (Feature 376446)"/>
    <x v="11"/>
    <n v="3"/>
    <x v="1"/>
    <m/>
    <s v="MUOS/Agile Teams/Cyber"/>
    <s v="Vaughn, Gerald D (NE)"/>
    <x v="12"/>
    <x v="0"/>
    <n v="12"/>
    <x v="0"/>
    <x v="1"/>
    <x v="10"/>
    <x v="90"/>
    <n v="385603"/>
  </r>
  <r>
    <x v="736"/>
    <n v="376446"/>
    <x v="0"/>
    <x v="2"/>
    <s v="Feature 376446: Call Bank IATT (Linux) Cyber Support"/>
    <x v="12"/>
    <n v="1"/>
    <x v="1"/>
    <m/>
    <s v="MUOS/Agile Teams/Cyber"/>
    <s v="Vaughn, Gerald D (NE)"/>
    <x v="12"/>
    <x v="0"/>
    <n v="12"/>
    <x v="0"/>
    <x v="1"/>
    <x v="10"/>
    <x v="90"/>
    <n v="385602"/>
  </r>
  <r>
    <x v="737"/>
    <n v="376446"/>
    <x v="0"/>
    <x v="2"/>
    <s v="Call Bank Servers: IA Posture Improvement - Final Posture Assessment (Feature 376446)"/>
    <x v="15"/>
    <n v="2"/>
    <x v="1"/>
    <m/>
    <s v="MUOS/Agile Teams/Cyber"/>
    <s v="Garrison, David D"/>
    <x v="11"/>
    <x v="0"/>
    <n v="12"/>
    <x v="0"/>
    <x v="1"/>
    <x v="10"/>
    <x v="90"/>
    <n v="1006453"/>
  </r>
  <r>
    <x v="738"/>
    <n v="377437"/>
    <x v="0"/>
    <x v="2"/>
    <s v="&lt;Feature 377437&gt;: IA posture assessment for RF Alignment Tool on ETT Laptop"/>
    <x v="14"/>
    <n v="3"/>
    <x v="6"/>
    <s v="#1004246"/>
    <s v="MUOS/Agile Teams/Cyber"/>
    <s v="Vaughn, Gerald D (NE)"/>
    <x v="12"/>
    <x v="0"/>
    <n v="46"/>
    <x v="0"/>
    <x v="1"/>
    <x v="10"/>
    <x v="91"/>
    <n v="377438"/>
  </r>
  <r>
    <x v="739"/>
    <n v="379001"/>
    <x v="0"/>
    <x v="0"/>
    <s v="Rebase and Test Problem 1014745 Story : Disable LLMWR and NetBIOS on Windows 2003 Machines (Part 1)"/>
    <x v="0"/>
    <n v="2"/>
    <x v="0"/>
    <m/>
    <s v="MUOS/Agile Teams/Cyber"/>
    <s v="Unassigned"/>
    <x v="0"/>
    <x v="0"/>
    <e v="#N/A"/>
    <x v="0"/>
    <x v="1"/>
    <x v="10"/>
    <x v="92"/>
    <n v="1018510"/>
  </r>
  <r>
    <x v="740"/>
    <n v="380598"/>
    <x v="0"/>
    <x v="0"/>
    <s v="Feature 380598: IA Posture Assessment"/>
    <x v="0"/>
    <n v="8"/>
    <x v="0"/>
    <s v="#380604"/>
    <s v="MUOS/Agile Teams/Cyber"/>
    <s v="Johnson, Derek T"/>
    <x v="2"/>
    <x v="0"/>
    <e v="#N/A"/>
    <x v="0"/>
    <x v="1"/>
    <x v="10"/>
    <x v="93"/>
    <n v="380601"/>
  </r>
  <r>
    <x v="741"/>
    <n v="380808"/>
    <x v="0"/>
    <x v="0"/>
    <s v="Re-Scan and STIG HA VM after 6/26 refresh date."/>
    <x v="32"/>
    <n v="8"/>
    <x v="0"/>
    <m/>
    <s v="MUOS/Agile Teams/Cyber"/>
    <s v="Unassigned"/>
    <x v="0"/>
    <x v="0"/>
    <n v="36"/>
    <x v="0"/>
    <x v="1"/>
    <x v="10"/>
    <x v="94"/>
    <n v="1012406"/>
  </r>
  <r>
    <x v="742"/>
    <n v="381216"/>
    <x v="0"/>
    <x v="2"/>
    <s v="CSE PWI Triage/Assessment Support - 13.1 (Chris)"/>
    <x v="26"/>
    <n v="2"/>
    <x v="0"/>
    <m/>
    <s v="MUOS/Agile Teams/Cyber"/>
    <s v="Curtis, Chris B"/>
    <x v="7"/>
    <x v="0"/>
    <e v="#N/A"/>
    <x v="17"/>
    <x v="1"/>
    <x v="10"/>
    <x v="95"/>
    <n v="381830"/>
  </r>
  <r>
    <x v="743"/>
    <n v="381216"/>
    <x v="0"/>
    <x v="2"/>
    <s v="CSE PWI Triage/Assessment Support - 13.1"/>
    <x v="26"/>
    <n v="2"/>
    <x v="0"/>
    <m/>
    <s v="MUOS/Agile Teams/Cyber"/>
    <s v="Tang, Kent-P22339"/>
    <x v="16"/>
    <x v="0"/>
    <e v="#N/A"/>
    <x v="17"/>
    <x v="1"/>
    <x v="10"/>
    <x v="95"/>
    <n v="381826"/>
  </r>
  <r>
    <x v="744"/>
    <n v="381216"/>
    <x v="0"/>
    <x v="2"/>
    <s v="CSE PWI Triage/Assessment Support - fix GIS PWIs Formatting"/>
    <x v="22"/>
    <n v="1"/>
    <x v="0"/>
    <m/>
    <s v="MUOS/Agile Teams/Cyber"/>
    <s v="Curtis, Chris B"/>
    <x v="7"/>
    <x v="0"/>
    <e v="#N/A"/>
    <x v="17"/>
    <x v="1"/>
    <x v="10"/>
    <x v="95"/>
    <n v="395557"/>
  </r>
  <r>
    <x v="745"/>
    <n v="381216"/>
    <x v="0"/>
    <x v="2"/>
    <s v="CSE PWI Triage/Assessment Support - 13.2"/>
    <x v="22"/>
    <n v="2"/>
    <x v="0"/>
    <m/>
    <s v="MUOS/Agile Teams/Cyber"/>
    <s v="Garrison, David D"/>
    <x v="11"/>
    <x v="0"/>
    <e v="#N/A"/>
    <x v="17"/>
    <x v="1"/>
    <x v="10"/>
    <x v="95"/>
    <n v="381827"/>
  </r>
  <r>
    <x v="746"/>
    <n v="381216"/>
    <x v="0"/>
    <x v="2"/>
    <s v="CSE PWI Triage/Assessment Support - 13.3"/>
    <x v="23"/>
    <n v="2"/>
    <x v="0"/>
    <m/>
    <s v="MUOS/Agile Teams/Cyber"/>
    <s v="Curtis, Chris B"/>
    <x v="7"/>
    <x v="0"/>
    <e v="#N/A"/>
    <x v="17"/>
    <x v="1"/>
    <x v="10"/>
    <x v="95"/>
    <n v="381828"/>
  </r>
  <r>
    <x v="747"/>
    <n v="381216"/>
    <x v="0"/>
    <x v="2"/>
    <s v="Feature 381216: STIG Tracking Template (Part 1)"/>
    <x v="24"/>
    <n v="2"/>
    <x v="0"/>
    <m/>
    <s v="MUOS/Agile Teams/Cyber"/>
    <s v="Garrison, David D"/>
    <x v="11"/>
    <x v="0"/>
    <e v="#N/A"/>
    <x v="17"/>
    <x v="1"/>
    <x v="10"/>
    <x v="95"/>
    <n v="1002515"/>
  </r>
  <r>
    <x v="748"/>
    <n v="381216"/>
    <x v="0"/>
    <x v="2"/>
    <s v="Cyber PWI Triage/Assessment Support - PI 13"/>
    <x v="24"/>
    <n v="1"/>
    <x v="0"/>
    <m/>
    <s v="MUOS/Agile Teams/Cyber"/>
    <s v="Garrison, David D"/>
    <x v="11"/>
    <x v="0"/>
    <e v="#N/A"/>
    <x v="17"/>
    <x v="1"/>
    <x v="10"/>
    <x v="95"/>
    <n v="381846"/>
  </r>
  <r>
    <x v="749"/>
    <n v="381216"/>
    <x v="0"/>
    <x v="2"/>
    <s v="CSE PWI Triage/Assessment Support - 13.4"/>
    <x v="24"/>
    <n v="2"/>
    <x v="0"/>
    <m/>
    <s v="MUOS/Agile Teams/Cyber"/>
    <s v="Curtis, Chris B"/>
    <x v="7"/>
    <x v="0"/>
    <e v="#N/A"/>
    <x v="17"/>
    <x v="1"/>
    <x v="10"/>
    <x v="95"/>
    <n v="381829"/>
  </r>
  <r>
    <x v="750"/>
    <n v="381216"/>
    <x v="0"/>
    <x v="2"/>
    <s v="Feature 381216: STIG Tracking Template (Part 2)"/>
    <x v="27"/>
    <n v="3"/>
    <x v="0"/>
    <m/>
    <s v="MUOS/Agile Teams/Cyber"/>
    <s v="Garrison, David D"/>
    <x v="11"/>
    <x v="0"/>
    <e v="#N/A"/>
    <x v="17"/>
    <x v="1"/>
    <x v="10"/>
    <x v="95"/>
    <n v="1002529"/>
  </r>
  <r>
    <x v="751"/>
    <n v="381216"/>
    <x v="0"/>
    <x v="2"/>
    <s v="Cyber PWI Triage/Assessment Support - PI 13"/>
    <x v="27"/>
    <n v="1"/>
    <x v="0"/>
    <m/>
    <s v="MUOS/Agile Teams/Cyber"/>
    <s v="Garrison, David D"/>
    <x v="11"/>
    <x v="0"/>
    <e v="#N/A"/>
    <x v="17"/>
    <x v="1"/>
    <x v="10"/>
    <x v="95"/>
    <n v="381847"/>
  </r>
  <r>
    <x v="752"/>
    <n v="381216"/>
    <x v="0"/>
    <x v="2"/>
    <s v="CSE PWI Triage/Assessment Support - 13.6"/>
    <x v="27"/>
    <n v="2"/>
    <x v="0"/>
    <m/>
    <s v="MUOS/Agile Teams/Cyber"/>
    <s v="Curtis, Chris B"/>
    <x v="7"/>
    <x v="0"/>
    <e v="#N/A"/>
    <x v="17"/>
    <x v="1"/>
    <x v="10"/>
    <x v="95"/>
    <n v="381831"/>
  </r>
  <r>
    <x v="753"/>
    <n v="381216"/>
    <x v="0"/>
    <x v="2"/>
    <s v="CSE PWI Triage/Assessment Support - 13.7"/>
    <x v="25"/>
    <n v="2"/>
    <x v="0"/>
    <m/>
    <s v="MUOS/Agile Teams/Cyber"/>
    <s v="Curtis, Chris B"/>
    <x v="7"/>
    <x v="0"/>
    <e v="#N/A"/>
    <x v="17"/>
    <x v="1"/>
    <x v="10"/>
    <x v="95"/>
    <n v="381832"/>
  </r>
  <r>
    <x v="754"/>
    <n v="381608"/>
    <x v="0"/>
    <x v="2"/>
    <s v="Feature 381608: IA Posture Assessment"/>
    <x v="26"/>
    <n v="1"/>
    <x v="0"/>
    <s v="#381614"/>
    <s v="MUOS/Agile Teams/Cyber"/>
    <s v="Curtis, Chris B"/>
    <x v="7"/>
    <x v="0"/>
    <e v="#N/A"/>
    <x v="18"/>
    <x v="1"/>
    <x v="10"/>
    <x v="96"/>
    <n v="381611"/>
  </r>
  <r>
    <x v="755"/>
    <n v="381627"/>
    <x v="0"/>
    <x v="0"/>
    <s v="&lt;Feature 381627&gt; IA Posture Assessment"/>
    <x v="0"/>
    <n v="8"/>
    <x v="0"/>
    <s v="#381633"/>
    <s v="MUOS/Agile Teams/Cyber"/>
    <s v="Gorowara, Hemant K"/>
    <x v="30"/>
    <x v="0"/>
    <e v="#N/A"/>
    <x v="0"/>
    <x v="1"/>
    <x v="10"/>
    <x v="97"/>
    <n v="381630"/>
  </r>
  <r>
    <x v="756"/>
    <n v="381659"/>
    <x v="0"/>
    <x v="0"/>
    <s v="&lt;Feature 381659&gt; IA Posture Assessment"/>
    <x v="0"/>
    <n v="8"/>
    <x v="0"/>
    <s v="#381665"/>
    <s v="MUOS/Agile Teams/Cyber"/>
    <s v="Gorowara, Hemant K"/>
    <x v="30"/>
    <x v="0"/>
    <e v="#N/A"/>
    <x v="0"/>
    <x v="1"/>
    <x v="10"/>
    <x v="98"/>
    <n v="381662"/>
  </r>
  <r>
    <x v="757"/>
    <n v="382682"/>
    <x v="0"/>
    <x v="2"/>
    <s v="Feature 382682: Review Cyber Posture Assessment with Stakeholders"/>
    <x v="5"/>
    <n v="1"/>
    <x v="0"/>
    <m/>
    <s v="MUOS/Agile Teams/Cyber"/>
    <s v="Corcoran, David G"/>
    <x v="3"/>
    <x v="0"/>
    <e v="#N/A"/>
    <x v="0"/>
    <x v="1"/>
    <x v="10"/>
    <x v="99"/>
    <n v="384804"/>
  </r>
  <r>
    <x v="758"/>
    <n v="383332"/>
    <x v="0"/>
    <x v="2"/>
    <s v="Feature 383332: CSE PI 13 SME Technical Support [13.1]"/>
    <x v="26"/>
    <n v="1"/>
    <x v="1"/>
    <m/>
    <s v="MUOS/Agile Teams/Cyber"/>
    <s v="Curtis, Chris B"/>
    <x v="7"/>
    <x v="0"/>
    <e v="#N/A"/>
    <x v="19"/>
    <x v="1"/>
    <x v="10"/>
    <x v="100"/>
    <n v="391302"/>
  </r>
  <r>
    <x v="759"/>
    <n v="383332"/>
    <x v="0"/>
    <x v="2"/>
    <s v="Feature 383332: CSE PI 13 SME Technical Support [13.7]"/>
    <x v="26"/>
    <n v="0"/>
    <x v="1"/>
    <m/>
    <s v="MUOS/Agile Teams/Cyber"/>
    <s v="Curtis, Chris B"/>
    <x v="7"/>
    <x v="0"/>
    <e v="#N/A"/>
    <x v="19"/>
    <x v="1"/>
    <x v="10"/>
    <x v="100"/>
    <n v="383405"/>
  </r>
  <r>
    <x v="760"/>
    <n v="383332"/>
    <x v="0"/>
    <x v="2"/>
    <s v="Feature 383332: CSE PI 13 SME Technical Support [13.2]"/>
    <x v="22"/>
    <n v="1"/>
    <x v="1"/>
    <m/>
    <s v="MUOS/Agile Teams/Cyber"/>
    <s v="Curtis, Chris B"/>
    <x v="7"/>
    <x v="0"/>
    <e v="#N/A"/>
    <x v="19"/>
    <x v="1"/>
    <x v="10"/>
    <x v="100"/>
    <n v="391304"/>
  </r>
  <r>
    <x v="761"/>
    <n v="383332"/>
    <x v="0"/>
    <x v="2"/>
    <s v="Feature 383332: CSE PI 13 SME Technical Support [13.3]"/>
    <x v="23"/>
    <n v="1"/>
    <x v="1"/>
    <m/>
    <s v="MUOS/Agile Teams/Cyber"/>
    <s v="Curtis, Chris B"/>
    <x v="7"/>
    <x v="0"/>
    <e v="#N/A"/>
    <x v="19"/>
    <x v="1"/>
    <x v="10"/>
    <x v="100"/>
    <n v="391306"/>
  </r>
  <r>
    <x v="762"/>
    <n v="383332"/>
    <x v="0"/>
    <x v="2"/>
    <s v="Feature 383332: CSE PI 13 SME Technical Support [13.4]"/>
    <x v="24"/>
    <n v="1"/>
    <x v="1"/>
    <m/>
    <s v="MUOS/Agile Teams/Cyber"/>
    <s v="Curtis, Chris B"/>
    <x v="7"/>
    <x v="0"/>
    <e v="#N/A"/>
    <x v="19"/>
    <x v="1"/>
    <x v="10"/>
    <x v="100"/>
    <n v="391308"/>
  </r>
  <r>
    <x v="763"/>
    <n v="383332"/>
    <x v="0"/>
    <x v="2"/>
    <s v="Feature 383332: CSE PI 13 SME Technical Support [13.5]"/>
    <x v="28"/>
    <n v="1"/>
    <x v="1"/>
    <m/>
    <s v="MUOS/Agile Teams/Cyber"/>
    <s v="Curtis, Chris B"/>
    <x v="7"/>
    <x v="0"/>
    <e v="#N/A"/>
    <x v="19"/>
    <x v="1"/>
    <x v="10"/>
    <x v="100"/>
    <n v="391309"/>
  </r>
  <r>
    <x v="764"/>
    <n v="383332"/>
    <x v="0"/>
    <x v="2"/>
    <s v="Feature 383332: CSE PI 13 SME Technical Support [13.6]"/>
    <x v="27"/>
    <n v="1"/>
    <x v="1"/>
    <m/>
    <s v="MUOS/Agile Teams/Cyber"/>
    <s v="Curtis, Chris B"/>
    <x v="7"/>
    <x v="0"/>
    <e v="#N/A"/>
    <x v="19"/>
    <x v="1"/>
    <x v="10"/>
    <x v="100"/>
    <n v="391310"/>
  </r>
  <r>
    <x v="765"/>
    <n v="383908"/>
    <x v="0"/>
    <x v="0"/>
    <s v="Feature 383908: MFR 3  CSE Completes Final CAP (Change back to Cyber Security Engineering)"/>
    <x v="0"/>
    <n v="5"/>
    <x v="0"/>
    <s v="#383925"/>
    <s v="MUOS/Agile Teams/Cyber"/>
    <s v="Unassigned"/>
    <x v="0"/>
    <x v="0"/>
    <e v="#N/A"/>
    <x v="0"/>
    <x v="1"/>
    <x v="10"/>
    <x v="101"/>
    <n v="383911"/>
  </r>
  <r>
    <x v="766"/>
    <n v="384036"/>
    <x v="0"/>
    <x v="2"/>
    <s v="Feature 384036: Present specific STIG methodology to customer"/>
    <x v="26"/>
    <n v="2"/>
    <x v="0"/>
    <m/>
    <s v="MUOS/Agile Teams/Cyber"/>
    <s v="Curtis, Chris B"/>
    <x v="7"/>
    <x v="0"/>
    <e v="#N/A"/>
    <x v="20"/>
    <x v="1"/>
    <x v="10"/>
    <x v="102"/>
    <n v="392652"/>
  </r>
  <r>
    <x v="767"/>
    <n v="384036"/>
    <x v="0"/>
    <x v="2"/>
    <s v="Provide support for performing ACAS pre-MFR3 assessment for Nutanix in Vlab"/>
    <x v="24"/>
    <n v="1"/>
    <x v="0"/>
    <m/>
    <s v="MUOS/Agile Teams/Cyber"/>
    <s v="Curtis, Chris B"/>
    <x v="7"/>
    <x v="0"/>
    <e v="#N/A"/>
    <x v="20"/>
    <x v="1"/>
    <x v="10"/>
    <x v="102"/>
    <n v="393491"/>
  </r>
  <r>
    <x v="768"/>
    <n v="384036"/>
    <x v="0"/>
    <x v="2"/>
    <s v="Feature 384036: Pre-MFR 3 – Cyber Performs initial Cybersecurity Assessment"/>
    <x v="24"/>
    <n v="2"/>
    <x v="0"/>
    <m/>
    <s v="MUOS/Agile Teams/Cyber"/>
    <s v="Curtis, Chris B"/>
    <x v="7"/>
    <x v="0"/>
    <e v="#N/A"/>
    <x v="20"/>
    <x v="1"/>
    <x v="10"/>
    <x v="102"/>
    <n v="391120"/>
  </r>
  <r>
    <x v="769"/>
    <n v="384036"/>
    <x v="0"/>
    <x v="2"/>
    <s v="Feature 384036: Pre-MFR 3 – Cyber Performs initial Cybersecurity Assessment"/>
    <x v="24"/>
    <n v="2"/>
    <x v="0"/>
    <s v="#384069"/>
    <s v="MUOS/Agile Teams/Cyber"/>
    <s v="Curtis, Chris B"/>
    <x v="7"/>
    <x v="0"/>
    <e v="#N/A"/>
    <x v="20"/>
    <x v="1"/>
    <x v="10"/>
    <x v="102"/>
    <n v="384042"/>
  </r>
  <r>
    <x v="770"/>
    <n v="384036"/>
    <x v="0"/>
    <x v="2"/>
    <s v="Prepare and hold peer review for Nutanix ACAS pre-MFR3 Assessment"/>
    <x v="27"/>
    <n v="3"/>
    <x v="0"/>
    <m/>
    <s v="MUOS/Agile Teams/Cyber"/>
    <s v="Curtis, Chris B"/>
    <x v="7"/>
    <x v="0"/>
    <e v="#N/A"/>
    <x v="20"/>
    <x v="1"/>
    <x v="10"/>
    <x v="102"/>
    <n v="1004104"/>
  </r>
  <r>
    <x v="771"/>
    <n v="384036"/>
    <x v="0"/>
    <x v="2"/>
    <s v="Feature 384036: Pre-MFR 3 – Cyber Performs initial Cybersecurity Assessment for Scripted OS installation"/>
    <x v="25"/>
    <n v="2"/>
    <x v="0"/>
    <m/>
    <s v="MUOS/Agile Teams/Cyber"/>
    <s v="Salazar, Charlie"/>
    <x v="26"/>
    <x v="0"/>
    <e v="#N/A"/>
    <x v="20"/>
    <x v="1"/>
    <x v="10"/>
    <x v="102"/>
    <n v="1007082"/>
  </r>
  <r>
    <x v="772"/>
    <n v="384136"/>
    <x v="0"/>
    <x v="2"/>
    <s v="Feature 384136: MFR 3 – CSE Performs initial Cybersecurity Assessment (Part 2)"/>
    <x v="27"/>
    <n v="3"/>
    <x v="0"/>
    <m/>
    <s v="MUOS/Agile Teams/Cyber"/>
    <s v="Tang, Kent-P22339"/>
    <x v="16"/>
    <x v="0"/>
    <e v="#N/A"/>
    <x v="21"/>
    <x v="1"/>
    <x v="10"/>
    <x v="103"/>
    <n v="1003561"/>
  </r>
  <r>
    <x v="773"/>
    <n v="384136"/>
    <x v="0"/>
    <x v="2"/>
    <s v="Feature 384136: MFR 3 – CSE Performs initial Cybersecurity Assessment (Part 1)"/>
    <x v="27"/>
    <n v="2"/>
    <x v="0"/>
    <m/>
    <s v="MUOS/Agile Teams/Cyber"/>
    <s v="Tang, Kent-P22339"/>
    <x v="16"/>
    <x v="0"/>
    <e v="#N/A"/>
    <x v="21"/>
    <x v="1"/>
    <x v="10"/>
    <x v="103"/>
    <n v="387227"/>
  </r>
  <r>
    <x v="774"/>
    <n v="384136"/>
    <x v="0"/>
    <x v="2"/>
    <s v="Feature 384136: MFR 3 – CSE Performs initial Cybersecurity Assessment (Part 3b)"/>
    <x v="25"/>
    <n v="3"/>
    <x v="0"/>
    <m/>
    <s v="MUOS/Agile Teams/Cyber"/>
    <s v="Milzarski, Ted-P63490"/>
    <x v="6"/>
    <x v="0"/>
    <e v="#N/A"/>
    <x v="21"/>
    <x v="1"/>
    <x v="10"/>
    <x v="103"/>
    <n v="1006413"/>
  </r>
  <r>
    <x v="775"/>
    <n v="384136"/>
    <x v="0"/>
    <x v="2"/>
    <s v="Feature 384136: MFR 3 – CSE Performs initial Cybersecurity Assessment (Part 3a)"/>
    <x v="25"/>
    <n v="3"/>
    <x v="0"/>
    <m/>
    <s v="MUOS/Agile Teams/Cyber"/>
    <s v="Tang, Kent-P22339"/>
    <x v="16"/>
    <x v="0"/>
    <e v="#N/A"/>
    <x v="21"/>
    <x v="1"/>
    <x v="10"/>
    <x v="103"/>
    <n v="1006401"/>
  </r>
  <r>
    <x v="776"/>
    <n v="384136"/>
    <x v="0"/>
    <x v="2"/>
    <s v="Feature 384136: Develop IETM procedures based on list of identified IETM updates. Part 1"/>
    <x v="9"/>
    <n v="5"/>
    <x v="0"/>
    <m/>
    <s v="MUOS/Agile Teams/Cyber"/>
    <s v="Milzarski, Ted-P63490"/>
    <x v="6"/>
    <x v="0"/>
    <e v="#N/A"/>
    <x v="21"/>
    <x v="1"/>
    <x v="10"/>
    <x v="103"/>
    <n v="1008486"/>
  </r>
  <r>
    <x v="777"/>
    <n v="384136"/>
    <x v="0"/>
    <x v="2"/>
    <s v="Feature 384136: Monitor and document HIPS and MAC exceptions identified during development of HBSS on both High and low sides. Sprint 2"/>
    <x v="10"/>
    <n v="2"/>
    <x v="0"/>
    <m/>
    <s v="MUOS/Agile Teams/Cyber"/>
    <s v="Milzarski, Ted-P63490"/>
    <x v="6"/>
    <x v="0"/>
    <e v="#N/A"/>
    <x v="21"/>
    <x v="1"/>
    <x v="10"/>
    <x v="103"/>
    <n v="390238"/>
  </r>
  <r>
    <x v="778"/>
    <n v="384136"/>
    <x v="0"/>
    <x v="2"/>
    <s v="Feature 384136: Develop IETM procedures based on list of identified IETM updates. Part 2"/>
    <x v="10"/>
    <n v="5"/>
    <x v="0"/>
    <s v="#387236"/>
    <s v="MUOS/Agile Teams/Cyber"/>
    <s v="Milzarski, Ted-P63490"/>
    <x v="6"/>
    <x v="0"/>
    <e v="#N/A"/>
    <x v="21"/>
    <x v="1"/>
    <x v="10"/>
    <x v="103"/>
    <n v="390232"/>
  </r>
  <r>
    <x v="779"/>
    <n v="384136"/>
    <x v="0"/>
    <x v="2"/>
    <s v="Feature 384136: HBSS IETM Dry Run Support"/>
    <x v="11"/>
    <n v="2"/>
    <x v="0"/>
    <m/>
    <s v="MUOS/Agile Teams/Cyber"/>
    <s v="Milzarski, Ted-P63490"/>
    <x v="6"/>
    <x v="0"/>
    <e v="#N/A"/>
    <x v="21"/>
    <x v="1"/>
    <x v="10"/>
    <x v="103"/>
    <n v="384138"/>
  </r>
  <r>
    <x v="780"/>
    <n v="385422"/>
    <x v="0"/>
    <x v="0"/>
    <s v="Feature 385422: Develop Replacement for the Backup, Recovery, and Archive System (IA)"/>
    <x v="1"/>
    <n v="3"/>
    <x v="0"/>
    <m/>
    <s v="MUOS/Agile Teams/Cyber"/>
    <s v="Unassigned"/>
    <x v="0"/>
    <x v="0"/>
    <e v="#N/A"/>
    <x v="0"/>
    <x v="1"/>
    <x v="10"/>
    <x v="104"/>
    <n v="388307"/>
  </r>
  <r>
    <x v="781"/>
    <n v="385422"/>
    <x v="0"/>
    <x v="0"/>
    <s v="Feature 385422: Develop Replacement for the Backup, Recovery, and Archive System (IA)"/>
    <x v="1"/>
    <n v="2"/>
    <x v="0"/>
    <m/>
    <s v="MUOS/Agile Teams/Cyber"/>
    <s v="Unassigned"/>
    <x v="0"/>
    <x v="0"/>
    <e v="#N/A"/>
    <x v="0"/>
    <x v="1"/>
    <x v="10"/>
    <x v="104"/>
    <n v="385424"/>
  </r>
  <r>
    <x v="782"/>
    <n v="385856"/>
    <x v="0"/>
    <x v="2"/>
    <s v="Feature 385856: Conversion to ACC - IA Support (Part 1) - 13.4"/>
    <x v="24"/>
    <n v="1"/>
    <x v="1"/>
    <m/>
    <s v="MUOS/Agile Teams/Cyber"/>
    <s v="Stevens, Alice L"/>
    <x v="19"/>
    <x v="0"/>
    <e v="#N/A"/>
    <x v="22"/>
    <x v="1"/>
    <x v="10"/>
    <x v="105"/>
    <n v="385882"/>
  </r>
  <r>
    <x v="783"/>
    <n v="385856"/>
    <x v="0"/>
    <x v="2"/>
    <s v="Feature 385856: Conversion to ACC - IA Support (Part 2) - 13.6"/>
    <x v="27"/>
    <n v="2"/>
    <x v="1"/>
    <m/>
    <s v="MUOS/Agile Teams/Cyber"/>
    <s v="Stevens, Alice L"/>
    <x v="19"/>
    <x v="0"/>
    <e v="#N/A"/>
    <x v="22"/>
    <x v="1"/>
    <x v="10"/>
    <x v="105"/>
    <n v="392476"/>
  </r>
  <r>
    <x v="784"/>
    <n v="385856"/>
    <x v="0"/>
    <x v="2"/>
    <s v="Feature 385856: Conversion to ACC - IA Support Part 2"/>
    <x v="9"/>
    <n v="1"/>
    <x v="1"/>
    <m/>
    <s v="MUOS/Agile Teams/Cyber"/>
    <s v="Curtis, Chris B"/>
    <x v="7"/>
    <x v="0"/>
    <e v="#N/A"/>
    <x v="22"/>
    <x v="1"/>
    <x v="10"/>
    <x v="105"/>
    <n v="385883"/>
  </r>
  <r>
    <x v="785"/>
    <n v="385856"/>
    <x v="0"/>
    <x v="2"/>
    <s v="Feature 385856: Conversion to ACC - IA Support Part 2 Continued"/>
    <x v="10"/>
    <n v="1"/>
    <x v="1"/>
    <m/>
    <s v="MUOS/Agile Teams/Cyber"/>
    <s v="Curtis, Chris B"/>
    <x v="7"/>
    <x v="0"/>
    <e v="#N/A"/>
    <x v="22"/>
    <x v="1"/>
    <x v="10"/>
    <x v="105"/>
    <n v="1007606"/>
  </r>
  <r>
    <x v="786"/>
    <n v="385856"/>
    <x v="0"/>
    <x v="2"/>
    <s v="Feature 385856: Conversion to ACC - IA Support Part 2 Continued"/>
    <x v="11"/>
    <n v="1"/>
    <x v="1"/>
    <m/>
    <s v="MUOS/Agile Teams/Cyber"/>
    <s v="Curtis, Chris B"/>
    <x v="7"/>
    <x v="0"/>
    <e v="#N/A"/>
    <x v="22"/>
    <x v="1"/>
    <x v="10"/>
    <x v="105"/>
    <n v="1007607"/>
  </r>
  <r>
    <x v="787"/>
    <n v="386935"/>
    <x v="0"/>
    <x v="2"/>
    <s v="Feature 376446: IA Posture Improvement - AMS-GS Initial Assessment"/>
    <x v="10"/>
    <n v="2"/>
    <x v="1"/>
    <m/>
    <s v="MUOS/Agile Teams/Cyber"/>
    <s v="Vaughn, Gerald D (NE)"/>
    <x v="12"/>
    <x v="0"/>
    <e v="#N/A"/>
    <x v="23"/>
    <x v="1"/>
    <x v="10"/>
    <x v="106"/>
    <n v="1006452"/>
  </r>
  <r>
    <x v="788"/>
    <n v="386935"/>
    <x v="0"/>
    <x v="2"/>
    <s v="IA Posture Improvement - AMS-GS Intermediate Assessment"/>
    <x v="12"/>
    <n v="2"/>
    <x v="7"/>
    <m/>
    <s v="MUOS/Agile Teams/Cyber"/>
    <s v="Vaughn, Gerald D (NE)"/>
    <x v="12"/>
    <x v="0"/>
    <e v="#N/A"/>
    <x v="23"/>
    <x v="1"/>
    <x v="10"/>
    <x v="106"/>
    <n v="1015146"/>
  </r>
  <r>
    <x v="789"/>
    <n v="388053"/>
    <x v="0"/>
    <x v="2"/>
    <s v="Support design of PPA"/>
    <x v="12"/>
    <n v="5"/>
    <x v="0"/>
    <m/>
    <s v="MUOS/Agile Teams/Cyber"/>
    <s v="Curtis, Chris B"/>
    <x v="7"/>
    <x v="0"/>
    <n v="44"/>
    <x v="0"/>
    <x v="1"/>
    <x v="10"/>
    <x v="107"/>
    <n v="388155"/>
  </r>
  <r>
    <x v="790"/>
    <n v="388549"/>
    <x v="0"/>
    <x v="2"/>
    <s v="Feature 370104: TD 19-15: ULX Phase 3 Design: for ETI effort - IA [13.5] Cyber"/>
    <x v="27"/>
    <n v="2"/>
    <x v="0"/>
    <m/>
    <s v="MUOS/Agile Teams/Cyber"/>
    <s v="Tang, Kent-P22339"/>
    <x v="16"/>
    <x v="0"/>
    <e v="#N/A"/>
    <x v="24"/>
    <x v="1"/>
    <x v="10"/>
    <x v="108"/>
    <n v="391324"/>
  </r>
  <r>
    <x v="791"/>
    <n v="388549"/>
    <x v="0"/>
    <x v="2"/>
    <s v="Feature 370104: TD 19-15: ULX Phase 3 Design: Placeholder for ETI effort - IA [13.7] Cyber"/>
    <x v="25"/>
    <n v="1"/>
    <x v="0"/>
    <m/>
    <s v="MUOS/Agile Teams/Cyber"/>
    <s v="Tang, Kent-P22339"/>
    <x v="16"/>
    <x v="0"/>
    <e v="#N/A"/>
    <x v="24"/>
    <x v="1"/>
    <x v="10"/>
    <x v="108"/>
    <n v="391328"/>
  </r>
  <r>
    <x v="792"/>
    <n v="388549"/>
    <x v="0"/>
    <x v="2"/>
    <s v="Feature 388549: ULX Detailed Design - Compliant to Support IATT, Patching/STIG Design, Design Oversight) (Kent Tang, Cyber)"/>
    <x v="9"/>
    <n v="5"/>
    <x v="0"/>
    <m/>
    <s v="MUOS/Agile Teams/Cyber"/>
    <s v="Tang, Kent-P22339"/>
    <x v="16"/>
    <x v="0"/>
    <e v="#N/A"/>
    <x v="24"/>
    <x v="1"/>
    <x v="10"/>
    <x v="108"/>
    <n v="1005770"/>
  </r>
  <r>
    <x v="793"/>
    <n v="388549"/>
    <x v="0"/>
    <x v="2"/>
    <s v="Feature 388549: ULX Detailed Design - FCAPS, Design Oversight (Cyber)"/>
    <x v="10"/>
    <n v="5"/>
    <x v="0"/>
    <m/>
    <s v="MUOS/Agile Teams/Cyber"/>
    <s v="Tang, Kent-P22339"/>
    <x v="16"/>
    <x v="0"/>
    <e v="#N/A"/>
    <x v="24"/>
    <x v="1"/>
    <x v="10"/>
    <x v="108"/>
    <n v="1006270"/>
  </r>
  <r>
    <x v="794"/>
    <n v="388549"/>
    <x v="0"/>
    <x v="2"/>
    <s v="Feature 388549: ULX Detailed Design - FCAPS &amp; Design Oversight (Cyber)"/>
    <x v="11"/>
    <n v="5"/>
    <x v="0"/>
    <m/>
    <s v="MUOS/Agile Teams/Cyber"/>
    <s v="Tang, Kent-P22339"/>
    <x v="16"/>
    <x v="0"/>
    <e v="#N/A"/>
    <x v="24"/>
    <x v="1"/>
    <x v="10"/>
    <x v="108"/>
    <n v="1006271"/>
  </r>
  <r>
    <x v="795"/>
    <n v="388549"/>
    <x v="0"/>
    <x v="2"/>
    <s v="Feature 388549: ULX Detailed Design - Final Design Doc &amp; Presentation Support (Cyber)"/>
    <x v="12"/>
    <n v="5"/>
    <x v="0"/>
    <m/>
    <s v="MUOS/Agile Teams/Cyber"/>
    <s v="Tang, Kent-P22339"/>
    <x v="16"/>
    <x v="0"/>
    <e v="#N/A"/>
    <x v="24"/>
    <x v="1"/>
    <x v="10"/>
    <x v="108"/>
    <n v="1006272"/>
  </r>
  <r>
    <x v="796"/>
    <n v="388549"/>
    <x v="0"/>
    <x v="2"/>
    <s v="Feature 388549: ULX Detailed Design - Final Design Doc &amp; Presentation Support (Cyber)"/>
    <x v="13"/>
    <n v="3"/>
    <x v="0"/>
    <m/>
    <s v="MUOS/Agile Teams/Cyber"/>
    <s v="Tang, Kent-P22339"/>
    <x v="16"/>
    <x v="0"/>
    <e v="#N/A"/>
    <x v="24"/>
    <x v="1"/>
    <x v="10"/>
    <x v="108"/>
    <n v="1017324"/>
  </r>
  <r>
    <x v="797"/>
    <n v="389941"/>
    <x v="0"/>
    <x v="0"/>
    <s v="IA SME support in creation and review of GFI Validation Report"/>
    <x v="1"/>
    <n v="5"/>
    <x v="0"/>
    <m/>
    <s v="MUOS/Agile Teams/Cyber"/>
    <s v="Dailey, Conan B"/>
    <x v="8"/>
    <x v="0"/>
    <e v="#N/A"/>
    <x v="0"/>
    <x v="1"/>
    <x v="10"/>
    <x v="109"/>
    <n v="1013983"/>
  </r>
  <r>
    <x v="798"/>
    <n v="389965"/>
    <x v="0"/>
    <x v="0"/>
    <s v="IA SME support to update the Service Management CMDB to reflect MUOS"/>
    <x v="1"/>
    <n v="13"/>
    <x v="0"/>
    <m/>
    <s v="MUOS/Agile Teams/Cyber"/>
    <s v="Dailey, Conan B"/>
    <x v="8"/>
    <x v="0"/>
    <e v="#N/A"/>
    <x v="0"/>
    <x v="1"/>
    <x v="10"/>
    <x v="110"/>
    <n v="1013764"/>
  </r>
  <r>
    <x v="799"/>
    <n v="393391"/>
    <x v="0"/>
    <x v="0"/>
    <s v="Feature 393391: MFR 1 Ð Dev Team Performs Cybersecurity Assessment"/>
    <x v="37"/>
    <n v="1"/>
    <x v="0"/>
    <m/>
    <s v="MUOS/Agile Teams/Cyber"/>
    <s v="Unassigned"/>
    <x v="0"/>
    <x v="0"/>
    <e v="#N/A"/>
    <x v="0"/>
    <x v="1"/>
    <x v="10"/>
    <x v="111"/>
    <n v="1001584"/>
  </r>
  <r>
    <x v="800"/>
    <n v="395174"/>
    <x v="0"/>
    <x v="2"/>
    <s v="Feature 395174: SMDC Laptops Patches and Scans (Part 1)"/>
    <x v="9"/>
    <n v="1"/>
    <x v="1"/>
    <m/>
    <s v="MUOS/Agile Teams/Cyber"/>
    <s v="Burnett, Johnathan D"/>
    <x v="15"/>
    <x v="0"/>
    <e v="#N/A"/>
    <x v="0"/>
    <x v="1"/>
    <x v="10"/>
    <x v="112"/>
    <n v="1008480"/>
  </r>
  <r>
    <x v="801"/>
    <n v="395174"/>
    <x v="0"/>
    <x v="2"/>
    <s v="Feature 395174: SMDC Laptops Patches and Scans (Part 2)"/>
    <x v="10"/>
    <n v="1"/>
    <x v="1"/>
    <m/>
    <s v="MUOS/Agile Teams/Cyber"/>
    <s v="Burnett, Johnathan D"/>
    <x v="15"/>
    <x v="0"/>
    <e v="#N/A"/>
    <x v="0"/>
    <x v="1"/>
    <x v="10"/>
    <x v="112"/>
    <n v="1008482"/>
  </r>
  <r>
    <x v="802"/>
    <n v="395538"/>
    <x v="0"/>
    <x v="0"/>
    <s v="&lt;Feature xxx&gt;: MFR 2 – Cyber Completes Final CAP"/>
    <x v="0"/>
    <n v="5"/>
    <x v="0"/>
    <m/>
    <s v="MUOS/Agile Teams/Cyber"/>
    <s v="Unassigned"/>
    <x v="0"/>
    <x v="0"/>
    <e v="#N/A"/>
    <x v="0"/>
    <x v="1"/>
    <x v="10"/>
    <x v="113"/>
    <n v="395329"/>
  </r>
  <r>
    <x v="803"/>
    <n v="396308"/>
    <x v="0"/>
    <x v="2"/>
    <s v="Feature 396308: CSE PWI Triage/Assessment Support - 14.1"/>
    <x v="9"/>
    <n v="2"/>
    <x v="0"/>
    <m/>
    <s v="MUOS/Agile Teams/Cyber"/>
    <s v="Garrison, David D"/>
    <x v="11"/>
    <x v="0"/>
    <e v="#N/A"/>
    <x v="0"/>
    <x v="1"/>
    <x v="10"/>
    <x v="114"/>
    <n v="396361"/>
  </r>
  <r>
    <x v="804"/>
    <n v="396308"/>
    <x v="0"/>
    <x v="2"/>
    <s v="Feature 396308: CSE PWI Triage/Assessment Support - 14.2"/>
    <x v="10"/>
    <n v="2"/>
    <x v="0"/>
    <m/>
    <s v="MUOS/Agile Teams/Cyber"/>
    <s v="Curtis, Chris B"/>
    <x v="7"/>
    <x v="0"/>
    <e v="#N/A"/>
    <x v="0"/>
    <x v="1"/>
    <x v="10"/>
    <x v="114"/>
    <n v="396362"/>
  </r>
  <r>
    <x v="805"/>
    <n v="396308"/>
    <x v="0"/>
    <x v="2"/>
    <s v="Feature 396308: CSE PWI Triage/Assessment Support - 14.3"/>
    <x v="11"/>
    <n v="2"/>
    <x v="0"/>
    <m/>
    <s v="MUOS/Agile Teams/Cyber"/>
    <s v="Garrison, David D"/>
    <x v="11"/>
    <x v="0"/>
    <e v="#N/A"/>
    <x v="0"/>
    <x v="1"/>
    <x v="10"/>
    <x v="114"/>
    <n v="396363"/>
  </r>
  <r>
    <x v="806"/>
    <n v="396308"/>
    <x v="0"/>
    <x v="2"/>
    <s v="Feature 396308: CSE PWI Triage/Assessment Support - 14.4"/>
    <x v="12"/>
    <n v="2"/>
    <x v="0"/>
    <m/>
    <s v="MUOS/Agile Teams/Cyber"/>
    <s v="Curtis, Chris B"/>
    <x v="7"/>
    <x v="0"/>
    <e v="#N/A"/>
    <x v="0"/>
    <x v="1"/>
    <x v="10"/>
    <x v="114"/>
    <n v="396364"/>
  </r>
  <r>
    <x v="807"/>
    <n v="396308"/>
    <x v="0"/>
    <x v="2"/>
    <s v="Feature 396308: CSE PWI Triage/Assessment Support - 14.5"/>
    <x v="13"/>
    <n v="0"/>
    <x v="0"/>
    <m/>
    <s v="MUOS/Agile Teams/Cyber"/>
    <s v="Curtis, Chris B"/>
    <x v="7"/>
    <x v="0"/>
    <e v="#N/A"/>
    <x v="0"/>
    <x v="1"/>
    <x v="10"/>
    <x v="114"/>
    <n v="396365"/>
  </r>
  <r>
    <x v="808"/>
    <n v="396492"/>
    <x v="0"/>
    <x v="2"/>
    <s v="Feature 396492: MFR 1 – Dev Team Performs Cybersecurity Assessment - 13.6"/>
    <x v="27"/>
    <n v="1"/>
    <x v="0"/>
    <m/>
    <s v="MUOS/Agile Teams/Cyber"/>
    <s v="Milzarski, Ted-P63490"/>
    <x v="6"/>
    <x v="0"/>
    <e v="#N/A"/>
    <x v="0"/>
    <x v="1"/>
    <x v="10"/>
    <x v="115"/>
    <n v="396498"/>
  </r>
  <r>
    <x v="809"/>
    <n v="1000471"/>
    <x v="0"/>
    <x v="0"/>
    <s v="Implement Profile Portability: Generate MUOS KMP Addendum"/>
    <x v="34"/>
    <n v="8"/>
    <x v="0"/>
    <m/>
    <s v="MUOS/Agile Teams/Cyber"/>
    <s v="Morton, Randall-P57014"/>
    <x v="9"/>
    <x v="0"/>
    <e v="#N/A"/>
    <x v="0"/>
    <x v="1"/>
    <x v="10"/>
    <x v="116"/>
    <n v="1006787"/>
  </r>
  <r>
    <x v="810"/>
    <n v="1000471"/>
    <x v="0"/>
    <x v="0"/>
    <s v="Implement Profile Portability: Facilitate guard message changes and approvals"/>
    <x v="34"/>
    <n v="13"/>
    <x v="0"/>
    <m/>
    <s v="MUOS/Agile Teams/Cyber"/>
    <s v="Unassigned"/>
    <x v="0"/>
    <x v="0"/>
    <e v="#N/A"/>
    <x v="0"/>
    <x v="1"/>
    <x v="10"/>
    <x v="116"/>
    <n v="1006134"/>
  </r>
  <r>
    <x v="811"/>
    <n v="1000471"/>
    <x v="0"/>
    <x v="0"/>
    <s v="Implement Profile Portability: MFR 3 – CSE Completes Final CAP"/>
    <x v="34"/>
    <n v="5"/>
    <x v="0"/>
    <s v="#1000483"/>
    <s v="MUOS/Agile Teams/Cyber"/>
    <s v="Unassigned"/>
    <x v="0"/>
    <x v="0"/>
    <e v="#N/A"/>
    <x v="0"/>
    <x v="1"/>
    <x v="10"/>
    <x v="116"/>
    <n v="1000484"/>
  </r>
  <r>
    <x v="812"/>
    <n v="1000471"/>
    <x v="0"/>
    <x v="0"/>
    <s v="Implement Profile Portability: MFR 3 – CSE Performs initial Cybersecurity Assessment"/>
    <x v="34"/>
    <n v="5"/>
    <x v="0"/>
    <s v="#1000476"/>
    <s v="MUOS/Agile Teams/Cyber"/>
    <s v="Unassigned"/>
    <x v="0"/>
    <x v="0"/>
    <e v="#N/A"/>
    <x v="0"/>
    <x v="1"/>
    <x v="10"/>
    <x v="116"/>
    <n v="1000477"/>
  </r>
  <r>
    <x v="813"/>
    <n v="1002345"/>
    <x v="0"/>
    <x v="0"/>
    <s v="Feature 1002345: MFR 3 – CSE Completes Final CAP"/>
    <x v="34"/>
    <n v="5"/>
    <x v="0"/>
    <s v="#1002357"/>
    <s v="MUOS/Agile Teams/Cyber"/>
    <s v="Unassigned"/>
    <x v="0"/>
    <x v="0"/>
    <n v="39"/>
    <x v="0"/>
    <x v="1"/>
    <x v="10"/>
    <x v="117"/>
    <n v="1002358"/>
  </r>
  <r>
    <x v="814"/>
    <n v="1002345"/>
    <x v="0"/>
    <x v="0"/>
    <s v="Feature 1002345: MFR 3 – CSE Performs initial Cybersecurity Assessment"/>
    <x v="34"/>
    <n v="5"/>
    <x v="0"/>
    <s v="#1002350"/>
    <s v="MUOS/Agile Teams/Cyber"/>
    <s v="Unassigned"/>
    <x v="0"/>
    <x v="0"/>
    <n v="39"/>
    <x v="0"/>
    <x v="1"/>
    <x v="10"/>
    <x v="117"/>
    <n v="1002351"/>
  </r>
  <r>
    <x v="815"/>
    <n v="1004094"/>
    <x v="0"/>
    <x v="0"/>
    <s v="Feature 1004094: Support Common Design for use of Passwords and Credential Management"/>
    <x v="34"/>
    <n v="5"/>
    <x v="0"/>
    <m/>
    <s v="MUOS/Agile Teams/Cyber"/>
    <s v="Unassigned"/>
    <x v="0"/>
    <x v="0"/>
    <e v="#N/A"/>
    <x v="0"/>
    <x v="1"/>
    <x v="10"/>
    <x v="118"/>
    <n v="1004095"/>
  </r>
  <r>
    <x v="816"/>
    <n v="1004171"/>
    <x v="0"/>
    <x v="2"/>
    <s v="Feature 1004171: Perform IA Posture Assessment "/>
    <x v="17"/>
    <n v="2"/>
    <x v="0"/>
    <m/>
    <s v="MUOS/Agile Teams/Cyber"/>
    <s v="Garrison, David D"/>
    <x v="11"/>
    <x v="0"/>
    <n v="47"/>
    <x v="0"/>
    <x v="1"/>
    <x v="10"/>
    <x v="119"/>
    <n v="1023524"/>
  </r>
  <r>
    <x v="817"/>
    <n v="1005321"/>
    <x v="0"/>
    <x v="2"/>
    <s v="Feature 1005321: Populate the Spreadsheet Created to Capture all the MUOS Servers Impacted by IA Patching with IA Patching Information"/>
    <x v="16"/>
    <n v="3"/>
    <x v="1"/>
    <m/>
    <s v="MUOS/Agile Teams/Cyber"/>
    <s v="Dewberry, Kirk M"/>
    <x v="23"/>
    <x v="0"/>
    <n v="18"/>
    <x v="0"/>
    <x v="1"/>
    <x v="10"/>
    <x v="120"/>
    <n v="1018060"/>
  </r>
  <r>
    <x v="818"/>
    <n v="1005321"/>
    <x v="0"/>
    <x v="2"/>
    <s v="Feature 1005321: Populate the Spreadsheet Created to Capture all the MUOS Servers Impacted by IA Patching with IA Patching Information"/>
    <x v="16"/>
    <n v="3"/>
    <x v="1"/>
    <m/>
    <s v="MUOS/Agile Teams/Cyber"/>
    <s v="Burnett, Johnathan D"/>
    <x v="15"/>
    <x v="0"/>
    <n v="18"/>
    <x v="0"/>
    <x v="1"/>
    <x v="10"/>
    <x v="120"/>
    <n v="1005333"/>
  </r>
  <r>
    <x v="819"/>
    <n v="1005740"/>
    <x v="0"/>
    <x v="2"/>
    <s v="IA Support for DSN Gateway Capability Spec &amp; Initial Design"/>
    <x v="10"/>
    <n v="1"/>
    <x v="0"/>
    <m/>
    <s v="MUOS/Agile Teams/Cyber"/>
    <s v="Tang, Kent-P22339"/>
    <x v="16"/>
    <x v="0"/>
    <e v="#N/A"/>
    <x v="0"/>
    <x v="1"/>
    <x v="10"/>
    <x v="121"/>
    <n v="1012000"/>
  </r>
  <r>
    <x v="820"/>
    <n v="1005740"/>
    <x v="0"/>
    <x v="2"/>
    <s v="IA Support for DSN Gateway Capability Spec &amp; Initial Design"/>
    <x v="13"/>
    <n v="1"/>
    <x v="0"/>
    <m/>
    <s v="MUOS/Agile Teams/Cyber"/>
    <s v="Tang, Kent-P22339"/>
    <x v="16"/>
    <x v="0"/>
    <e v="#N/A"/>
    <x v="0"/>
    <x v="1"/>
    <x v="10"/>
    <x v="121"/>
    <n v="1017327"/>
  </r>
  <r>
    <x v="821"/>
    <n v="1006191"/>
    <x v="0"/>
    <x v="2"/>
    <s v="Feature 1006191 IA Support (Reviews and Analysis) (MAS' STIGs Assessment - Part 1)"/>
    <x v="14"/>
    <n v="2"/>
    <x v="0"/>
    <m/>
    <s v="MUOS/Agile Teams/Cyber"/>
    <s v="Curtis, Chris B"/>
    <x v="7"/>
    <x v="0"/>
    <n v="61"/>
    <x v="0"/>
    <x v="1"/>
    <x v="10"/>
    <x v="122"/>
    <n v="1016459"/>
  </r>
  <r>
    <x v="822"/>
    <n v="1006191"/>
    <x v="0"/>
    <x v="2"/>
    <s v="Feature 1006191 IA Support (Reviews and Analysis) (MAS' STIGs assessment - Part 2)"/>
    <x v="15"/>
    <n v="2"/>
    <x v="0"/>
    <m/>
    <s v="MUOS/Agile Teams/Cyber"/>
    <s v="Tang, Kent-P22339"/>
    <x v="16"/>
    <x v="0"/>
    <n v="61"/>
    <x v="0"/>
    <x v="1"/>
    <x v="10"/>
    <x v="122"/>
    <n v="1020278"/>
  </r>
  <r>
    <x v="823"/>
    <n v="1006191"/>
    <x v="0"/>
    <x v="2"/>
    <s v="Feature 1006191 IA Support (Reviews and Analysis) (MAS' STIGs assessment - Part 2)"/>
    <x v="15"/>
    <n v="2"/>
    <x v="0"/>
    <m/>
    <s v="MUOS/Agile Teams/Cyber"/>
    <s v="Curtis, Chris B"/>
    <x v="7"/>
    <x v="0"/>
    <n v="61"/>
    <x v="0"/>
    <x v="1"/>
    <x v="10"/>
    <x v="122"/>
    <n v="1016460"/>
  </r>
  <r>
    <x v="824"/>
    <n v="1006191"/>
    <x v="0"/>
    <x v="2"/>
    <s v="Feature 1006191 IA Support (Reviews and Analysis) (MFR package preparation)"/>
    <x v="16"/>
    <n v="1"/>
    <x v="0"/>
    <m/>
    <s v="MUOS/Agile Teams/Cyber"/>
    <s v="Curtis, Chris B"/>
    <x v="7"/>
    <x v="0"/>
    <n v="61"/>
    <x v="0"/>
    <x v="1"/>
    <x v="10"/>
    <x v="122"/>
    <n v="1018061"/>
  </r>
  <r>
    <x v="825"/>
    <n v="1006191"/>
    <x v="0"/>
    <x v="2"/>
    <s v="Feature 1006191 IA Support (Reviews and Analysis) (MFR package preparation)"/>
    <x v="16"/>
    <n v="1"/>
    <x v="0"/>
    <m/>
    <s v="MUOS/Agile Teams/Cyber"/>
    <s v="Tang, Kent-P22339"/>
    <x v="16"/>
    <x v="0"/>
    <n v="61"/>
    <x v="0"/>
    <x v="1"/>
    <x v="10"/>
    <x v="122"/>
    <n v="1016461"/>
  </r>
  <r>
    <x v="826"/>
    <n v="1006191"/>
    <x v="0"/>
    <x v="2"/>
    <s v="Feature 1006191 IA Support (Reviews and Analysis) (800-53 Controls review and Cyber System Documentation)"/>
    <x v="17"/>
    <n v="2"/>
    <x v="0"/>
    <m/>
    <s v="MUOS/Agile Teams/Cyber"/>
    <s v="Corcoran, David G"/>
    <x v="3"/>
    <x v="0"/>
    <n v="61"/>
    <x v="0"/>
    <x v="1"/>
    <x v="10"/>
    <x v="122"/>
    <n v="1016462"/>
  </r>
  <r>
    <x v="827"/>
    <n v="1007569"/>
    <x v="0"/>
    <x v="2"/>
    <s v="Feature 1007569: Cyber support for enhanced alt-telemetry"/>
    <x v="11"/>
    <n v="1"/>
    <x v="0"/>
    <m/>
    <s v="MUOS/Agile Teams/Cyber"/>
    <s v="Tang, Kent-P22339"/>
    <x v="16"/>
    <x v="0"/>
    <e v="#N/A"/>
    <x v="0"/>
    <x v="1"/>
    <x v="10"/>
    <x v="123"/>
    <n v="1008032"/>
  </r>
  <r>
    <x v="828"/>
    <n v="1008506"/>
    <x v="0"/>
    <x v="0"/>
    <s v="Feature 1008506: MFR 1 – Dev Team Performs Cybersecurity Assessment"/>
    <x v="32"/>
    <n v="1"/>
    <x v="0"/>
    <m/>
    <s v="MUOS/Agile Teams/Cyber"/>
    <s v="Unassigned"/>
    <x v="0"/>
    <x v="0"/>
    <n v="38"/>
    <x v="0"/>
    <x v="1"/>
    <x v="10"/>
    <x v="124"/>
    <n v="1008512"/>
  </r>
  <r>
    <x v="829"/>
    <n v="1011025"/>
    <x v="0"/>
    <x v="0"/>
    <s v="&lt;Feature xxx&gt;: Initiate CM PDO Processing for all CI's"/>
    <x v="38"/>
    <n v="1"/>
    <x v="0"/>
    <s v="#1011042"/>
    <s v="MUOS/Agile Teams/Cyber"/>
    <s v="Unassigned"/>
    <x v="0"/>
    <x v="0"/>
    <e v="#N/A"/>
    <x v="0"/>
    <x v="1"/>
    <x v="10"/>
    <x v="125"/>
    <n v="1011043"/>
  </r>
  <r>
    <x v="830"/>
    <n v="1011025"/>
    <x v="0"/>
    <x v="0"/>
    <s v="&lt;Feature xxx&gt;- Prep and Perform Feature Demo – Customer Demo Event"/>
    <x v="38"/>
    <n v="1"/>
    <x v="0"/>
    <s v="#1011028_x000a_#1011029_x000a_#1011030_x000a_#1011034_x000a_#1011037_x000a_#1011038_x000a_#1011039_x000a_#1011040_x000a_#1011041"/>
    <s v="MUOS/Agile Teams/Cyber"/>
    <s v="Unassigned"/>
    <x v="0"/>
    <x v="0"/>
    <e v="#N/A"/>
    <x v="0"/>
    <x v="1"/>
    <x v="10"/>
    <x v="125"/>
    <n v="1011042"/>
  </r>
  <r>
    <x v="831"/>
    <n v="1011025"/>
    <x v="0"/>
    <x v="0"/>
    <s v="&lt;Feature xxx&gt;: Review the Site Functional Test Plan within STCD and get customer stakeholder approval"/>
    <x v="38"/>
    <n v="2"/>
    <x v="0"/>
    <s v="#1011028"/>
    <s v="MUOS/Agile Teams/Cyber"/>
    <s v="Unassigned"/>
    <x v="0"/>
    <x v="0"/>
    <e v="#N/A"/>
    <x v="0"/>
    <x v="1"/>
    <x v="10"/>
    <x v="125"/>
    <n v="1011041"/>
  </r>
  <r>
    <x v="832"/>
    <n v="1011025"/>
    <x v="0"/>
    <x v="0"/>
    <s v="&lt;Feature xxx&gt;: Execute STCD Feature Integration and testing including STCD updates identified"/>
    <x v="38"/>
    <n v="0"/>
    <x v="0"/>
    <s v="#1011028"/>
    <s v="MUOS/Agile Teams/Cyber"/>
    <s v="Unassigned"/>
    <x v="0"/>
    <x v="0"/>
    <e v="#N/A"/>
    <x v="0"/>
    <x v="1"/>
    <x v="10"/>
    <x v="125"/>
    <n v="1011040"/>
  </r>
  <r>
    <x v="833"/>
    <n v="1011025"/>
    <x v="0"/>
    <x v="0"/>
    <s v="&lt;Feature xxx&gt;: Provide Development inputs to common documents"/>
    <x v="38"/>
    <n v="0"/>
    <x v="0"/>
    <m/>
    <s v="MUOS/Agile Teams/Cyber"/>
    <s v="Unassigned"/>
    <x v="0"/>
    <x v="0"/>
    <e v="#N/A"/>
    <x v="0"/>
    <x v="1"/>
    <x v="10"/>
    <x v="125"/>
    <n v="1011039"/>
  </r>
  <r>
    <x v="834"/>
    <n v="1011025"/>
    <x v="0"/>
    <x v="0"/>
    <s v="&lt;Feature xxx&gt;: MFR 3 – CSE Completes Final CAP (Change back to Cyber)"/>
    <x v="38"/>
    <n v="5"/>
    <x v="0"/>
    <s v="#1011037"/>
    <s v="MUOS/Agile Teams/Cyber"/>
    <s v="Unassigned"/>
    <x v="0"/>
    <x v="0"/>
    <e v="#N/A"/>
    <x v="0"/>
    <x v="1"/>
    <x v="10"/>
    <x v="125"/>
    <n v="1011038"/>
  </r>
  <r>
    <x v="835"/>
    <n v="1011025"/>
    <x v="0"/>
    <x v="0"/>
    <s v="&lt;Feature xxx&gt;: MFR 3 – Dev Team Resolves Final ACAS Scan and STIG Findings"/>
    <x v="38"/>
    <n v="3"/>
    <x v="0"/>
    <s v="#1011033"/>
    <s v="MUOS/Agile Teams/Cyber"/>
    <s v="Unassigned"/>
    <x v="0"/>
    <x v="0"/>
    <e v="#N/A"/>
    <x v="0"/>
    <x v="1"/>
    <x v="10"/>
    <x v="125"/>
    <n v="1011037"/>
  </r>
  <r>
    <x v="836"/>
    <n v="1011025"/>
    <x v="0"/>
    <x v="0"/>
    <s v="&lt;Feature xxx&gt;: ILS Incorporation of IETM updates and integration support (Change back to Falcons)"/>
    <x v="38"/>
    <n v="1"/>
    <x v="0"/>
    <m/>
    <s v="MUOS/Agile Teams/Cyber"/>
    <s v="Unassigned"/>
    <x v="0"/>
    <x v="0"/>
    <e v="#N/A"/>
    <x v="0"/>
    <x v="1"/>
    <x v="10"/>
    <x v="125"/>
    <n v="1011036"/>
  </r>
  <r>
    <x v="837"/>
    <n v="1011025"/>
    <x v="0"/>
    <x v="0"/>
    <s v="&lt;Feature xxx&gt; UX Research and Design Support (Change back to UX Team)"/>
    <x v="38"/>
    <n v="3"/>
    <x v="0"/>
    <m/>
    <s v="MUOS/Agile Teams/Cyber"/>
    <s v="Unassigned"/>
    <x v="0"/>
    <x v="0"/>
    <e v="#N/A"/>
    <x v="0"/>
    <x v="1"/>
    <x v="10"/>
    <x v="125"/>
    <n v="1011035"/>
  </r>
  <r>
    <x v="838"/>
    <n v="1011025"/>
    <x v="0"/>
    <x v="0"/>
    <s v="&lt;Feature xxx&gt;: Develop IETMs and Perform Development Testing"/>
    <x v="38"/>
    <n v="3"/>
    <x v="0"/>
    <m/>
    <s v="MUOS/Agile Teams/Cyber"/>
    <s v="Unassigned"/>
    <x v="0"/>
    <x v="0"/>
    <e v="#N/A"/>
    <x v="0"/>
    <x v="1"/>
    <x v="10"/>
    <x v="125"/>
    <n v="1011034"/>
  </r>
  <r>
    <x v="839"/>
    <n v="1011025"/>
    <x v="0"/>
    <x v="0"/>
    <s v="&lt;Feature xxx&gt;:MFR 3 – Dev Team Resolves ACAS Scan and STIG Findings"/>
    <x v="38"/>
    <n v="5"/>
    <x v="0"/>
    <s v="#1011032"/>
    <s v="MUOS/Agile Teams/Cyber"/>
    <s v="Unassigned"/>
    <x v="0"/>
    <x v="0"/>
    <e v="#N/A"/>
    <x v="0"/>
    <x v="1"/>
    <x v="10"/>
    <x v="125"/>
    <n v="1011033"/>
  </r>
  <r>
    <x v="840"/>
    <n v="1011025"/>
    <x v="0"/>
    <x v="0"/>
    <s v="&lt;Feature xxx&gt;: MFR 3 - Dev Team Supports Initial Cybersecurity Assessment"/>
    <x v="38"/>
    <n v="1"/>
    <x v="0"/>
    <s v="#1011031"/>
    <s v="MUOS/Agile Teams/Cyber"/>
    <s v="Unassigned"/>
    <x v="0"/>
    <x v="0"/>
    <e v="#N/A"/>
    <x v="0"/>
    <x v="1"/>
    <x v="10"/>
    <x v="125"/>
    <n v="1011032"/>
  </r>
  <r>
    <x v="841"/>
    <n v="1011025"/>
    <x v="0"/>
    <x v="0"/>
    <s v="&lt;Feature xxx&gt;: MFR 3 – CSE Performs initial Cybersecurity Assessment"/>
    <x v="38"/>
    <n v="5"/>
    <x v="0"/>
    <s v="#1011030"/>
    <s v="MUOS/Agile Teams/Cyber"/>
    <s v="Unassigned"/>
    <x v="0"/>
    <x v="0"/>
    <e v="#N/A"/>
    <x v="0"/>
    <x v="1"/>
    <x v="10"/>
    <x v="125"/>
    <n v="1011031"/>
  </r>
  <r>
    <x v="842"/>
    <n v="1011025"/>
    <x v="0"/>
    <x v="0"/>
    <s v="&lt;Feature xxx&gt;: Perform Iterative Implementation, Integration, development Testing including updating design"/>
    <x v="38"/>
    <n v="0"/>
    <x v="0"/>
    <s v="#1011027_x000a_#1011028"/>
    <s v="MUOS/Agile Teams/Cyber"/>
    <s v="Unassigned"/>
    <x v="0"/>
    <x v="0"/>
    <e v="#N/A"/>
    <x v="0"/>
    <x v="1"/>
    <x v="10"/>
    <x v="125"/>
    <n v="1011030"/>
  </r>
  <r>
    <x v="843"/>
    <n v="1011025"/>
    <x v="0"/>
    <x v="0"/>
    <s v="&lt;Feature xxx&gt;: Provide Deployment Notes and Operator Impact Inputs"/>
    <x v="38"/>
    <n v="1"/>
    <x v="0"/>
    <s v="#1011027"/>
    <s v="MUOS/Agile Teams/Cyber"/>
    <s v="Unassigned"/>
    <x v="0"/>
    <x v="0"/>
    <e v="#N/A"/>
    <x v="0"/>
    <x v="1"/>
    <x v="10"/>
    <x v="125"/>
    <n v="1011029"/>
  </r>
  <r>
    <x v="844"/>
    <n v="1011025"/>
    <x v="0"/>
    <x v="0"/>
    <s v="&lt;Feature xxx&gt;: Create STCD and review with stakeholders"/>
    <x v="38"/>
    <n v="3"/>
    <x v="0"/>
    <s v="#1011027"/>
    <s v="MUOS/Agile Teams/Cyber"/>
    <s v="Unassigned"/>
    <x v="0"/>
    <x v="0"/>
    <e v="#N/A"/>
    <x v="0"/>
    <x v="1"/>
    <x v="10"/>
    <x v="125"/>
    <n v="1011028"/>
  </r>
  <r>
    <x v="845"/>
    <n v="1011025"/>
    <x v="0"/>
    <x v="0"/>
    <s v="&lt;Feature xxx&gt; Document Initial capability specification and detailed design to start Implementation"/>
    <x v="38"/>
    <n v="0"/>
    <x v="0"/>
    <m/>
    <s v="MUOS/Agile Teams/Cyber"/>
    <s v="Unassigned"/>
    <x v="0"/>
    <x v="0"/>
    <e v="#N/A"/>
    <x v="0"/>
    <x v="1"/>
    <x v="10"/>
    <x v="125"/>
    <n v="1011027"/>
  </r>
  <r>
    <x v="846"/>
    <n v="1011070"/>
    <x v="0"/>
    <x v="2"/>
    <s v="Feature 1011070: Cyber PWI Triage/Assessment Support - 15.1"/>
    <x v="14"/>
    <n v="1"/>
    <x v="0"/>
    <m/>
    <s v="MUOS/Agile Teams/Cyber"/>
    <s v="Garrison, David D"/>
    <x v="11"/>
    <x v="0"/>
    <n v="9"/>
    <x v="0"/>
    <x v="1"/>
    <x v="10"/>
    <x v="126"/>
    <n v="1011081"/>
  </r>
  <r>
    <x v="847"/>
    <n v="1011070"/>
    <x v="0"/>
    <x v="2"/>
    <s v="Feature 1011070: Cyber PWI Triage/Assessment Support - 15.2"/>
    <x v="15"/>
    <n v="1"/>
    <x v="0"/>
    <m/>
    <s v="MUOS/Agile Teams/Cyber"/>
    <s v="Curtis, Chris B"/>
    <x v="7"/>
    <x v="0"/>
    <n v="9"/>
    <x v="0"/>
    <x v="1"/>
    <x v="10"/>
    <x v="126"/>
    <n v="1011080"/>
  </r>
  <r>
    <x v="848"/>
    <n v="1011070"/>
    <x v="0"/>
    <x v="2"/>
    <s v="Feature 1011070: Cyber PWI Triage/Assessment Support - 15.3"/>
    <x v="16"/>
    <n v="1"/>
    <x v="0"/>
    <m/>
    <s v="MUOS/Agile Teams/Cyber"/>
    <s v="Garrison, David D"/>
    <x v="11"/>
    <x v="0"/>
    <n v="9"/>
    <x v="0"/>
    <x v="1"/>
    <x v="10"/>
    <x v="126"/>
    <n v="1011079"/>
  </r>
  <r>
    <x v="849"/>
    <n v="1011070"/>
    <x v="0"/>
    <x v="2"/>
    <s v="Feature 1011070: Cyber PWI Triage/Assessment Support - 15.4"/>
    <x v="17"/>
    <n v="1"/>
    <x v="0"/>
    <m/>
    <s v="MUOS/Agile Teams/Cyber"/>
    <s v="Curtis, Chris B"/>
    <x v="7"/>
    <x v="0"/>
    <n v="9"/>
    <x v="0"/>
    <x v="1"/>
    <x v="10"/>
    <x v="126"/>
    <n v="1011078"/>
  </r>
  <r>
    <x v="850"/>
    <n v="1011070"/>
    <x v="0"/>
    <x v="0"/>
    <s v="Feature 1011070: Cyber PWI Triage/Assessment Support - 15.5"/>
    <x v="18"/>
    <n v="1"/>
    <x v="0"/>
    <m/>
    <s v="MUOS/Agile Teams/Cyber"/>
    <s v="Curtis, Chris B"/>
    <x v="7"/>
    <x v="0"/>
    <n v="9"/>
    <x v="0"/>
    <x v="1"/>
    <x v="10"/>
    <x v="126"/>
    <n v="1011077"/>
  </r>
  <r>
    <x v="851"/>
    <n v="1012738"/>
    <x v="0"/>
    <x v="0"/>
    <s v="Feature 1012738: Update Node Config for GEO RM Guard"/>
    <x v="1"/>
    <n v="1"/>
    <x v="0"/>
    <m/>
    <s v="MUOS/Agile Teams/Cyber"/>
    <s v="Dewberry, Kirk M"/>
    <x v="23"/>
    <x v="0"/>
    <e v="#N/A"/>
    <x v="0"/>
    <x v="1"/>
    <x v="10"/>
    <x v="127"/>
    <n v="1013377"/>
  </r>
  <r>
    <x v="852"/>
    <n v="1012738"/>
    <x v="0"/>
    <x v="0"/>
    <s v="Feature 1012738: Provide SME support for patching GEO RM Guard"/>
    <x v="1"/>
    <n v="1"/>
    <x v="0"/>
    <m/>
    <s v="MUOS/Agile Teams/System Engineering"/>
    <s v="Unassigned"/>
    <x v="0"/>
    <x v="3"/>
    <e v="#N/A"/>
    <x v="0"/>
    <x v="1"/>
    <x v="10"/>
    <x v="127"/>
    <n v="1012656"/>
  </r>
  <r>
    <x v="853"/>
    <n v="1012738"/>
    <x v="0"/>
    <x v="0"/>
    <s v="Feature 1012703: Generate patch Installation and verification instructions for the GEO RM Guard in VLAB"/>
    <x v="1"/>
    <n v="2"/>
    <x v="0"/>
    <m/>
    <s v="MUOS/Agile Teams/Cyber"/>
    <s v="Unassigned"/>
    <x v="0"/>
    <x v="0"/>
    <e v="#N/A"/>
    <x v="0"/>
    <x v="1"/>
    <x v="10"/>
    <x v="127"/>
    <n v="1012617"/>
  </r>
  <r>
    <x v="854"/>
    <n v="1012738"/>
    <x v="0"/>
    <x v="0"/>
    <s v="Feature 1012738: Generate patch Installation and verification instructions for the GEO RM Guards in VLAB"/>
    <x v="1"/>
    <n v="2"/>
    <x v="0"/>
    <m/>
    <s v="MUOS/Agile Teams/Cyber"/>
    <s v="Unassigned"/>
    <x v="0"/>
    <x v="0"/>
    <e v="#N/A"/>
    <x v="0"/>
    <x v="1"/>
    <x v="10"/>
    <x v="127"/>
    <n v="1012615"/>
  </r>
  <r>
    <x v="855"/>
    <n v="1012738"/>
    <x v="0"/>
    <x v="0"/>
    <s v="Feature 1012738: Place Zeta Under Contract to Patch Their RM Guard"/>
    <x v="1"/>
    <n v="3"/>
    <x v="0"/>
    <m/>
    <s v="MUOS/Agile Teams/Cyber"/>
    <s v="Unassigned"/>
    <x v="0"/>
    <x v="0"/>
    <e v="#N/A"/>
    <x v="0"/>
    <x v="1"/>
    <x v="10"/>
    <x v="127"/>
    <n v="1012506"/>
  </r>
  <r>
    <x v="856"/>
    <n v="1012748"/>
    <x v="0"/>
    <x v="2"/>
    <s v="Canada FMS Capability Spec: authoring of key material impacts and IA sections"/>
    <x v="15"/>
    <n v="3"/>
    <x v="0"/>
    <m/>
    <s v="MUOS/Agile Teams/Cyber"/>
    <s v="Morton, Randall-P57014"/>
    <x v="9"/>
    <x v="0"/>
    <n v="33"/>
    <x v="0"/>
    <x v="1"/>
    <x v="10"/>
    <x v="128"/>
    <n v="1013849"/>
  </r>
  <r>
    <x v="857"/>
    <n v="1012748"/>
    <x v="0"/>
    <x v="2"/>
    <s v="Canada FMS Capability Spec: authoring of key material impacts and IA sections"/>
    <x v="16"/>
    <n v="3"/>
    <x v="0"/>
    <m/>
    <s v="MUOS/Agile Teams/Cyber"/>
    <s v="Morton, Randall-P57014"/>
    <x v="9"/>
    <x v="0"/>
    <n v="33"/>
    <x v="0"/>
    <x v="1"/>
    <x v="10"/>
    <x v="128"/>
    <n v="1013850"/>
  </r>
  <r>
    <x v="858"/>
    <n v="1012748"/>
    <x v="0"/>
    <x v="2"/>
    <s v="Canada FMS Capability Spec: authoring of key material impacts and IA sections"/>
    <x v="17"/>
    <n v="3"/>
    <x v="0"/>
    <m/>
    <s v="MUOS/Agile Teams/Cyber"/>
    <s v="Morton, Randall-P57014"/>
    <x v="9"/>
    <x v="0"/>
    <n v="33"/>
    <x v="0"/>
    <x v="1"/>
    <x v="10"/>
    <x v="128"/>
    <n v="1013866"/>
  </r>
  <r>
    <x v="859"/>
    <n v="1012748"/>
    <x v="0"/>
    <x v="0"/>
    <s v="Canada FMS Capability Spec: Support creation of IA sections"/>
    <x v="19"/>
    <n v="1"/>
    <x v="0"/>
    <m/>
    <s v="MUOS/Agile Teams/Cyber"/>
    <s v="Dailey, Conan B"/>
    <x v="8"/>
    <x v="0"/>
    <n v="33"/>
    <x v="0"/>
    <x v="1"/>
    <x v="10"/>
    <x v="128"/>
    <n v="1017352"/>
  </r>
  <r>
    <x v="860"/>
    <n v="1012748"/>
    <x v="0"/>
    <x v="0"/>
    <s v="Canada FMS Capability Spec: Code Collab Review"/>
    <x v="19"/>
    <n v="2"/>
    <x v="0"/>
    <m/>
    <s v="MUOS/Agile Teams/Cyber"/>
    <s v="Morton, Randall-P57014"/>
    <x v="9"/>
    <x v="0"/>
    <n v="33"/>
    <x v="0"/>
    <x v="1"/>
    <x v="10"/>
    <x v="128"/>
    <n v="1013867"/>
  </r>
  <r>
    <x v="861"/>
    <n v="1013196"/>
    <x v="0"/>
    <x v="0"/>
    <s v="IA SME support for providing IA guidance on the MUOS SM infrastructure in the labs"/>
    <x v="1"/>
    <n v="20"/>
    <x v="0"/>
    <m/>
    <s v="MUOS/Agile Teams/Cyber"/>
    <s v="Dailey, Conan B"/>
    <x v="8"/>
    <x v="0"/>
    <e v="#N/A"/>
    <x v="0"/>
    <x v="1"/>
    <x v="10"/>
    <x v="129"/>
    <n v="1013210"/>
  </r>
  <r>
    <x v="862"/>
    <n v="1013452"/>
    <x v="0"/>
    <x v="2"/>
    <s v="Feature 1013452: Perform initial IA Assessment of current design with CURL (Ephemeris push)"/>
    <x v="16"/>
    <n v="2"/>
    <x v="3"/>
    <m/>
    <s v="MUOS/Agile Teams/Cyber"/>
    <s v="Curtis, Chris B"/>
    <x v="7"/>
    <x v="0"/>
    <n v="64"/>
    <x v="0"/>
    <x v="1"/>
    <x v="10"/>
    <x v="130"/>
    <n v="1022368"/>
  </r>
  <r>
    <x v="863"/>
    <n v="1013452"/>
    <x v="0"/>
    <x v="0"/>
    <s v="Feature 1013452: MFR 3 - CSE Completes Final CAP  (Ephemeris push)"/>
    <x v="32"/>
    <n v="5"/>
    <x v="3"/>
    <s v="#1013464"/>
    <s v="MUOS/Agile Teams/Cyber"/>
    <s v="Unassigned"/>
    <x v="0"/>
    <x v="0"/>
    <n v="64"/>
    <x v="0"/>
    <x v="1"/>
    <x v="10"/>
    <x v="130"/>
    <n v="1013465"/>
  </r>
  <r>
    <x v="864"/>
    <n v="1013452"/>
    <x v="0"/>
    <x v="0"/>
    <s v="Feature 1013452: MFR 3 - CSE Performs initial Cybersecurity Assessment  (Ephemeris push)"/>
    <x v="32"/>
    <n v="5"/>
    <x v="3"/>
    <s v="#1013457"/>
    <s v="MUOS/Agile Teams/Cyber"/>
    <s v="Unassigned"/>
    <x v="0"/>
    <x v="0"/>
    <n v="64"/>
    <x v="0"/>
    <x v="1"/>
    <x v="10"/>
    <x v="130"/>
    <n v="1013458"/>
  </r>
  <r>
    <x v="865"/>
    <n v="1013961"/>
    <x v="0"/>
    <x v="0"/>
    <s v="Feature 1013961: Cyber Support ETISP Capabilities Specification Development"/>
    <x v="32"/>
    <n v="5"/>
    <x v="0"/>
    <m/>
    <s v="MUOS/Agile Teams/Cyber"/>
    <s v="Johnson, Derek T"/>
    <x v="2"/>
    <x v="0"/>
    <e v="#N/A"/>
    <x v="0"/>
    <x v="1"/>
    <x v="10"/>
    <x v="131"/>
    <n v="1013964"/>
  </r>
  <r>
    <x v="866"/>
    <n v="1014162"/>
    <x v="0"/>
    <x v="0"/>
    <s v="Feature 1014162: Cyber Support ETISP Vender Requirements and Specification"/>
    <x v="19"/>
    <n v="1"/>
    <x v="0"/>
    <m/>
    <s v="MUOS/Agile Teams/Cyber"/>
    <s v="Tang, Kent-P22339"/>
    <x v="16"/>
    <x v="0"/>
    <e v="#N/A"/>
    <x v="0"/>
    <x v="1"/>
    <x v="10"/>
    <x v="132"/>
    <n v="1014167"/>
  </r>
  <r>
    <x v="867"/>
    <n v="1014162"/>
    <x v="0"/>
    <x v="0"/>
    <s v="Feature 1014162: Cyber Support ETISP Vender Requirements and Specification"/>
    <x v="20"/>
    <n v="1"/>
    <x v="0"/>
    <m/>
    <s v="MUOS/Agile Teams/Cyber"/>
    <s v="Tang, Kent-P22339"/>
    <x v="16"/>
    <x v="0"/>
    <e v="#N/A"/>
    <x v="0"/>
    <x v="1"/>
    <x v="10"/>
    <x v="132"/>
    <n v="1023760"/>
  </r>
  <r>
    <x v="868"/>
    <n v="1014162"/>
    <x v="0"/>
    <x v="0"/>
    <s v="Feature 1014162: Cyber Support ETISP Vender Requirements and Specification"/>
    <x v="29"/>
    <n v="1"/>
    <x v="0"/>
    <m/>
    <s v="MUOS/Agile Teams/Cyber"/>
    <s v="Tang, Kent-P22339"/>
    <x v="16"/>
    <x v="0"/>
    <e v="#N/A"/>
    <x v="0"/>
    <x v="1"/>
    <x v="10"/>
    <x v="132"/>
    <n v="1023761"/>
  </r>
  <r>
    <x v="869"/>
    <n v="1014162"/>
    <x v="0"/>
    <x v="0"/>
    <s v="Feature 1014162: Cyber Support ETISP Vender Requirements and Specification"/>
    <x v="30"/>
    <n v="1"/>
    <x v="0"/>
    <m/>
    <s v="MUOS/Agile Teams/Cyber"/>
    <s v="Tang, Kent-P22339"/>
    <x v="16"/>
    <x v="0"/>
    <e v="#N/A"/>
    <x v="0"/>
    <x v="1"/>
    <x v="10"/>
    <x v="132"/>
    <n v="1023762"/>
  </r>
  <r>
    <x v="870"/>
    <n v="1014362"/>
    <x v="0"/>
    <x v="0"/>
    <s v="TO-8 Unclass GDS Capability Spec: IA and COMSEC"/>
    <x v="19"/>
    <n v="3"/>
    <x v="0"/>
    <m/>
    <s v="MUOS/Agile Teams/Cyber"/>
    <s v="Unassigned"/>
    <x v="0"/>
    <x v="0"/>
    <e v="#N/A"/>
    <x v="0"/>
    <x v="1"/>
    <x v="10"/>
    <x v="133"/>
    <n v="1015238"/>
  </r>
  <r>
    <x v="871"/>
    <n v="1014362"/>
    <x v="0"/>
    <x v="0"/>
    <s v="TO-8 Unclass GDS Capability Spec: IA and COMSEC"/>
    <x v="20"/>
    <n v="3"/>
    <x v="0"/>
    <m/>
    <s v="MUOS/Agile Teams/Cyber"/>
    <s v="Unassigned"/>
    <x v="0"/>
    <x v="0"/>
    <e v="#N/A"/>
    <x v="0"/>
    <x v="1"/>
    <x v="10"/>
    <x v="133"/>
    <n v="1023155"/>
  </r>
  <r>
    <x v="872"/>
    <n v="1014362"/>
    <x v="0"/>
    <x v="0"/>
    <s v="TO-8 Unclass GDS Capability Spec: IA and COMSEC"/>
    <x v="29"/>
    <n v="3"/>
    <x v="0"/>
    <m/>
    <s v="MUOS/Agile Teams/Cyber"/>
    <s v="Unassigned"/>
    <x v="0"/>
    <x v="0"/>
    <e v="#N/A"/>
    <x v="0"/>
    <x v="1"/>
    <x v="10"/>
    <x v="133"/>
    <n v="1023177"/>
  </r>
  <r>
    <x v="873"/>
    <n v="1014362"/>
    <x v="0"/>
    <x v="0"/>
    <s v="TO-8 Unclass GDS Capability Spec: IA and COMSEC"/>
    <x v="30"/>
    <n v="1"/>
    <x v="0"/>
    <m/>
    <s v="MUOS/Agile Teams/Cyber"/>
    <s v="Unassigned"/>
    <x v="0"/>
    <x v="0"/>
    <e v="#N/A"/>
    <x v="0"/>
    <x v="1"/>
    <x v="10"/>
    <x v="133"/>
    <n v="1023183"/>
  </r>
  <r>
    <x v="874"/>
    <n v="1014387"/>
    <x v="0"/>
    <x v="2"/>
    <s v="Feature 1014387:IA MFR &amp; FRCB Support ONLY (not submittal)"/>
    <x v="17"/>
    <n v="2"/>
    <x v="0"/>
    <m/>
    <s v="MUOS/Agile Teams/Cyber"/>
    <s v="Tang, Kent-P22339"/>
    <x v="16"/>
    <x v="0"/>
    <n v="58"/>
    <x v="0"/>
    <x v="1"/>
    <x v="10"/>
    <x v="134"/>
    <n v="1014390"/>
  </r>
  <r>
    <x v="875"/>
    <n v="1014595"/>
    <x v="0"/>
    <x v="2"/>
    <s v="Feature 1014595: ULX DD - IA/Cyber Support of ULX Design"/>
    <x v="14"/>
    <n v="2"/>
    <x v="0"/>
    <m/>
    <s v="MUOS/Agile Teams/Cyber"/>
    <s v="Tang, Kent-P22339"/>
    <x v="16"/>
    <x v="0"/>
    <n v="29"/>
    <x v="0"/>
    <x v="1"/>
    <x v="10"/>
    <x v="135"/>
    <n v="1015258"/>
  </r>
  <r>
    <x v="876"/>
    <n v="1014595"/>
    <x v="0"/>
    <x v="2"/>
    <s v="Feature 1014595: ULX DD - IA/Cyber Support of ULX Design"/>
    <x v="15"/>
    <n v="3"/>
    <x v="0"/>
    <m/>
    <s v="MUOS/Agile Teams/Cyber"/>
    <s v="Tang, Kent-P22339"/>
    <x v="16"/>
    <x v="0"/>
    <n v="29"/>
    <x v="0"/>
    <x v="1"/>
    <x v="10"/>
    <x v="135"/>
    <n v="1015973"/>
  </r>
  <r>
    <x v="877"/>
    <n v="1014595"/>
    <x v="0"/>
    <x v="2"/>
    <s v="Feature 1014595: ULX DD - IA/Cyber Support of ULX Design"/>
    <x v="16"/>
    <n v="3"/>
    <x v="0"/>
    <m/>
    <s v="MUOS/Agile Teams/Cyber"/>
    <s v="Tang, Kent-P22339"/>
    <x v="16"/>
    <x v="0"/>
    <n v="29"/>
    <x v="0"/>
    <x v="1"/>
    <x v="10"/>
    <x v="135"/>
    <n v="1015972"/>
  </r>
  <r>
    <x v="878"/>
    <n v="1014595"/>
    <x v="0"/>
    <x v="2"/>
    <s v="Feature 1014595: ULX DD - IA/Cyber Support of ULX Design"/>
    <x v="17"/>
    <n v="2"/>
    <x v="0"/>
    <m/>
    <s v="MUOS/Agile Teams/Cyber"/>
    <s v="Tang, Kent-P22339"/>
    <x v="16"/>
    <x v="0"/>
    <n v="29"/>
    <x v="0"/>
    <x v="1"/>
    <x v="10"/>
    <x v="135"/>
    <n v="1015974"/>
  </r>
  <r>
    <x v="879"/>
    <n v="1014596"/>
    <x v="0"/>
    <x v="2"/>
    <s v="Feature 1014596: Support Channel Processor Dev (Part 1)"/>
    <x v="15"/>
    <n v="1"/>
    <x v="0"/>
    <m/>
    <s v="MUOS/Agile Teams/Cyber"/>
    <s v="Tang, Kent-P22339"/>
    <x v="16"/>
    <x v="0"/>
    <n v="28"/>
    <x v="0"/>
    <x v="1"/>
    <x v="10"/>
    <x v="136"/>
    <n v="1021135"/>
  </r>
  <r>
    <x v="880"/>
    <n v="1014596"/>
    <x v="0"/>
    <x v="2"/>
    <s v="Feature 1014596: Support Channel Processor Dev (Part 2)"/>
    <x v="16"/>
    <n v="1"/>
    <x v="0"/>
    <m/>
    <s v="MUOS/Agile Teams/Cyber"/>
    <s v="Tang, Kent-P22339"/>
    <x v="16"/>
    <x v="0"/>
    <n v="28"/>
    <x v="0"/>
    <x v="1"/>
    <x v="10"/>
    <x v="136"/>
    <n v="1021136"/>
  </r>
  <r>
    <x v="881"/>
    <n v="1014596"/>
    <x v="0"/>
    <x v="2"/>
    <s v="Feature 1014596: Support Channel Processor Dev (Part 3)"/>
    <x v="17"/>
    <n v="1"/>
    <x v="0"/>
    <m/>
    <s v="MUOS/Agile Teams/Cyber"/>
    <s v="Tang, Kent-P22339"/>
    <x v="16"/>
    <x v="0"/>
    <n v="28"/>
    <x v="0"/>
    <x v="1"/>
    <x v="10"/>
    <x v="136"/>
    <n v="1021137"/>
  </r>
  <r>
    <x v="882"/>
    <n v="1014597"/>
    <x v="0"/>
    <x v="2"/>
    <s v="Feature 1014597: Support ULX Manager, Mon &amp; Control Development (Part 1)"/>
    <x v="15"/>
    <n v="2"/>
    <x v="0"/>
    <m/>
    <s v="MUOS/Agile Teams/Cyber"/>
    <s v="Tang, Kent-P22339"/>
    <x v="16"/>
    <x v="0"/>
    <n v="30"/>
    <x v="0"/>
    <x v="1"/>
    <x v="10"/>
    <x v="137"/>
    <n v="1015253"/>
  </r>
  <r>
    <x v="883"/>
    <n v="1014597"/>
    <x v="0"/>
    <x v="2"/>
    <s v="Feature 1014597: Support ULX Manager, Mon &amp; Control Development (Part 2)"/>
    <x v="16"/>
    <n v="2"/>
    <x v="0"/>
    <m/>
    <s v="MUOS/Agile Teams/Cyber"/>
    <s v="Tang, Kent-P22339"/>
    <x v="16"/>
    <x v="0"/>
    <n v="30"/>
    <x v="0"/>
    <x v="1"/>
    <x v="10"/>
    <x v="137"/>
    <n v="1017546"/>
  </r>
  <r>
    <x v="884"/>
    <n v="1014597"/>
    <x v="0"/>
    <x v="2"/>
    <s v="Feature 1014597: Support ULX Manager, Mon &amp; Control Development (Part 3)"/>
    <x v="17"/>
    <n v="1"/>
    <x v="0"/>
    <m/>
    <s v="MUOS/Agile Teams/Cyber"/>
    <s v="Tang, Kent-P22339"/>
    <x v="16"/>
    <x v="0"/>
    <n v="30"/>
    <x v="0"/>
    <x v="1"/>
    <x v="10"/>
    <x v="137"/>
    <n v="1017547"/>
  </r>
  <r>
    <x v="885"/>
    <n v="1014602"/>
    <x v="0"/>
    <x v="2"/>
    <s v="Feature 1014602: Build ULX System 1 and 2 Cyber  (part 1)"/>
    <x v="16"/>
    <n v="1"/>
    <x v="0"/>
    <m/>
    <s v="MUOS/Agile Teams/Cyber"/>
    <s v="Tang, Kent-P22339"/>
    <x v="16"/>
    <x v="0"/>
    <n v="32"/>
    <x v="0"/>
    <x v="1"/>
    <x v="10"/>
    <x v="138"/>
    <n v="1015254"/>
  </r>
  <r>
    <x v="886"/>
    <n v="1014602"/>
    <x v="0"/>
    <x v="2"/>
    <s v="Feature 1014602: Build ULX System 1 and 2 (part 2)"/>
    <x v="17"/>
    <n v="1"/>
    <x v="0"/>
    <m/>
    <s v="MUOS/Agile Teams/Cyber"/>
    <s v="Tang, Kent-P22339"/>
    <x v="16"/>
    <x v="0"/>
    <n v="32"/>
    <x v="0"/>
    <x v="1"/>
    <x v="10"/>
    <x v="138"/>
    <n v="1017978"/>
  </r>
  <r>
    <x v="887"/>
    <n v="1014602"/>
    <x v="0"/>
    <x v="0"/>
    <s v="Feature 1014602: Continue work on ULX System 15.5"/>
    <x v="18"/>
    <n v="3"/>
    <x v="0"/>
    <m/>
    <s v="MUOS/Agile Teams/Cyber"/>
    <s v="Tang, Kent-P22339"/>
    <x v="16"/>
    <x v="0"/>
    <n v="32"/>
    <x v="0"/>
    <x v="1"/>
    <x v="10"/>
    <x v="138"/>
    <n v="1024608"/>
  </r>
  <r>
    <x v="888"/>
    <n v="1015004"/>
    <x v="0"/>
    <x v="0"/>
    <s v="Support Capability Specification Development (IA and Cyber Strategy)"/>
    <x v="30"/>
    <n v="3"/>
    <x v="0"/>
    <m/>
    <s v="MUOS/Agile Teams/Cyber"/>
    <s v="Unassigned"/>
    <x v="0"/>
    <x v="0"/>
    <e v="#N/A"/>
    <x v="0"/>
    <x v="1"/>
    <x v="10"/>
    <x v="139"/>
    <n v="1015008"/>
  </r>
  <r>
    <x v="889"/>
    <n v="1015005"/>
    <x v="0"/>
    <x v="2"/>
    <s v="Support Capability Specification Development"/>
    <x v="17"/>
    <n v="3"/>
    <x v="0"/>
    <m/>
    <s v="MUOS/Agile Teams/Cyber"/>
    <s v="Curtis, Chris B"/>
    <x v="7"/>
    <x v="0"/>
    <n v="60"/>
    <x v="0"/>
    <x v="1"/>
    <x v="10"/>
    <x v="140"/>
    <n v="1015007"/>
  </r>
  <r>
    <x v="890"/>
    <n v="1015005"/>
    <x v="0"/>
    <x v="0"/>
    <s v="Re-assess the IA posture of the existing ActiveMQ (JMS Brokers, JMS Broker security plug-in, JMS Monitors, JMS Clients)"/>
    <x v="19"/>
    <n v="5"/>
    <x v="0"/>
    <m/>
    <s v="MUOS/Agile Teams/Cyber"/>
    <s v="Unassigned"/>
    <x v="0"/>
    <x v="0"/>
    <n v="60"/>
    <x v="0"/>
    <x v="1"/>
    <x v="10"/>
    <x v="140"/>
    <n v="1024513"/>
  </r>
  <r>
    <x v="891"/>
    <n v="1015005"/>
    <x v="0"/>
    <x v="0"/>
    <s v="Generate initial IA posture assessment for the redesign ActiveMQ (JMS Brokers, JMS Broker security plug-in, JMS Monitors, JMS Clients)"/>
    <x v="20"/>
    <n v="3"/>
    <x v="0"/>
    <m/>
    <s v="MUOS/Agile Teams/Cyber"/>
    <s v="Unassigned"/>
    <x v="0"/>
    <x v="0"/>
    <n v="60"/>
    <x v="0"/>
    <x v="1"/>
    <x v="10"/>
    <x v="140"/>
    <n v="1024514"/>
  </r>
  <r>
    <x v="892"/>
    <n v="1016383"/>
    <x v="0"/>
    <x v="0"/>
    <s v="Feature 1016383 FM Whitelist: MFR 1 write up"/>
    <x v="29"/>
    <n v="1"/>
    <x v="0"/>
    <m/>
    <s v="MUOS/Agile Teams/Cyber"/>
    <s v="Unassigned"/>
    <x v="0"/>
    <x v="0"/>
    <e v="#N/A"/>
    <x v="0"/>
    <x v="1"/>
    <x v="10"/>
    <x v="141"/>
    <n v="1015136"/>
  </r>
  <r>
    <x v="893"/>
    <n v="1019230"/>
    <x v="0"/>
    <x v="0"/>
    <s v="&lt;Feature xxx&gt;: MFR 2 – Cyber Performs initial Cybersecurity Assessment"/>
    <x v="0"/>
    <n v="5"/>
    <x v="0"/>
    <m/>
    <s v="MUOS/Agile Teams/Cyber"/>
    <s v="Unassigned"/>
    <x v="0"/>
    <x v="0"/>
    <e v="#N/A"/>
    <x v="0"/>
    <x v="1"/>
    <x v="10"/>
    <x v="142"/>
    <n v="1019237"/>
  </r>
  <r>
    <x v="894"/>
    <n v="1019230"/>
    <x v="0"/>
    <x v="0"/>
    <s v="&lt;Feature xxx&gt;: MFR 2 – Cyber Completes Final CAP"/>
    <x v="0"/>
    <n v="5"/>
    <x v="0"/>
    <m/>
    <s v="MUOS/Agile Teams/Cyber"/>
    <s v="Unassigned"/>
    <x v="0"/>
    <x v="0"/>
    <e v="#N/A"/>
    <x v="0"/>
    <x v="1"/>
    <x v="10"/>
    <x v="142"/>
    <n v="1019233"/>
  </r>
  <r>
    <x v="895"/>
    <n v="1019464"/>
    <x v="0"/>
    <x v="0"/>
    <s v="Canada FMS Capability Spec v1: IA and COMSEC"/>
    <x v="20"/>
    <n v="1"/>
    <x v="0"/>
    <m/>
    <s v="MUOS/Agile Teams/Cyber"/>
    <s v="Morton, Randall-P57014"/>
    <x v="9"/>
    <x v="0"/>
    <e v="#N/A"/>
    <x v="0"/>
    <x v="1"/>
    <x v="10"/>
    <x v="143"/>
    <n v="1022599"/>
  </r>
  <r>
    <x v="896"/>
    <n v="1019464"/>
    <x v="0"/>
    <x v="0"/>
    <s v="Canada FMS Capability Spec v1: IA and COMSEC"/>
    <x v="20"/>
    <n v="1"/>
    <x v="0"/>
    <m/>
    <s v="MUOS/Agile Teams/Cyber"/>
    <s v="Dailey, Conan B"/>
    <x v="8"/>
    <x v="0"/>
    <e v="#N/A"/>
    <x v="0"/>
    <x v="1"/>
    <x v="10"/>
    <x v="143"/>
    <n v="1022595"/>
  </r>
  <r>
    <x v="897"/>
    <n v="1019464"/>
    <x v="0"/>
    <x v="0"/>
    <s v="Canada FMS Capability Spec v1: IA and COMSEC"/>
    <x v="29"/>
    <n v="1"/>
    <x v="0"/>
    <m/>
    <s v="MUOS/Agile Teams/Cyber"/>
    <s v="Morton, Randall-P57014"/>
    <x v="9"/>
    <x v="0"/>
    <e v="#N/A"/>
    <x v="0"/>
    <x v="1"/>
    <x v="10"/>
    <x v="143"/>
    <n v="1022600"/>
  </r>
  <r>
    <x v="898"/>
    <n v="1019464"/>
    <x v="0"/>
    <x v="0"/>
    <s v="Canada FMS Capability Spec v1: IA and COMSEC"/>
    <x v="30"/>
    <n v="1"/>
    <x v="0"/>
    <m/>
    <s v="MUOS/Agile Teams/Cyber"/>
    <s v="Morton, Randall-P57014"/>
    <x v="9"/>
    <x v="0"/>
    <e v="#N/A"/>
    <x v="0"/>
    <x v="1"/>
    <x v="10"/>
    <x v="143"/>
    <n v="1022601"/>
  </r>
  <r>
    <x v="899"/>
    <n v="1019464"/>
    <x v="0"/>
    <x v="0"/>
    <s v="Canada FMS Capability Spec v1: IA and COMSEC"/>
    <x v="30"/>
    <n v="1"/>
    <x v="0"/>
    <m/>
    <s v="MUOS/Agile Teams/Cyber"/>
    <s v="Dailey, Conan B"/>
    <x v="8"/>
    <x v="0"/>
    <e v="#N/A"/>
    <x v="0"/>
    <x v="1"/>
    <x v="10"/>
    <x v="143"/>
    <n v="1022596"/>
  </r>
  <r>
    <x v="900"/>
    <n v="1019464"/>
    <x v="0"/>
    <x v="0"/>
    <s v="Canada FMS Capability Spec v1: IA and COMSEC"/>
    <x v="31"/>
    <n v="1"/>
    <x v="0"/>
    <m/>
    <s v="MUOS/Agile Teams/Cyber"/>
    <s v="Morton, Randall-P57014"/>
    <x v="9"/>
    <x v="0"/>
    <e v="#N/A"/>
    <x v="0"/>
    <x v="1"/>
    <x v="10"/>
    <x v="143"/>
    <n v="1022602"/>
  </r>
  <r>
    <x v="901"/>
    <n v="1019464"/>
    <x v="0"/>
    <x v="0"/>
    <s v="Canada FMS Capability Spec v1: IA and COMSEC"/>
    <x v="39"/>
    <n v="1"/>
    <x v="0"/>
    <m/>
    <s v="MUOS/Agile Teams/Cyber"/>
    <s v="Morton, Randall-P57014"/>
    <x v="9"/>
    <x v="0"/>
    <e v="#N/A"/>
    <x v="0"/>
    <x v="1"/>
    <x v="10"/>
    <x v="143"/>
    <n v="1022603"/>
  </r>
  <r>
    <x v="902"/>
    <n v="1019464"/>
    <x v="0"/>
    <x v="0"/>
    <s v="Canada FMS Capability Spec v1: IA and COMSEC"/>
    <x v="37"/>
    <n v="1"/>
    <x v="0"/>
    <m/>
    <s v="MUOS/Agile Teams/Cyber"/>
    <s v="Morton, Randall-P57014"/>
    <x v="9"/>
    <x v="0"/>
    <e v="#N/A"/>
    <x v="0"/>
    <x v="1"/>
    <x v="10"/>
    <x v="143"/>
    <n v="1022604"/>
  </r>
  <r>
    <x v="903"/>
    <n v="1019464"/>
    <x v="0"/>
    <x v="0"/>
    <s v="Canada FMS Capability Spec v1: IA and COMSEC"/>
    <x v="40"/>
    <n v="1"/>
    <x v="0"/>
    <m/>
    <s v="MUOS/Agile Teams/Cyber"/>
    <s v="Morton, Randall-P57014"/>
    <x v="9"/>
    <x v="0"/>
    <e v="#N/A"/>
    <x v="0"/>
    <x v="1"/>
    <x v="10"/>
    <x v="143"/>
    <n v="1022605"/>
  </r>
  <r>
    <x v="904"/>
    <n v="1019473"/>
    <x v="0"/>
    <x v="0"/>
    <s v="Canada FMS Capability Design Doc: IA and COMSEC"/>
    <x v="20"/>
    <n v="1"/>
    <x v="0"/>
    <m/>
    <s v="MUOS/Agile Teams/Cyber"/>
    <s v="Morton, Randall-P57014"/>
    <x v="9"/>
    <x v="0"/>
    <e v="#N/A"/>
    <x v="0"/>
    <x v="1"/>
    <x v="10"/>
    <x v="144"/>
    <n v="1022493"/>
  </r>
  <r>
    <x v="905"/>
    <n v="1019473"/>
    <x v="0"/>
    <x v="0"/>
    <s v="Canada FMS Capability Design Doc: IA and COMSEC"/>
    <x v="20"/>
    <n v="1"/>
    <x v="0"/>
    <m/>
    <s v="MUOS/Agile Teams/Cyber"/>
    <s v="Dailey, Conan B"/>
    <x v="8"/>
    <x v="0"/>
    <e v="#N/A"/>
    <x v="0"/>
    <x v="1"/>
    <x v="10"/>
    <x v="144"/>
    <n v="1022486"/>
  </r>
  <r>
    <x v="906"/>
    <n v="1019473"/>
    <x v="0"/>
    <x v="0"/>
    <s v="Canada FMS Capability Design Doc: IA and COMSEC"/>
    <x v="29"/>
    <n v="2"/>
    <x v="0"/>
    <m/>
    <s v="MUOS/Agile Teams/Cyber"/>
    <s v="Morton, Randall-P57014"/>
    <x v="9"/>
    <x v="0"/>
    <e v="#N/A"/>
    <x v="0"/>
    <x v="1"/>
    <x v="10"/>
    <x v="144"/>
    <n v="1022494"/>
  </r>
  <r>
    <x v="907"/>
    <n v="1019473"/>
    <x v="0"/>
    <x v="0"/>
    <s v="Canada FMS Capability Design Doc: IA and COMSEC"/>
    <x v="29"/>
    <n v="1"/>
    <x v="0"/>
    <m/>
    <s v="MUOS/Agile Teams/Cyber"/>
    <s v="Dailey, Conan B"/>
    <x v="8"/>
    <x v="0"/>
    <e v="#N/A"/>
    <x v="0"/>
    <x v="1"/>
    <x v="10"/>
    <x v="144"/>
    <n v="1022487"/>
  </r>
  <r>
    <x v="908"/>
    <n v="1019473"/>
    <x v="0"/>
    <x v="0"/>
    <s v="Canada FMS Capability Design Doc: IA and COMSEC"/>
    <x v="30"/>
    <n v="2"/>
    <x v="0"/>
    <m/>
    <s v="MUOS/Agile Teams/Cyber"/>
    <s v="Morton, Randall-P57014"/>
    <x v="9"/>
    <x v="0"/>
    <e v="#N/A"/>
    <x v="0"/>
    <x v="1"/>
    <x v="10"/>
    <x v="144"/>
    <n v="1022495"/>
  </r>
  <r>
    <x v="909"/>
    <n v="1019473"/>
    <x v="0"/>
    <x v="0"/>
    <s v="Canada FMS Capability Design Doc: IA and COMSEC"/>
    <x v="30"/>
    <n v="1"/>
    <x v="0"/>
    <m/>
    <s v="MUOS/Agile Teams/Cyber"/>
    <s v="Dailey, Conan B"/>
    <x v="8"/>
    <x v="0"/>
    <e v="#N/A"/>
    <x v="0"/>
    <x v="1"/>
    <x v="10"/>
    <x v="144"/>
    <n v="1022488"/>
  </r>
  <r>
    <x v="910"/>
    <n v="1019473"/>
    <x v="0"/>
    <x v="0"/>
    <s v="Canada FMS Capability Design Doc: IA and COMSEC"/>
    <x v="31"/>
    <n v="2"/>
    <x v="0"/>
    <m/>
    <s v="MUOS/Agile Teams/Cyber"/>
    <s v="Morton, Randall-P57014"/>
    <x v="9"/>
    <x v="0"/>
    <e v="#N/A"/>
    <x v="0"/>
    <x v="1"/>
    <x v="10"/>
    <x v="144"/>
    <n v="1022496"/>
  </r>
  <r>
    <x v="911"/>
    <n v="1019473"/>
    <x v="0"/>
    <x v="0"/>
    <s v="Canada FMS Capability Design Doc: IA and COMSEC"/>
    <x v="31"/>
    <n v="1"/>
    <x v="0"/>
    <m/>
    <s v="MUOS/Agile Teams/Cyber"/>
    <s v="Dailey, Conan B"/>
    <x v="8"/>
    <x v="0"/>
    <e v="#N/A"/>
    <x v="0"/>
    <x v="1"/>
    <x v="10"/>
    <x v="144"/>
    <n v="1022489"/>
  </r>
  <r>
    <x v="912"/>
    <n v="1019473"/>
    <x v="0"/>
    <x v="0"/>
    <s v="Canada FMS Capability Design Doc: IA and COMSEC"/>
    <x v="39"/>
    <n v="1"/>
    <x v="0"/>
    <m/>
    <s v="MUOS/Agile Teams/Cyber"/>
    <s v="Morton, Randall-P57014"/>
    <x v="9"/>
    <x v="0"/>
    <e v="#N/A"/>
    <x v="0"/>
    <x v="1"/>
    <x v="10"/>
    <x v="144"/>
    <n v="1022497"/>
  </r>
  <r>
    <x v="913"/>
    <n v="1021044"/>
    <x v="0"/>
    <x v="0"/>
    <s v="Lab - Polatis Switch Update - MFR 3  CSE Completes Final CAP (Change back to Cyber Security Engineering)"/>
    <x v="34"/>
    <n v="3"/>
    <x v="0"/>
    <m/>
    <s v="MUOS/Agile Teams/Cyber"/>
    <s v="Tang, Kent-P22339"/>
    <x v="16"/>
    <x v="0"/>
    <e v="#N/A"/>
    <x v="0"/>
    <x v="1"/>
    <x v="10"/>
    <x v="145"/>
    <n v="1021816"/>
  </r>
  <r>
    <x v="914"/>
    <n v="1021044"/>
    <x v="0"/>
    <x v="0"/>
    <s v="Lab - Polatis Switch Update - MFR 3  CSE Completes initial CAP (Change back to Cyber Security Engineering) - Part 2"/>
    <x v="34"/>
    <n v="2"/>
    <x v="0"/>
    <m/>
    <s v="MUOS/Agile Teams/Cyber"/>
    <s v="Tang, Kent-P22339"/>
    <x v="16"/>
    <x v="0"/>
    <e v="#N/A"/>
    <x v="0"/>
    <x v="1"/>
    <x v="10"/>
    <x v="145"/>
    <n v="1021806"/>
  </r>
  <r>
    <x v="915"/>
    <n v="1021044"/>
    <x v="0"/>
    <x v="0"/>
    <s v="Lab - Polatis Switch Update - IA Posture Assessment"/>
    <x v="34"/>
    <n v="2"/>
    <x v="0"/>
    <m/>
    <s v="MUOS/Agile Teams/Cyber"/>
    <s v="Tang, Kent-P22339"/>
    <x v="16"/>
    <x v="0"/>
    <e v="#N/A"/>
    <x v="0"/>
    <x v="1"/>
    <x v="10"/>
    <x v="145"/>
    <n v="1021798"/>
  </r>
  <r>
    <x v="916"/>
    <n v="1021169"/>
    <x v="0"/>
    <x v="0"/>
    <s v="Feature 1021169: MFR 1 – Dev Team Performs Cybersecurity Assessment"/>
    <x v="32"/>
    <n v="1"/>
    <x v="0"/>
    <m/>
    <s v="MUOS/Agile Teams/Cyber"/>
    <s v="Unassigned"/>
    <x v="0"/>
    <x v="0"/>
    <e v="#N/A"/>
    <x v="0"/>
    <x v="1"/>
    <x v="10"/>
    <x v="146"/>
    <n v="1021175"/>
  </r>
  <r>
    <x v="917"/>
    <n v="1021439"/>
    <x v="0"/>
    <x v="0"/>
    <s v="Feature 1021439: Cyber PWI Triage/Assessment Support - 16.1"/>
    <x v="19"/>
    <n v="1"/>
    <x v="0"/>
    <m/>
    <s v="MUOS/Agile Teams/Cyber"/>
    <s v="Unassigned"/>
    <x v="0"/>
    <x v="0"/>
    <e v="#N/A"/>
    <x v="0"/>
    <x v="1"/>
    <x v="10"/>
    <x v="147"/>
    <n v="1021448"/>
  </r>
  <r>
    <x v="918"/>
    <n v="1021439"/>
    <x v="0"/>
    <x v="0"/>
    <s v="Feature 1021439: CSE PWI Triage/Assessment Support"/>
    <x v="19"/>
    <n v="1"/>
    <x v="0"/>
    <m/>
    <s v="MUOS/Agile Teams/Cyber"/>
    <s v="Dailey, Conan B"/>
    <x v="8"/>
    <x v="0"/>
    <e v="#N/A"/>
    <x v="0"/>
    <x v="1"/>
    <x v="10"/>
    <x v="147"/>
    <n v="1021444"/>
  </r>
  <r>
    <x v="919"/>
    <n v="1021439"/>
    <x v="0"/>
    <x v="0"/>
    <s v="Feature 1021439: CSE PWI Triage/Assessment Support"/>
    <x v="20"/>
    <n v="1"/>
    <x v="0"/>
    <m/>
    <s v="MUOS/Agile Teams/Cyber"/>
    <s v="Dailey, Conan B"/>
    <x v="8"/>
    <x v="0"/>
    <e v="#N/A"/>
    <x v="0"/>
    <x v="1"/>
    <x v="10"/>
    <x v="147"/>
    <n v="1021457"/>
  </r>
  <r>
    <x v="920"/>
    <n v="1021439"/>
    <x v="0"/>
    <x v="0"/>
    <s v="Feature 1021439: Cyber PWI Triage/Assessment Support - 16.2"/>
    <x v="20"/>
    <n v="1"/>
    <x v="0"/>
    <m/>
    <s v="MUOS/Agile Teams/Cyber"/>
    <s v="Unassigned"/>
    <x v="0"/>
    <x v="0"/>
    <e v="#N/A"/>
    <x v="0"/>
    <x v="1"/>
    <x v="10"/>
    <x v="147"/>
    <n v="1021456"/>
  </r>
  <r>
    <x v="921"/>
    <n v="1021439"/>
    <x v="0"/>
    <x v="0"/>
    <s v="Feature 1021439: Cyber PWI Triage/Assessment Support - 16.3"/>
    <x v="29"/>
    <n v="1"/>
    <x v="0"/>
    <m/>
    <s v="MUOS/Agile Teams/Cyber"/>
    <s v="Unassigned"/>
    <x v="0"/>
    <x v="0"/>
    <e v="#N/A"/>
    <x v="0"/>
    <x v="1"/>
    <x v="10"/>
    <x v="147"/>
    <n v="1021474"/>
  </r>
  <r>
    <x v="922"/>
    <n v="1021439"/>
    <x v="0"/>
    <x v="0"/>
    <s v="Feature 1021439: CSE PWI Triage/Assessment Support"/>
    <x v="29"/>
    <n v="1"/>
    <x v="0"/>
    <m/>
    <s v="MUOS/Agile Teams/Cyber"/>
    <s v="Dailey, Conan B"/>
    <x v="8"/>
    <x v="0"/>
    <e v="#N/A"/>
    <x v="0"/>
    <x v="1"/>
    <x v="10"/>
    <x v="147"/>
    <n v="1021469"/>
  </r>
  <r>
    <x v="923"/>
    <n v="1021439"/>
    <x v="0"/>
    <x v="0"/>
    <s v="Feature 1021439: Cyber PWI Triage/Assessment Support - 16.4"/>
    <x v="30"/>
    <n v="1"/>
    <x v="0"/>
    <m/>
    <s v="MUOS/Agile Teams/Cyber"/>
    <s v="Unassigned"/>
    <x v="0"/>
    <x v="0"/>
    <e v="#N/A"/>
    <x v="0"/>
    <x v="1"/>
    <x v="10"/>
    <x v="147"/>
    <n v="1021481"/>
  </r>
  <r>
    <x v="924"/>
    <n v="1021439"/>
    <x v="0"/>
    <x v="0"/>
    <s v="Feature 1021439: CSE PWI Triage/Assessment Support"/>
    <x v="30"/>
    <n v="1"/>
    <x v="0"/>
    <m/>
    <s v="MUOS/Agile Teams/Cyber"/>
    <s v="Dailey, Conan B"/>
    <x v="8"/>
    <x v="0"/>
    <e v="#N/A"/>
    <x v="0"/>
    <x v="1"/>
    <x v="10"/>
    <x v="147"/>
    <n v="1021470"/>
  </r>
  <r>
    <x v="925"/>
    <n v="1021439"/>
    <x v="0"/>
    <x v="0"/>
    <s v="Feature 1021439: Cyber PWI Triage/Assessment Support - 16.5"/>
    <x v="31"/>
    <n v="1"/>
    <x v="0"/>
    <m/>
    <s v="MUOS/Agile Teams/Cyber"/>
    <s v="Unassigned"/>
    <x v="0"/>
    <x v="0"/>
    <e v="#N/A"/>
    <x v="0"/>
    <x v="1"/>
    <x v="10"/>
    <x v="147"/>
    <n v="1021491"/>
  </r>
  <r>
    <x v="926"/>
    <n v="1021904"/>
    <x v="0"/>
    <x v="0"/>
    <s v="&lt;Feature 1021904&gt;: MFR 1  Dev Team Performs Cybersecurity Assessment"/>
    <x v="0"/>
    <n v="1"/>
    <x v="0"/>
    <m/>
    <s v="MUOS/Agile Teams/Cyber"/>
    <s v="Unassigned"/>
    <x v="0"/>
    <x v="0"/>
    <e v="#N/A"/>
    <x v="0"/>
    <x v="1"/>
    <x v="10"/>
    <x v="148"/>
    <n v="1021947"/>
  </r>
  <r>
    <x v="927"/>
    <n v="1022398"/>
    <x v="0"/>
    <x v="0"/>
    <s v="Feature 1022398: MFR 3 – CSE Updates CAP"/>
    <x v="34"/>
    <n v="2"/>
    <x v="0"/>
    <s v="#1022411"/>
    <s v="MUOS/Agile Teams/Cyber"/>
    <s v="Curtis, Chris B"/>
    <x v="7"/>
    <x v="0"/>
    <e v="#N/A"/>
    <x v="0"/>
    <x v="1"/>
    <x v="10"/>
    <x v="149"/>
    <n v="1022412"/>
  </r>
  <r>
    <x v="928"/>
    <n v="1022398"/>
    <x v="0"/>
    <x v="0"/>
    <s v="Feature 1022398: MFR 3 – CSE Performs initial Cybersecurity Assessment"/>
    <x v="34"/>
    <n v="5"/>
    <x v="0"/>
    <s v="#1022404"/>
    <s v="MUOS/Agile Teams/Cyber"/>
    <s v="Curtis, Chris B"/>
    <x v="7"/>
    <x v="0"/>
    <e v="#N/A"/>
    <x v="0"/>
    <x v="1"/>
    <x v="10"/>
    <x v="149"/>
    <n v="1022405"/>
  </r>
  <r>
    <x v="929"/>
    <n v="1022616"/>
    <x v="0"/>
    <x v="0"/>
    <s v="Feature 1022616: Update Cybersecurity Assessment"/>
    <x v="34"/>
    <n v="2"/>
    <x v="0"/>
    <m/>
    <s v="MUOS/Agile Teams/Cyber"/>
    <s v="Curtis, Chris B"/>
    <x v="7"/>
    <x v="0"/>
    <e v="#N/A"/>
    <x v="0"/>
    <x v="1"/>
    <x v="10"/>
    <x v="150"/>
    <n v="1022622"/>
  </r>
  <r>
    <x v="930"/>
    <n v="1023514"/>
    <x v="0"/>
    <x v="0"/>
    <s v="Support Capability Specification Development (IA and Cyber Strategy)"/>
    <x v="34"/>
    <n v="8"/>
    <x v="0"/>
    <m/>
    <s v="MUOS/Agile Teams/Cyber"/>
    <s v="Unassigned"/>
    <x v="0"/>
    <x v="0"/>
    <e v="#N/A"/>
    <x v="0"/>
    <x v="1"/>
    <x v="10"/>
    <x v="151"/>
    <n v="1024219"/>
  </r>
  <r>
    <x v="931"/>
    <n v="1023792"/>
    <x v="0"/>
    <x v="0"/>
    <s v="Support Design of ERS Replacement"/>
    <x v="34"/>
    <n v="3"/>
    <x v="0"/>
    <m/>
    <s v="MUOS/Agile Teams/Cyber"/>
    <s v="Tang, Kent-P22339"/>
    <x v="16"/>
    <x v="0"/>
    <e v="#N/A"/>
    <x v="0"/>
    <x v="1"/>
    <x v="10"/>
    <x v="152"/>
    <n v="1024456"/>
  </r>
  <r>
    <x v="932"/>
    <n v="1023794"/>
    <x v="0"/>
    <x v="0"/>
    <s v="Feature 1023794: Cyber Support Develop Capability Design Document"/>
    <x v="32"/>
    <n v="5"/>
    <x v="0"/>
    <m/>
    <s v="MUOS/Agile Teams/Cyber"/>
    <s v="Unassigned"/>
    <x v="0"/>
    <x v="0"/>
    <e v="#N/A"/>
    <x v="0"/>
    <x v="1"/>
    <x v="10"/>
    <x v="153"/>
    <n v="1023849"/>
  </r>
  <r>
    <x v="933"/>
    <n v="1023794"/>
    <x v="0"/>
    <x v="0"/>
    <s v="Cyber Support Develop Capability Design Document"/>
    <x v="34"/>
    <n v="8"/>
    <x v="0"/>
    <m/>
    <s v="MUOS/Agile Teams/Cyber"/>
    <s v="Unassigned"/>
    <x v="0"/>
    <x v="0"/>
    <e v="#N/A"/>
    <x v="0"/>
    <x v="1"/>
    <x v="10"/>
    <x v="153"/>
    <n v="1023850"/>
  </r>
  <r>
    <x v="934"/>
    <n v="324842"/>
    <x v="4"/>
    <x v="7"/>
    <s v="ATO Maintenance: Communication Session Cyber Finding for RAF and SF LB CI"/>
    <x v="0"/>
    <m/>
    <x v="0"/>
    <m/>
    <s v="MUOS/Agile Teams/Magic"/>
    <s v="Valverde, Michael-P57677"/>
    <x v="29"/>
    <x v="4"/>
    <e v="#N/A"/>
    <x v="0"/>
    <x v="0"/>
    <x v="11"/>
    <x v="154"/>
    <n v="0"/>
  </r>
  <r>
    <x v="935"/>
    <n v="324842"/>
    <x v="4"/>
    <x v="7"/>
    <s v="ATO Maintenance: PPSM for RAF and SF LB CI"/>
    <x v="0"/>
    <m/>
    <x v="0"/>
    <m/>
    <s v="MUOS/Agile Teams/Magic"/>
    <s v="Valverde, Michael-P57677"/>
    <x v="29"/>
    <x v="4"/>
    <e v="#N/A"/>
    <x v="0"/>
    <x v="0"/>
    <x v="11"/>
    <x v="154"/>
    <n v="0"/>
  </r>
  <r>
    <x v="936"/>
    <n v="324993"/>
    <x v="4"/>
    <x v="8"/>
    <s v="ATO Maintenance: Improve Audit Generation and Distribution on Solaris 10 Servers m11 and m12"/>
    <x v="0"/>
    <m/>
    <x v="0"/>
    <m/>
    <s v="MUOS/Agile Teams/Cyber"/>
    <s v="Cottle, Rick (NE)"/>
    <x v="14"/>
    <x v="0"/>
    <e v="#N/A"/>
    <x v="0"/>
    <x v="0"/>
    <x v="11"/>
    <x v="155"/>
    <n v="0"/>
  </r>
  <r>
    <x v="937"/>
    <n v="324993"/>
    <x v="4"/>
    <x v="9"/>
    <s v="ATO Maintenance: Fix Login Banners on Solaris 10 Servers m11 and m12"/>
    <x v="0"/>
    <m/>
    <x v="0"/>
    <m/>
    <s v="MUOS/Agile Teams/SIC"/>
    <s v="Acuna, Mateo-hc01898"/>
    <x v="31"/>
    <x v="2"/>
    <e v="#N/A"/>
    <x v="0"/>
    <x v="0"/>
    <x v="11"/>
    <x v="155"/>
    <n v="0"/>
  </r>
  <r>
    <x v="938"/>
    <n v="325227"/>
    <x v="4"/>
    <x v="9"/>
    <s v="ATO Maintenance: FM Servers - Remove insecure telnet"/>
    <x v="0"/>
    <m/>
    <x v="0"/>
    <m/>
    <s v="MUOS/Agile Teams/SIC"/>
    <s v="Agcon, Joel"/>
    <x v="32"/>
    <x v="2"/>
    <e v="#N/A"/>
    <x v="0"/>
    <x v="0"/>
    <x v="11"/>
    <x v="0"/>
    <n v="0"/>
  </r>
  <r>
    <x v="939"/>
    <n v="325227"/>
    <x v="4"/>
    <x v="7"/>
    <s v="ATO Maintenance: FM Servers - Password Complexity"/>
    <x v="0"/>
    <m/>
    <x v="0"/>
    <m/>
    <s v="MUOS/Agile Teams/SIC"/>
    <s v="Agcon, Joel"/>
    <x v="32"/>
    <x v="2"/>
    <e v="#N/A"/>
    <x v="0"/>
    <x v="0"/>
    <x v="11"/>
    <x v="0"/>
    <n v="0"/>
  </r>
  <r>
    <x v="940"/>
    <n v="325227"/>
    <x v="4"/>
    <x v="9"/>
    <s v="ATO Maintenance: FM Servers - Access control (Role based, FIPS 140-2 algorithms)"/>
    <x v="0"/>
    <m/>
    <x v="0"/>
    <m/>
    <s v="MUOS/Agile Teams/SIC"/>
    <s v="Agcon, Joel"/>
    <x v="32"/>
    <x v="2"/>
    <e v="#N/A"/>
    <x v="0"/>
    <x v="0"/>
    <x v="11"/>
    <x v="0"/>
    <n v="0"/>
  </r>
  <r>
    <x v="941"/>
    <n v="325227"/>
    <x v="4"/>
    <x v="9"/>
    <s v="ATO Maintenance: FM Servers - Audit generation and distribution"/>
    <x v="0"/>
    <m/>
    <x v="0"/>
    <m/>
    <s v="MUOS/Agile Teams/SIC"/>
    <s v="Agcon, Joel"/>
    <x v="32"/>
    <x v="2"/>
    <e v="#N/A"/>
    <x v="0"/>
    <x v="0"/>
    <x v="11"/>
    <x v="0"/>
    <n v="0"/>
  </r>
  <r>
    <x v="942"/>
    <n v="325227"/>
    <x v="4"/>
    <x v="9"/>
    <s v="ATO Maintenance: FM Servers - Login banner is incorrect"/>
    <x v="0"/>
    <m/>
    <x v="0"/>
    <m/>
    <s v="MUOS/Agile Teams/SIC"/>
    <s v="Agcon, Joel"/>
    <x v="32"/>
    <x v="2"/>
    <e v="#N/A"/>
    <x v="0"/>
    <x v="0"/>
    <x v="11"/>
    <x v="0"/>
    <n v="0"/>
  </r>
  <r>
    <x v="943"/>
    <n v="325227"/>
    <x v="4"/>
    <x v="7"/>
    <s v="ATO Maintenance:  FM Servers - General Configuration Settings to resolve Cyber RMF Findings - part 1"/>
    <x v="0"/>
    <m/>
    <x v="0"/>
    <m/>
    <s v="MUOS/Agile Teams/SIC"/>
    <s v="Agcon, Joel"/>
    <x v="32"/>
    <x v="2"/>
    <e v="#N/A"/>
    <x v="0"/>
    <x v="0"/>
    <x v="11"/>
    <x v="0"/>
    <n v="0"/>
  </r>
  <r>
    <x v="944"/>
    <n v="325227"/>
    <x v="4"/>
    <x v="9"/>
    <s v="ATO Maintenance: FM Servers - Account Management Improvements"/>
    <x v="0"/>
    <m/>
    <x v="0"/>
    <m/>
    <s v="MUOS/Agile Teams/SIC"/>
    <s v="Agcon, Joel"/>
    <x v="32"/>
    <x v="2"/>
    <e v="#N/A"/>
    <x v="0"/>
    <x v="0"/>
    <x v="11"/>
    <x v="0"/>
    <n v="0"/>
  </r>
  <r>
    <x v="945"/>
    <n v="325227"/>
    <x v="4"/>
    <x v="9"/>
    <s v="ATO Maintenance: FM Servers - Fix Boot Device"/>
    <x v="0"/>
    <m/>
    <x v="0"/>
    <m/>
    <s v="MUOS/Agile Teams/Cyber"/>
    <s v="Stymfal, Greg T"/>
    <x v="33"/>
    <x v="0"/>
    <e v="#N/A"/>
    <x v="0"/>
    <x v="0"/>
    <x v="11"/>
    <x v="0"/>
    <n v="0"/>
  </r>
  <r>
    <x v="946"/>
    <n v="325227"/>
    <x v="4"/>
    <x v="7"/>
    <s v="ATO Maintenance: FM Servers - Fix run control scripts world execution privileges"/>
    <x v="0"/>
    <m/>
    <x v="0"/>
    <m/>
    <s v="MUOS/Agile Teams/SIC"/>
    <s v="Agcon, Joel"/>
    <x v="32"/>
    <x v="2"/>
    <e v="#N/A"/>
    <x v="0"/>
    <x v="0"/>
    <x v="11"/>
    <x v="0"/>
    <n v="0"/>
  </r>
  <r>
    <x v="947"/>
    <n v="325227"/>
    <x v="4"/>
    <x v="7"/>
    <s v="ATO Maintenance: FM Servers - Remove .rhosts, etc. OBE"/>
    <x v="0"/>
    <m/>
    <x v="0"/>
    <m/>
    <s v="MUOS/Agile Teams/SIC"/>
    <s v="Agcon, Joel"/>
    <x v="32"/>
    <x v="2"/>
    <e v="#N/A"/>
    <x v="0"/>
    <x v="0"/>
    <x v="11"/>
    <x v="0"/>
    <n v="0"/>
  </r>
  <r>
    <x v="948"/>
    <n v="325227"/>
    <x v="4"/>
    <x v="9"/>
    <s v="ATO Maintenance: FM Servers - Remove insecure .rsh shell OBE"/>
    <x v="0"/>
    <m/>
    <x v="0"/>
    <m/>
    <s v="MUOS/Agile Teams/SIC"/>
    <s v="Driskill, Dustin J"/>
    <x v="34"/>
    <x v="2"/>
    <e v="#N/A"/>
    <x v="0"/>
    <x v="0"/>
    <x v="11"/>
    <x v="0"/>
    <n v="0"/>
  </r>
  <r>
    <x v="949"/>
    <n v="360670"/>
    <x v="4"/>
    <x v="9"/>
    <s v="Document Instructions for applying Splunk Patch Bundles"/>
    <x v="8"/>
    <m/>
    <x v="0"/>
    <m/>
    <s v="MUOS/Agile Teams/Cyber"/>
    <s v="Burnett, Johnathan D"/>
    <x v="15"/>
    <x v="0"/>
    <e v="#N/A"/>
    <x v="0"/>
    <x v="0"/>
    <x v="11"/>
    <x v="14"/>
    <n v="0"/>
  </r>
  <r>
    <x v="950"/>
    <n v="360670"/>
    <x v="4"/>
    <x v="9"/>
    <s v="Improve Solaris IA Patching SVD instructions"/>
    <x v="8"/>
    <m/>
    <x v="0"/>
    <m/>
    <s v="MUOS/Agile Teams/Cyber"/>
    <s v="Burnett, Johnathan D"/>
    <x v="15"/>
    <x v="0"/>
    <e v="#N/A"/>
    <x v="0"/>
    <x v="0"/>
    <x v="11"/>
    <x v="14"/>
    <n v="0"/>
  </r>
  <r>
    <x v="951"/>
    <n v="375516"/>
    <x v="4"/>
    <x v="9"/>
    <s v="ATO Maintenance: IA Remediation for a Low Disk Space Warning on Splunk Servers"/>
    <x v="4"/>
    <m/>
    <x v="8"/>
    <m/>
    <s v="MUOS/Agile Teams/Cyber"/>
    <s v="Stymfal, Greg T"/>
    <x v="33"/>
    <x v="0"/>
    <e v="#N/A"/>
    <x v="0"/>
    <x v="0"/>
    <x v="11"/>
    <x v="156"/>
    <n v="0"/>
  </r>
  <r>
    <x v="952"/>
    <n v="392530"/>
    <x v="4"/>
    <x v="9"/>
    <s v="98-P55616M RevF Version 20181214 IA Updates SVD verification is not good enough for verifying mas server"/>
    <x v="10"/>
    <m/>
    <x v="0"/>
    <m/>
    <s v="MUOS/Agile Teams/Cyber"/>
    <s v="Burnett, Johnathan D"/>
    <x v="15"/>
    <x v="0"/>
    <e v="#N/A"/>
    <x v="0"/>
    <x v="0"/>
    <x v="11"/>
    <x v="21"/>
    <n v="0"/>
  </r>
  <r>
    <x v="953"/>
    <n v="379001"/>
    <x v="2"/>
    <x v="0"/>
    <s v="Re-apply Problem 1014745 Task for Deployment : Disable LLMWR and NetBIOS on Windows 2003 Machines (Part 1)"/>
    <x v="0"/>
    <m/>
    <x v="0"/>
    <m/>
    <s v="MUOS/Agile Teams/Cyber"/>
    <s v="Unassigned"/>
    <x v="0"/>
    <x v="0"/>
    <e v="#N/A"/>
    <x v="0"/>
    <x v="1"/>
    <x v="12"/>
    <x v="92"/>
    <n v="1018511"/>
  </r>
  <r>
    <x v="954"/>
    <n v="1011025"/>
    <x v="2"/>
    <x v="0"/>
    <s v="&lt;Feature xxx&gt; Hold Feature Review with SMEs"/>
    <x v="38"/>
    <m/>
    <x v="0"/>
    <m/>
    <s v="MUOS/Agile Teams/Cyber"/>
    <s v="Unassigned"/>
    <x v="0"/>
    <x v="0"/>
    <e v="#N/A"/>
    <x v="0"/>
    <x v="1"/>
    <x v="12"/>
    <x v="125"/>
    <n v="1011026"/>
  </r>
  <r>
    <x v="955"/>
    <n v="251537"/>
    <x v="0"/>
    <x v="2"/>
    <s v="Win10 LAPTOP Tools Update: (PI 11 IA freshness on final image - Part 1) --- Final Nessus, Microsoft Security Compliance scans and Manual STIG Checks"/>
    <x v="2"/>
    <n v="3"/>
    <x v="5"/>
    <m/>
    <s v="MUOS/Agile Teams/Cyber"/>
    <s v="Murray, Will-P67105"/>
    <x v="35"/>
    <x v="7"/>
    <m/>
    <x v="25"/>
    <x v="3"/>
    <x v="13"/>
    <x v="157"/>
    <m/>
  </r>
  <r>
    <x v="956"/>
    <n v="318430"/>
    <x v="0"/>
    <x v="2"/>
    <s v="Feature 318430 ETT: IA initial Posture Assessment"/>
    <x v="8"/>
    <n v="2"/>
    <x v="5"/>
    <m/>
    <s v="MUOS/Agile Teams/Cyber"/>
    <s v="Corcoran, David G"/>
    <x v="35"/>
    <x v="7"/>
    <m/>
    <x v="25"/>
    <x v="3"/>
    <x v="13"/>
    <x v="157"/>
    <m/>
  </r>
  <r>
    <x v="957"/>
    <n v="216552"/>
    <x v="1"/>
    <x v="2"/>
    <s v="Feature 324591: Remediate IA Findings (identified Q2 2018) for F5 BigIP DMZ Proxy/Load Balancers"/>
    <x v="7"/>
    <m/>
    <x v="1"/>
    <m/>
    <s v="MUOS/Agile Teams/Cyber"/>
    <s v="Johnson, Derek T"/>
    <x v="35"/>
    <x v="7"/>
    <m/>
    <x v="25"/>
    <x v="3"/>
    <x v="13"/>
    <x v="157"/>
    <m/>
  </r>
  <r>
    <x v="958"/>
    <n v="332640"/>
    <x v="0"/>
    <x v="0"/>
    <s v="Feature 332640: IA Posture Assessment for Reviewing and Incorporating Geolocation Trouble Shooting Steps into IETM Procedure"/>
    <x v="1"/>
    <n v="8"/>
    <x v="0"/>
    <s v="#332646"/>
    <s v="MUOS/Agile Teams/Cyber"/>
    <s v="Unassigned"/>
    <x v="35"/>
    <x v="7"/>
    <m/>
    <x v="25"/>
    <x v="3"/>
    <x v="13"/>
    <x v="157"/>
    <m/>
  </r>
  <r>
    <x v="959"/>
    <n v="216552"/>
    <x v="1"/>
    <x v="1"/>
    <s v="Feature 329380: Remediate IA Findings (identified Q2 2018) for QNX Front End Processor (FEP) devices"/>
    <x v="1"/>
    <m/>
    <x v="0"/>
    <m/>
    <s v="MUOS/Agile Teams/Cyber"/>
    <s v="Unassigned"/>
    <x v="35"/>
    <x v="7"/>
    <m/>
    <x v="25"/>
    <x v="3"/>
    <x v="13"/>
    <x v="157"/>
    <m/>
  </r>
  <r>
    <x v="960"/>
    <n v="328562"/>
    <x v="0"/>
    <x v="0"/>
    <s v="Feature 328562: IA Patching and STIGs Part 1 of N"/>
    <x v="1"/>
    <n v="5"/>
    <x v="0"/>
    <s v="#328563"/>
    <s v="MUOS/Agile Teams/Cyber"/>
    <s v="Unassigned"/>
    <x v="35"/>
    <x v="7"/>
    <m/>
    <x v="25"/>
    <x v="3"/>
    <x v="13"/>
    <x v="157"/>
    <m/>
  </r>
  <r>
    <x v="961"/>
    <n v="328562"/>
    <x v="0"/>
    <x v="0"/>
    <s v="Feature 328562 IA Posture Assessment"/>
    <x v="1"/>
    <n v="8"/>
    <x v="0"/>
    <s v="#328568"/>
    <s v="MUOS/Agile Teams/Cyber"/>
    <s v="Unassigned"/>
    <x v="35"/>
    <x v="7"/>
    <m/>
    <x v="25"/>
    <x v="3"/>
    <x v="13"/>
    <x v="157"/>
    <m/>
  </r>
  <r>
    <x v="962"/>
    <n v="328562"/>
    <x v="0"/>
    <x v="0"/>
    <s v="Feature 328562: IA - Define Patch/ Stig Requirements"/>
    <x v="1"/>
    <n v="2"/>
    <x v="0"/>
    <m/>
    <s v="MUOS/Agile Teams/Cyber"/>
    <s v="Unassigned"/>
    <x v="35"/>
    <x v="7"/>
    <m/>
    <x v="25"/>
    <x v="3"/>
    <x v="13"/>
    <x v="157"/>
    <m/>
  </r>
  <r>
    <x v="963"/>
    <n v="216552"/>
    <x v="1"/>
    <x v="1"/>
    <s v="Feature 325746: Remediate IA Findings (identified Q2 2018) for Windows 2012 inf servers"/>
    <x v="1"/>
    <m/>
    <x v="0"/>
    <m/>
    <s v="MUOS/Agile Teams/Cyber"/>
    <s v="Unassigned"/>
    <x v="35"/>
    <x v="7"/>
    <m/>
    <x v="25"/>
    <x v="3"/>
    <x v="13"/>
    <x v="157"/>
    <m/>
  </r>
  <r>
    <x v="964"/>
    <n v="216552"/>
    <x v="1"/>
    <x v="1"/>
    <s v="Feature 325227: Remediate IA Findings (identified Q2 2018) for Solaris 9 NMS-FM servers"/>
    <x v="1"/>
    <m/>
    <x v="0"/>
    <m/>
    <s v="MUOS/Agile Teams/Cyber"/>
    <s v="Unassigned"/>
    <x v="35"/>
    <x v="7"/>
    <m/>
    <x v="25"/>
    <x v="3"/>
    <x v="13"/>
    <x v="157"/>
    <m/>
  </r>
  <r>
    <x v="965"/>
    <n v="216552"/>
    <x v="1"/>
    <x v="1"/>
    <s v="Feature 325142: Remediate IA Findings (identified Q2 2018) for Solaris 9 GIS/MAS servers"/>
    <x v="1"/>
    <m/>
    <x v="0"/>
    <m/>
    <s v="MUOS/Agile Teams/Cyber"/>
    <s v="Unassigned"/>
    <x v="35"/>
    <x v="7"/>
    <m/>
    <x v="25"/>
    <x v="3"/>
    <x v="13"/>
    <x v="157"/>
    <m/>
  </r>
  <r>
    <x v="966"/>
    <n v="216552"/>
    <x v="1"/>
    <x v="1"/>
    <s v="Feature 325126: Remediate IA Findings (identified Q2 2018) for Windows 2003 inf servers"/>
    <x v="1"/>
    <m/>
    <x v="0"/>
    <m/>
    <s v="MUOS/Agile Teams/Cyber"/>
    <s v="Unassigned"/>
    <x v="35"/>
    <x v="7"/>
    <m/>
    <x v="25"/>
    <x v="3"/>
    <x v="13"/>
    <x v="157"/>
    <m/>
  </r>
  <r>
    <x v="967"/>
    <n v="216552"/>
    <x v="1"/>
    <x v="1"/>
    <s v="Feature 325080: Remediate IA Findings (identified Q2 2018) for Linux-T400 gw01/gw02 devices"/>
    <x v="1"/>
    <m/>
    <x v="0"/>
    <m/>
    <s v="MUOS/Agile Teams/Cyber"/>
    <s v="Unassigned"/>
    <x v="35"/>
    <x v="7"/>
    <m/>
    <x v="25"/>
    <x v="3"/>
    <x v="13"/>
    <x v="157"/>
    <m/>
  </r>
  <r>
    <x v="968"/>
    <n v="216552"/>
    <x v="1"/>
    <x v="1"/>
    <s v="Feature 324993: Remediate IA Findings (identified Q2 2018) for Solaris 10 mm11 and mm12 servers"/>
    <x v="1"/>
    <m/>
    <x v="0"/>
    <m/>
    <s v="MUOS/Agile Teams/Cyber"/>
    <s v="Unassigned"/>
    <x v="35"/>
    <x v="7"/>
    <m/>
    <x v="25"/>
    <x v="3"/>
    <x v="13"/>
    <x v="157"/>
    <m/>
  </r>
  <r>
    <x v="969"/>
    <n v="216552"/>
    <x v="1"/>
    <x v="1"/>
    <s v="Feature 324932: IA Remediation for Linux-based Splunk servers  (identified Q2 2018)"/>
    <x v="1"/>
    <m/>
    <x v="0"/>
    <m/>
    <s v="MUOS/Agile Teams/Cyber"/>
    <s v="Unassigned"/>
    <x v="35"/>
    <x v="7"/>
    <m/>
    <x v="25"/>
    <x v="3"/>
    <x v="13"/>
    <x v="157"/>
    <m/>
  </r>
  <r>
    <x v="970"/>
    <n v="216552"/>
    <x v="1"/>
    <x v="1"/>
    <s v="Feature 324842: Remediate IA Findings (identified Q2 2018) for RAF/SF Load Balancers"/>
    <x v="1"/>
    <m/>
    <x v="0"/>
    <m/>
    <s v="MUOS/Agile Teams/Cyber"/>
    <s v="Unassigned"/>
    <x v="35"/>
    <x v="7"/>
    <m/>
    <x v="25"/>
    <x v="3"/>
    <x v="13"/>
    <x v="157"/>
    <m/>
  </r>
  <r>
    <x v="971"/>
    <n v="276005"/>
    <x v="0"/>
    <x v="0"/>
    <s v="Present completed Capability Investigation to IA/System Stakeholders for each option for Enterprise ACAS Vulnerability Management capability investigation - Part 2"/>
    <x v="1"/>
    <n v="3"/>
    <x v="0"/>
    <m/>
    <s v="MUOS/Agile Teams/Cyber"/>
    <s v="Unassigned"/>
    <x v="35"/>
    <x v="7"/>
    <m/>
    <x v="25"/>
    <x v="3"/>
    <x v="13"/>
    <x v="157"/>
    <m/>
  </r>
  <r>
    <x v="972"/>
    <n v="276005"/>
    <x v="0"/>
    <x v="0"/>
    <s v="ROM estimate for selected option for each option for Enterprise ACAS Vulnerability Management capability investigation - Part 2"/>
    <x v="1"/>
    <n v="2"/>
    <x v="0"/>
    <m/>
    <s v="MUOS/Agile Teams/Cyber"/>
    <s v="Unassigned"/>
    <x v="35"/>
    <x v="7"/>
    <m/>
    <x v="25"/>
    <x v="3"/>
    <x v="13"/>
    <x v="157"/>
    <m/>
  </r>
  <r>
    <x v="973"/>
    <n v="276005"/>
    <x v="0"/>
    <x v="0"/>
    <s v="Document security posture and priority for selected option for each option for Enterprise ACAS Vulnerability Management capability investigation - Part 2"/>
    <x v="1"/>
    <n v="1"/>
    <x v="0"/>
    <m/>
    <s v="MUOS/Agile Teams/Cyber"/>
    <s v="Unassigned"/>
    <x v="35"/>
    <x v="7"/>
    <m/>
    <x v="25"/>
    <x v="3"/>
    <x v="13"/>
    <x v="157"/>
    <m/>
  </r>
  <r>
    <x v="974"/>
    <n v="276005"/>
    <x v="0"/>
    <x v="0"/>
    <s v="Update architecture description for selected option for each option for Enterprise ACAS Vulnerability Management capability investigation - Part 2"/>
    <x v="1"/>
    <n v="1"/>
    <x v="0"/>
    <m/>
    <s v="MUOS/Agile Teams/Cyber"/>
    <s v="Unassigned"/>
    <x v="35"/>
    <x v="7"/>
    <m/>
    <x v="25"/>
    <x v="3"/>
    <x v="13"/>
    <x v="157"/>
    <m/>
  </r>
  <r>
    <x v="975"/>
    <n v="276005"/>
    <x v="0"/>
    <x v="0"/>
    <s v="Present trade results for each option for Enterprise ACAS Vulnerability Management capability investigation - Part 2"/>
    <x v="1"/>
    <n v="1"/>
    <x v="0"/>
    <m/>
    <s v="MUOS/Agile Teams/Cyber"/>
    <s v="Unassigned"/>
    <x v="35"/>
    <x v="7"/>
    <m/>
    <x v="25"/>
    <x v="3"/>
    <x v="13"/>
    <x v="157"/>
    <m/>
  </r>
  <r>
    <x v="976"/>
    <n v="276005"/>
    <x v="0"/>
    <x v="0"/>
    <s v="Document trades for each option for Enterprise ACAS Vulnerability Management capability investigation - Part 2"/>
    <x v="1"/>
    <n v="1"/>
    <x v="0"/>
    <m/>
    <s v="MUOS/Agile Teams/Cyber"/>
    <s v="Unassigned"/>
    <x v="35"/>
    <x v="7"/>
    <m/>
    <x v="25"/>
    <x v="3"/>
    <x v="13"/>
    <x v="157"/>
    <m/>
  </r>
  <r>
    <x v="977"/>
    <n v="276005"/>
    <x v="0"/>
    <x v="0"/>
    <s v="Document implementation options for each option for Enterprise ACAS Vulnerability Management capability investigation - Part 2"/>
    <x v="1"/>
    <n v="1"/>
    <x v="0"/>
    <m/>
    <s v="MUOS/Agile Teams/Cyber"/>
    <s v="Unassigned"/>
    <x v="35"/>
    <x v="7"/>
    <m/>
    <x v="25"/>
    <x v="3"/>
    <x v="13"/>
    <x v="157"/>
    <m/>
  </r>
  <r>
    <x v="978"/>
    <n v="276005"/>
    <x v="0"/>
    <x v="0"/>
    <s v="Investigate different options for each option for Enterprise ACAS Vulnerability Management capability investigation - Part 2"/>
    <x v="1"/>
    <n v="1"/>
    <x v="0"/>
    <m/>
    <s v="MUOS/Agile Teams/Cyber"/>
    <s v="Unassigned"/>
    <x v="35"/>
    <x v="7"/>
    <m/>
    <x v="25"/>
    <x v="3"/>
    <x v="13"/>
    <x v="157"/>
    <m/>
  </r>
  <r>
    <x v="979"/>
    <n v="276005"/>
    <x v="0"/>
    <x v="0"/>
    <s v="Update document with selected options for each option for Enterprise ACAS Vulnerability Management capability investigation - Part 1"/>
    <x v="1"/>
    <n v="1"/>
    <x v="0"/>
    <m/>
    <s v="MUOS/Agile Teams/Cyber"/>
    <s v="Unassigned"/>
    <x v="35"/>
    <x v="7"/>
    <m/>
    <x v="25"/>
    <x v="3"/>
    <x v="13"/>
    <x v="157"/>
    <m/>
  </r>
  <r>
    <x v="980"/>
    <n v="276005"/>
    <x v="0"/>
    <x v="0"/>
    <s v="Present options to address gaps for each option for Enterprise ACAS Vulnerability Management capability investigation - Part 1"/>
    <x v="1"/>
    <n v="1"/>
    <x v="0"/>
    <m/>
    <s v="MUOS/Agile Teams/Cyber"/>
    <s v="Unassigned"/>
    <x v="35"/>
    <x v="7"/>
    <m/>
    <x v="25"/>
    <x v="3"/>
    <x v="13"/>
    <x v="157"/>
    <m/>
  </r>
  <r>
    <x v="981"/>
    <n v="276005"/>
    <x v="0"/>
    <x v="0"/>
    <s v="Document impacts for each option for each option for Enterprise ACAS Vulnerability Management capability investigation - Part 1"/>
    <x v="1"/>
    <n v="1"/>
    <x v="0"/>
    <m/>
    <s v="MUOS/Agile Teams/Cyber"/>
    <s v="Unassigned"/>
    <x v="35"/>
    <x v="7"/>
    <m/>
    <x v="25"/>
    <x v="3"/>
    <x v="13"/>
    <x v="157"/>
    <m/>
  </r>
  <r>
    <x v="982"/>
    <n v="276005"/>
    <x v="0"/>
    <x v="0"/>
    <s v="Identify options to address gaps for each option for Enterprise ACAS Vulnerability Management capability investigation - Part 1"/>
    <x v="1"/>
    <n v="1"/>
    <x v="0"/>
    <m/>
    <s v="MUOS/Agile Teams/Cyber"/>
    <s v="Unassigned"/>
    <x v="35"/>
    <x v="7"/>
    <m/>
    <x v="25"/>
    <x v="3"/>
    <x v="13"/>
    <x v="157"/>
    <m/>
  </r>
  <r>
    <x v="983"/>
    <n v="276005"/>
    <x v="0"/>
    <x v="0"/>
    <s v="Present architecture and gap analysis for each option for Enterprise ACAS Vulnerability Management capability investigation - Part 1"/>
    <x v="1"/>
    <n v="1"/>
    <x v="0"/>
    <m/>
    <s v="MUOS/Agile Teams/Cyber"/>
    <s v="Unassigned"/>
    <x v="35"/>
    <x v="7"/>
    <m/>
    <x v="25"/>
    <x v="3"/>
    <x v="13"/>
    <x v="157"/>
    <m/>
  </r>
  <r>
    <x v="984"/>
    <n v="276005"/>
    <x v="0"/>
    <x v="0"/>
    <s v="Perform gap analysis for each option for Enterprise ACAS Vulnerability Management capability investigation - Part 1"/>
    <x v="1"/>
    <n v="1"/>
    <x v="0"/>
    <m/>
    <s v="MUOS/Agile Teams/Cyber"/>
    <s v="Unassigned"/>
    <x v="35"/>
    <x v="7"/>
    <m/>
    <x v="25"/>
    <x v="3"/>
    <x v="13"/>
    <x v="157"/>
    <m/>
  </r>
  <r>
    <x v="985"/>
    <n v="276005"/>
    <x v="0"/>
    <x v="0"/>
    <s v="Document functional architecture for each option for Enterprise ACAS Vulnerability Management capability investigation - Part 1"/>
    <x v="1"/>
    <n v="1"/>
    <x v="0"/>
    <m/>
    <s v="MUOS/Agile Teams/Cyber"/>
    <s v="Unassigned"/>
    <x v="35"/>
    <x v="7"/>
    <m/>
    <x v="25"/>
    <x v="3"/>
    <x v="13"/>
    <x v="157"/>
    <m/>
  </r>
  <r>
    <x v="986"/>
    <n v="276005"/>
    <x v="0"/>
    <x v="0"/>
    <s v="Document control mappings for each option for Enterprise ACAS Vulnerability Management capability investigation - Part 1"/>
    <x v="1"/>
    <n v="1"/>
    <x v="0"/>
    <m/>
    <s v="MUOS/Agile Teams/Cyber"/>
    <s v="Unassigned"/>
    <x v="35"/>
    <x v="7"/>
    <m/>
    <x v="25"/>
    <x v="3"/>
    <x v="13"/>
    <x v="157"/>
    <m/>
  </r>
  <r>
    <x v="987"/>
    <n v="276005"/>
    <x v="0"/>
    <x v="0"/>
    <s v="Document findings/controls/measures for each option for Enterprise ACAS Vulnerability Management capability investigation - Part 1"/>
    <x v="1"/>
    <n v="1"/>
    <x v="0"/>
    <m/>
    <s v="MUOS/Agile Teams/Cyber"/>
    <s v="Unassigned"/>
    <x v="35"/>
    <x v="7"/>
    <m/>
    <x v="25"/>
    <x v="3"/>
    <x v="13"/>
    <x v="157"/>
    <m/>
  </r>
  <r>
    <x v="988"/>
    <n v="245559"/>
    <x v="1"/>
    <x v="1"/>
    <s v="Perform Cross Domain Solutions capability investigation"/>
    <x v="1"/>
    <m/>
    <x v="1"/>
    <m/>
    <s v="MUOS/Agile Teams/Cyber"/>
    <s v="Johnson, Derek T"/>
    <x v="35"/>
    <x v="7"/>
    <m/>
    <x v="25"/>
    <x v="3"/>
    <x v="13"/>
    <x v="157"/>
    <m/>
  </r>
  <r>
    <x v="989"/>
    <n v="216552"/>
    <x v="1"/>
    <x v="1"/>
    <s v="Analyze RMF priority findings, propose future IA remediation features"/>
    <x v="1"/>
    <m/>
    <x v="1"/>
    <m/>
    <s v="MUOS/Agile Teams/Cyber"/>
    <s v="Johnson, Derek T"/>
    <x v="35"/>
    <x v="7"/>
    <m/>
    <x v="25"/>
    <x v="3"/>
    <x v="13"/>
    <x v="157"/>
    <m/>
  </r>
  <r>
    <x v="990"/>
    <n v="216552"/>
    <x v="1"/>
    <x v="1"/>
    <s v="Update MUOS GS security functional architecture description, incorporate completed Part 1 Cyber capability investigations"/>
    <x v="1"/>
    <m/>
    <x v="1"/>
    <m/>
    <s v="MUOS/Agile Teams/Cyber"/>
    <s v="Johnson, Derek T"/>
    <x v="35"/>
    <x v="7"/>
    <m/>
    <x v="25"/>
    <x v="3"/>
    <x v="13"/>
    <x v="157"/>
    <m/>
  </r>
  <r>
    <x v="991"/>
    <n v="245561"/>
    <x v="1"/>
    <x v="5"/>
    <s v="Perform Vulnerability Management capability investigation - Part 2"/>
    <x v="1"/>
    <m/>
    <x v="1"/>
    <m/>
    <s v="MUOS/Agile Teams/Cyber"/>
    <s v="Johnson, Derek T"/>
    <x v="35"/>
    <x v="7"/>
    <m/>
    <x v="25"/>
    <x v="3"/>
    <x v="13"/>
    <x v="157"/>
    <m/>
  </r>
  <r>
    <x v="992"/>
    <n v="245561"/>
    <x v="1"/>
    <x v="5"/>
    <s v="Perform Disaster Recovery capability investigation - Part 2"/>
    <x v="1"/>
    <m/>
    <x v="1"/>
    <m/>
    <s v="MUOS/Agile Teams/Cyber"/>
    <s v="Johnson, Derek T"/>
    <x v="35"/>
    <x v="7"/>
    <m/>
    <x v="25"/>
    <x v="3"/>
    <x v="13"/>
    <x v="157"/>
    <m/>
  </r>
  <r>
    <x v="993"/>
    <n v="245561"/>
    <x v="1"/>
    <x v="5"/>
    <s v="Perform Asset Management capability investigation - Part 2"/>
    <x v="1"/>
    <m/>
    <x v="1"/>
    <s v="#296214"/>
    <s v="MUOS/Agile Teams/Cyber"/>
    <s v="Johnson, Derek T"/>
    <x v="35"/>
    <x v="7"/>
    <m/>
    <x v="25"/>
    <x v="3"/>
    <x v="13"/>
    <x v="157"/>
    <m/>
  </r>
  <r>
    <x v="994"/>
    <n v="245559"/>
    <x v="1"/>
    <x v="5"/>
    <s v="Perform Device Access Control capability investigation - Part 2"/>
    <x v="1"/>
    <m/>
    <x v="1"/>
    <m/>
    <s v="MUOS/Agile Teams/Cyber"/>
    <s v="Dailey, Conan B"/>
    <x v="35"/>
    <x v="7"/>
    <m/>
    <x v="25"/>
    <x v="3"/>
    <x v="13"/>
    <x v="157"/>
    <m/>
  </r>
  <r>
    <x v="995"/>
    <n v="245561"/>
    <x v="1"/>
    <x v="5"/>
    <s v="Perform Cyber Incident Response capability investigation - Part 2"/>
    <x v="1"/>
    <m/>
    <x v="1"/>
    <m/>
    <s v="MUOS/Agile Teams/Cyber"/>
    <s v="Dailey, Conan B"/>
    <x v="35"/>
    <x v="7"/>
    <m/>
    <x v="25"/>
    <x v="3"/>
    <x v="13"/>
    <x v="157"/>
    <m/>
  </r>
  <r>
    <x v="996"/>
    <n v="245561"/>
    <x v="1"/>
    <x v="5"/>
    <s v="Perform Cybersecurity Situational Awareness capability investigation - Part 2"/>
    <x v="1"/>
    <m/>
    <x v="1"/>
    <m/>
    <s v="MUOS/Agile Teams/Cyber"/>
    <s v="Johnson, Derek T"/>
    <x v="35"/>
    <x v="7"/>
    <m/>
    <x v="25"/>
    <x v="3"/>
    <x v="13"/>
    <x v="157"/>
    <m/>
  </r>
  <r>
    <x v="997"/>
    <n v="310609"/>
    <x v="0"/>
    <x v="0"/>
    <s v="Unclass GDS - NMS: IA Posture Assessment - review of developer input"/>
    <x v="1"/>
    <n v="1"/>
    <x v="0"/>
    <s v="#310610"/>
    <s v="MUOS/Agile Teams/Cyber"/>
    <s v="Unassigned"/>
    <x v="35"/>
    <x v="7"/>
    <m/>
    <x v="25"/>
    <x v="3"/>
    <x v="13"/>
    <x v="157"/>
    <m/>
  </r>
  <r>
    <x v="998"/>
    <n v="310609"/>
    <x v="0"/>
    <x v="0"/>
    <s v="Unclass GDS - NMS IA Posture Assessment"/>
    <x v="1"/>
    <n v="8"/>
    <x v="0"/>
    <s v="#310615"/>
    <s v="MUOS/Agile Teams/Cyber"/>
    <s v="Johnson, Derek T"/>
    <x v="35"/>
    <x v="7"/>
    <m/>
    <x v="25"/>
    <x v="3"/>
    <x v="13"/>
    <x v="157"/>
    <m/>
  </r>
  <r>
    <x v="999"/>
    <n v="310578"/>
    <x v="0"/>
    <x v="0"/>
    <s v="Unclass GDS: Firewall/Switches/Routers: IA Posture Assessment - review of developer input"/>
    <x v="1"/>
    <n v="1"/>
    <x v="0"/>
    <s v="#310579"/>
    <s v="MUOS/Agile Teams/Cyber"/>
    <s v="Unassigned"/>
    <x v="35"/>
    <x v="7"/>
    <m/>
    <x v="25"/>
    <x v="3"/>
    <x v="13"/>
    <x v="157"/>
    <m/>
  </r>
  <r>
    <x v="1000"/>
    <n v="310578"/>
    <x v="0"/>
    <x v="0"/>
    <s v="Unclass GDS - Firewall/Switches/Routers: IA Posture Assessment"/>
    <x v="1"/>
    <n v="8"/>
    <x v="0"/>
    <s v="#310584"/>
    <s v="MUOS/Agile Teams/Cyber"/>
    <s v="Johnson, Derek T"/>
    <x v="35"/>
    <x v="7"/>
    <m/>
    <x v="25"/>
    <x v="3"/>
    <x v="13"/>
    <x v="157"/>
    <m/>
  </r>
  <r>
    <x v="1001"/>
    <n v="310532"/>
    <x v="0"/>
    <x v="0"/>
    <s v="Unclass GDS Workstation: IA Posture Assessment - review of developer input"/>
    <x v="1"/>
    <n v="1"/>
    <x v="0"/>
    <s v="#310533"/>
    <s v="MUOS/Agile Teams/Cyber"/>
    <s v="Unassigned"/>
    <x v="35"/>
    <x v="7"/>
    <m/>
    <x v="25"/>
    <x v="3"/>
    <x v="13"/>
    <x v="157"/>
    <m/>
  </r>
  <r>
    <x v="1002"/>
    <n v="310532"/>
    <x v="0"/>
    <x v="0"/>
    <s v="Unclass GDS Workstation: IA Posture Assessment"/>
    <x v="1"/>
    <n v="8"/>
    <x v="0"/>
    <s v="#310538"/>
    <s v="MUOS/Agile Teams/Cyber"/>
    <s v="Johnson, Derek T"/>
    <x v="35"/>
    <x v="7"/>
    <m/>
    <x v="25"/>
    <x v="3"/>
    <x v="13"/>
    <x v="157"/>
    <m/>
  </r>
  <r>
    <x v="1003"/>
    <n v="310299"/>
    <x v="0"/>
    <x v="0"/>
    <s v="Unclass GDS Load Balancer: IA Posture Assessment - review of developer input"/>
    <x v="1"/>
    <n v="1"/>
    <x v="0"/>
    <s v="#310300"/>
    <s v="MUOS/Agile Teams/Cyber"/>
    <s v="Unassigned"/>
    <x v="35"/>
    <x v="7"/>
    <m/>
    <x v="25"/>
    <x v="3"/>
    <x v="13"/>
    <x v="157"/>
    <m/>
  </r>
  <r>
    <x v="1004"/>
    <n v="310299"/>
    <x v="0"/>
    <x v="0"/>
    <s v="Unclass GDS Load Balancer: IA Posture Assessment"/>
    <x v="1"/>
    <n v="8"/>
    <x v="0"/>
    <s v="#310305"/>
    <s v="MUOS/Agile Teams/Cyber"/>
    <s v="Johnson, Derek T"/>
    <x v="35"/>
    <x v="7"/>
    <m/>
    <x v="25"/>
    <x v="3"/>
    <x v="13"/>
    <x v="157"/>
    <m/>
  </r>
  <r>
    <x v="1005"/>
    <n v="245561"/>
    <x v="1"/>
    <x v="5"/>
    <s v="Perform Disaster Recovery capability investigation - Part 1"/>
    <x v="1"/>
    <m/>
    <x v="1"/>
    <m/>
    <s v="MUOS/Agile Teams/Cyber"/>
    <s v="Johnson, Derek T"/>
    <x v="35"/>
    <x v="7"/>
    <m/>
    <x v="25"/>
    <x v="3"/>
    <x v="13"/>
    <x v="157"/>
    <m/>
  </r>
  <r>
    <x v="1006"/>
    <n v="245561"/>
    <x v="1"/>
    <x v="5"/>
    <s v="Perform Cyber Incident Response capability investigation - Part 1"/>
    <x v="1"/>
    <m/>
    <x v="1"/>
    <m/>
    <s v="MUOS/Agile Teams/Cyber"/>
    <s v="Johnson, Derek T"/>
    <x v="35"/>
    <x v="7"/>
    <m/>
    <x v="25"/>
    <x v="3"/>
    <x v="13"/>
    <x v="157"/>
    <m/>
  </r>
  <r>
    <x v="1007"/>
    <n v="245559"/>
    <x v="1"/>
    <x v="5"/>
    <s v="Perform Device Access Control capability investigation - Part 1"/>
    <x v="1"/>
    <m/>
    <x v="1"/>
    <m/>
    <s v="MUOS/Agile Teams/Cyber"/>
    <s v="Johnson, Derek T"/>
    <x v="35"/>
    <x v="7"/>
    <m/>
    <x v="25"/>
    <x v="3"/>
    <x v="13"/>
    <x v="157"/>
    <m/>
  </r>
  <r>
    <x v="1008"/>
    <n v="293238"/>
    <x v="0"/>
    <x v="0"/>
    <s v="Feature 293238: IA Posture Assessment"/>
    <x v="1"/>
    <n v="1"/>
    <x v="0"/>
    <m/>
    <s v="MUOS/Agile Teams/Cyber"/>
    <s v="Johnson, Derek T"/>
    <x v="35"/>
    <x v="7"/>
    <m/>
    <x v="25"/>
    <x v="3"/>
    <x v="13"/>
    <x v="157"/>
    <m/>
  </r>
  <r>
    <x v="1009"/>
    <n v="216552"/>
    <x v="1"/>
    <x v="5"/>
    <s v="Perform Security Controls tracing for technical/functional controls"/>
    <x v="1"/>
    <m/>
    <x v="1"/>
    <m/>
    <s v="MUOS/Agile Teams/Cyber"/>
    <s v="Johnson, Derek T"/>
    <x v="35"/>
    <x v="7"/>
    <m/>
    <x v="25"/>
    <x v="3"/>
    <x v="13"/>
    <x v="157"/>
    <m/>
  </r>
  <r>
    <x v="1010"/>
    <n v="216552"/>
    <x v="1"/>
    <x v="1"/>
    <s v="Perform trade studies for developing/purchasing Cyber Security Tools to be used in GD Lab and/or at site to support ongoing RMF assessments"/>
    <x v="1"/>
    <m/>
    <x v="0"/>
    <m/>
    <s v="MUOS/Agile Teams/Cyber"/>
    <s v="Johnson, Derek T"/>
    <x v="35"/>
    <x v="7"/>
    <m/>
    <x v="25"/>
    <x v="3"/>
    <x v="13"/>
    <x v="157"/>
    <m/>
  </r>
  <r>
    <x v="1011"/>
    <n v="245561"/>
    <x v="1"/>
    <x v="5"/>
    <s v="Perform Vulnerability Management capability investigation - Part 1"/>
    <x v="1"/>
    <m/>
    <x v="1"/>
    <m/>
    <s v="MUOS/Agile Teams/Cyber"/>
    <s v="Johnson, Derek T"/>
    <x v="35"/>
    <x v="7"/>
    <m/>
    <x v="25"/>
    <x v="3"/>
    <x v="13"/>
    <x v="157"/>
    <m/>
  </r>
  <r>
    <x v="1012"/>
    <n v="245560"/>
    <x v="1"/>
    <x v="4"/>
    <s v="Develop IA Update Process"/>
    <x v="1"/>
    <m/>
    <x v="0"/>
    <m/>
    <s v="MUOS/Agile Teams/Cyber"/>
    <s v="Johnson, Derek T"/>
    <x v="35"/>
    <x v="7"/>
    <m/>
    <x v="25"/>
    <x v="3"/>
    <x v="13"/>
    <x v="157"/>
    <m/>
  </r>
  <r>
    <x v="1013"/>
    <n v="216634"/>
    <x v="1"/>
    <x v="5"/>
    <s v="Improve RCG IA Posture for Non GD Controlled SW"/>
    <x v="1"/>
    <m/>
    <x v="0"/>
    <m/>
    <s v="MUOS/Agile Teams/System Engineering"/>
    <s v="Dailey, Conan B"/>
    <x v="35"/>
    <x v="7"/>
    <m/>
    <x v="25"/>
    <x v="3"/>
    <x v="13"/>
    <x v="157"/>
    <m/>
  </r>
  <r>
    <x v="1014"/>
    <n v="216575"/>
    <x v="0"/>
    <x v="2"/>
    <s v="Feature 216575  IA Patching and STIGs"/>
    <x v="41"/>
    <n v="0"/>
    <x v="0"/>
    <m/>
    <s v="MUOS/Agile Teams/Cyber"/>
    <s v="Unassigned"/>
    <x v="35"/>
    <x v="7"/>
    <m/>
    <x v="25"/>
    <x v="3"/>
    <x v="13"/>
    <x v="157"/>
    <m/>
  </r>
  <r>
    <x v="1015"/>
    <n v="216575"/>
    <x v="0"/>
    <x v="2"/>
    <s v="Feature 216575: IA Posture Assessment"/>
    <x v="41"/>
    <n v="0"/>
    <x v="0"/>
    <m/>
    <s v="MUOS/Agile Teams/Cyber"/>
    <s v="Unassigned"/>
    <x v="35"/>
    <x v="7"/>
    <m/>
    <x v="25"/>
    <x v="3"/>
    <x v="13"/>
    <x v="157"/>
    <m/>
  </r>
  <r>
    <x v="1016"/>
    <n v="262244"/>
    <x v="0"/>
    <x v="2"/>
    <s v="IA Hardening - WannaCry XP: Initiate CM PDO Processing for the HBSS Team"/>
    <x v="42"/>
    <n v="0"/>
    <x v="0"/>
    <m/>
    <s v="MUOS/Agile Teams/Laptops"/>
    <s v="Unassigned"/>
    <x v="35"/>
    <x v="7"/>
    <m/>
    <x v="25"/>
    <x v="3"/>
    <x v="13"/>
    <x v="157"/>
    <m/>
  </r>
  <r>
    <x v="1017"/>
    <n v="281733"/>
    <x v="0"/>
    <x v="2"/>
    <s v="IA Posture Assessment - review of developer input"/>
    <x v="43"/>
    <n v="0"/>
    <x v="0"/>
    <s v="#281734"/>
    <s v="MUOS/Agile Teams/Cyber"/>
    <s v="Unassigned"/>
    <x v="35"/>
    <x v="7"/>
    <m/>
    <x v="25"/>
    <x v="3"/>
    <x v="13"/>
    <x v="157"/>
    <m/>
  </r>
  <r>
    <x v="1018"/>
    <n v="281733"/>
    <x v="0"/>
    <x v="2"/>
    <s v="IA Posture Assessment"/>
    <x v="43"/>
    <n v="0"/>
    <x v="0"/>
    <s v="#281739"/>
    <s v="MUOS/Agile Teams/Cyber"/>
    <s v="Johnson, Derek T"/>
    <x v="35"/>
    <x v="7"/>
    <m/>
    <x v="25"/>
    <x v="3"/>
    <x v="13"/>
    <x v="157"/>
    <m/>
  </r>
  <r>
    <x v="1019"/>
    <n v="272222"/>
    <x v="0"/>
    <x v="2"/>
    <s v="WannaCry Samba post PI5 Configuration Items: ILS IETM updates"/>
    <x v="44"/>
    <n v="0"/>
    <x v="0"/>
    <s v="#272226"/>
    <s v="MUOS/ILS: IETM and Documentation (CDRLs)"/>
    <s v="Dixon, Craig R"/>
    <x v="35"/>
    <x v="7"/>
    <m/>
    <x v="25"/>
    <x v="3"/>
    <x v="13"/>
    <x v="157"/>
    <m/>
  </r>
  <r>
    <x v="1020"/>
    <n v="245560"/>
    <x v="3"/>
    <x v="2"/>
    <s v="IA Hardening - WannaCry:  Emergency patching, remediation and mitigations of MUOS Ground System against WannaCry ransomware"/>
    <x v="45"/>
    <m/>
    <x v="0"/>
    <m/>
    <s v="MUOS/Agile Teams/Cyber"/>
    <s v="Johnson, Derek T"/>
    <x v="35"/>
    <x v="7"/>
    <m/>
    <x v="25"/>
    <x v="3"/>
    <x v="13"/>
    <x v="157"/>
    <m/>
  </r>
  <r>
    <x v="1021"/>
    <n v="216552"/>
    <x v="1"/>
    <x v="2"/>
    <s v="MUOS SMEs help define stories/effort needed for initial set of IA Remediation Features (identified 2Q 2018)"/>
    <x v="46"/>
    <m/>
    <x v="1"/>
    <m/>
    <s v="MUOS/Agile Teams/Cyber"/>
    <s v="Dailey, Conan B"/>
    <x v="35"/>
    <x v="7"/>
    <m/>
    <x v="25"/>
    <x v="3"/>
    <x v="13"/>
    <x v="157"/>
    <m/>
  </r>
  <r>
    <x v="1022"/>
    <n v="272399"/>
    <x v="0"/>
    <x v="0"/>
    <s v="PPA UI Cleanup: IA Posture Assessment"/>
    <x v="34"/>
    <n v="2"/>
    <x v="0"/>
    <s v="#272405"/>
    <s v="MUOS/Agile Teams/Cyber"/>
    <s v="Johnson, Derek T"/>
    <x v="35"/>
    <x v="7"/>
    <m/>
    <x v="25"/>
    <x v="3"/>
    <x v="13"/>
    <x v="157"/>
    <m/>
  </r>
  <r>
    <x v="1023"/>
    <n v="315485"/>
    <x v="0"/>
    <x v="0"/>
    <s v="Feature 315485 IA Posture Assessment"/>
    <x v="36"/>
    <n v="1"/>
    <x v="0"/>
    <s v="#315491"/>
    <s v="MUOS/Agile Teams/Cyber"/>
    <s v="Unassigned"/>
    <x v="35"/>
    <x v="7"/>
    <m/>
    <x v="25"/>
    <x v="3"/>
    <x v="13"/>
    <x v="157"/>
    <m/>
  </r>
  <r>
    <x v="1024"/>
    <n v="332289"/>
    <x v="0"/>
    <x v="0"/>
    <s v="Feature 332289: IA Posture Assessment"/>
    <x v="0"/>
    <n v="8"/>
    <x v="0"/>
    <s v="#332295"/>
    <s v="MUOS/Agile Teams/Cyber"/>
    <s v="Unassigned"/>
    <x v="35"/>
    <x v="7"/>
    <m/>
    <x v="25"/>
    <x v="3"/>
    <x v="13"/>
    <x v="157"/>
    <m/>
  </r>
  <r>
    <x v="1025"/>
    <n v="329380"/>
    <x v="0"/>
    <x v="0"/>
    <s v="Feature 329380: FEP - Remediate IA Findings related to NTP &amp; SNMP"/>
    <x v="0"/>
    <n v="5"/>
    <x v="0"/>
    <m/>
    <s v="MUOS/Agile Teams/Cyber"/>
    <s v="Unassigned"/>
    <x v="35"/>
    <x v="7"/>
    <m/>
    <x v="25"/>
    <x v="3"/>
    <x v="13"/>
    <x v="157"/>
    <m/>
  </r>
  <r>
    <x v="1026"/>
    <n v="329380"/>
    <x v="0"/>
    <x v="0"/>
    <s v="Feature 329380: FEP - Remediate IA Findings related to Link control/ssh"/>
    <x v="0"/>
    <n v="5"/>
    <x v="0"/>
    <m/>
    <s v="MUOS/Agile Teams/Cyber"/>
    <s v="Unassigned"/>
    <x v="35"/>
    <x v="7"/>
    <m/>
    <x v="25"/>
    <x v="3"/>
    <x v="13"/>
    <x v="157"/>
    <m/>
  </r>
  <r>
    <x v="1027"/>
    <n v="329380"/>
    <x v="0"/>
    <x v="0"/>
    <s v="Feature 329380: FEP - Remediate IA Findings related to Session Control"/>
    <x v="0"/>
    <n v="5"/>
    <x v="0"/>
    <m/>
    <s v="MUOS/Agile Teams/Cyber"/>
    <s v="Unassigned"/>
    <x v="35"/>
    <x v="7"/>
    <m/>
    <x v="25"/>
    <x v="3"/>
    <x v="13"/>
    <x v="157"/>
    <m/>
  </r>
  <r>
    <x v="1028"/>
    <n v="329380"/>
    <x v="0"/>
    <x v="0"/>
    <s v="Feature 329380: FEP - Remediate IA Findings related to audit data control"/>
    <x v="0"/>
    <n v="5"/>
    <x v="0"/>
    <m/>
    <s v="MUOS/Agile Teams/Cyber"/>
    <s v="Unassigned"/>
    <x v="35"/>
    <x v="7"/>
    <m/>
    <x v="25"/>
    <x v="3"/>
    <x v="13"/>
    <x v="157"/>
    <m/>
  </r>
  <r>
    <x v="1029"/>
    <n v="329380"/>
    <x v="0"/>
    <x v="0"/>
    <s v="Feature 329380: FEP - Remediate IA Findings related to Application &amp; Configuration Management"/>
    <x v="0"/>
    <n v="5"/>
    <x v="0"/>
    <m/>
    <s v="MUOS/Agile Teams/Cyber"/>
    <s v="Unassigned"/>
    <x v="35"/>
    <x v="7"/>
    <m/>
    <x v="25"/>
    <x v="3"/>
    <x v="13"/>
    <x v="157"/>
    <m/>
  </r>
  <r>
    <x v="1030"/>
    <n v="329380"/>
    <x v="0"/>
    <x v="0"/>
    <s v="Feature 329380: FEP - Remediate IA Findings related to Access Control"/>
    <x v="0"/>
    <n v="5"/>
    <x v="0"/>
    <m/>
    <s v="MUOS/Agile Teams/Cyber"/>
    <s v="Unassigned"/>
    <x v="35"/>
    <x v="7"/>
    <m/>
    <x v="25"/>
    <x v="3"/>
    <x v="13"/>
    <x v="157"/>
    <m/>
  </r>
  <r>
    <x v="1031"/>
    <n v="329380"/>
    <x v="2"/>
    <x v="0"/>
    <s v="Feature 329380: Hold Feature Review with SMEs"/>
    <x v="0"/>
    <m/>
    <x v="0"/>
    <m/>
    <s v="Unassigned"/>
    <s v="Unassigned"/>
    <x v="35"/>
    <x v="7"/>
    <m/>
    <x v="25"/>
    <x v="3"/>
    <x v="13"/>
    <x v="157"/>
    <m/>
  </r>
  <r>
    <x v="1032"/>
    <n v="329380"/>
    <x v="0"/>
    <x v="0"/>
    <s v="Feature 329380: Agile Team Test (Unit Test, Install, PCR Verification, STCD Dev &amp; Test) Part 3 of N"/>
    <x v="0"/>
    <n v="5"/>
    <x v="0"/>
    <m/>
    <s v="MUOS/Agile Teams/Cyber"/>
    <s v="Unassigned"/>
    <x v="35"/>
    <x v="7"/>
    <m/>
    <x v="25"/>
    <x v="3"/>
    <x v="13"/>
    <x v="157"/>
    <m/>
  </r>
  <r>
    <x v="1033"/>
    <n v="329380"/>
    <x v="0"/>
    <x v="0"/>
    <s v="Feature 329380: Agile Team Test (Unit Test, Install, PCR Verification, STCD Dev &amp; Test) Part 2 of N"/>
    <x v="0"/>
    <n v="5"/>
    <x v="0"/>
    <m/>
    <s v="MUOS/Agile Teams/Cyber"/>
    <s v="Unassigned"/>
    <x v="35"/>
    <x v="7"/>
    <m/>
    <x v="25"/>
    <x v="3"/>
    <x v="13"/>
    <x v="157"/>
    <m/>
  </r>
  <r>
    <x v="1034"/>
    <n v="329380"/>
    <x v="0"/>
    <x v="0"/>
    <s v="Feature 329380: Initiate CM PDO Processing for all CI's"/>
    <x v="0"/>
    <n v="1"/>
    <x v="0"/>
    <s v="#329382"/>
    <s v="MUOS/Agile Teams/Cyber"/>
    <s v="Unassigned"/>
    <x v="35"/>
    <x v="7"/>
    <m/>
    <x v="25"/>
    <x v="3"/>
    <x v="13"/>
    <x v="157"/>
    <m/>
  </r>
  <r>
    <x v="1035"/>
    <n v="329380"/>
    <x v="0"/>
    <x v="0"/>
    <s v="Feature 329380: ILS IETM Development and Integration updates part 1 of N"/>
    <x v="0"/>
    <n v="1"/>
    <x v="0"/>
    <m/>
    <s v="MUOS/Agile Teams/Cyber"/>
    <s v="Unassigned"/>
    <x v="35"/>
    <x v="7"/>
    <m/>
    <x v="25"/>
    <x v="3"/>
    <x v="13"/>
    <x v="157"/>
    <m/>
  </r>
  <r>
    <x v="1036"/>
    <n v="329380"/>
    <x v="0"/>
    <x v="0"/>
    <s v="Feature 329380: ILS IETM update"/>
    <x v="0"/>
    <n v="3"/>
    <x v="0"/>
    <s v="#329384"/>
    <s v="MUOS/ILS: IETM and Documentation (CDRLs)"/>
    <s v="Unassigned"/>
    <x v="35"/>
    <x v="7"/>
    <m/>
    <x v="25"/>
    <x v="3"/>
    <x v="13"/>
    <x v="157"/>
    <m/>
  </r>
  <r>
    <x v="1037"/>
    <n v="329380"/>
    <x v="0"/>
    <x v="0"/>
    <s v="Feature 329380: Agile Team Test (Unit Test, Install, PCR Verification, STCD Dev &amp; Test) Part 1 of N"/>
    <x v="0"/>
    <n v="2"/>
    <x v="0"/>
    <m/>
    <s v="MUOS/Agile Teams/Cyber"/>
    <s v="Unassigned"/>
    <x v="35"/>
    <x v="7"/>
    <m/>
    <x v="25"/>
    <x v="3"/>
    <x v="13"/>
    <x v="157"/>
    <m/>
  </r>
  <r>
    <x v="1038"/>
    <n v="329380"/>
    <x v="0"/>
    <x v="0"/>
    <s v="Feature 329380: IA Patching and STIGs Part 1 of N"/>
    <x v="0"/>
    <n v="5"/>
    <x v="0"/>
    <s v="#329381"/>
    <s v="MUOS/Agile Teams/Cyber"/>
    <s v="Unassigned"/>
    <x v="35"/>
    <x v="7"/>
    <m/>
    <x v="25"/>
    <x v="3"/>
    <x v="13"/>
    <x v="157"/>
    <m/>
  </r>
  <r>
    <x v="1039"/>
    <n v="329380"/>
    <x v="0"/>
    <x v="0"/>
    <s v="Feature 329380: Deployment Notes and Operator Impact Inputs Part 1 of N"/>
    <x v="0"/>
    <n v="2"/>
    <x v="0"/>
    <m/>
    <s v="MUOS/Agile Teams/Cyber"/>
    <s v="Unassigned"/>
    <x v="35"/>
    <x v="7"/>
    <m/>
    <x v="25"/>
    <x v="3"/>
    <x v="13"/>
    <x v="157"/>
    <m/>
  </r>
  <r>
    <x v="1040"/>
    <n v="329380"/>
    <x v="0"/>
    <x v="0"/>
    <s v="Feature 329380: Engineering IETM Development and Integration updates part 1 of N"/>
    <x v="0"/>
    <n v="3"/>
    <x v="0"/>
    <m/>
    <s v="MUOS/Agile Teams/Cyber"/>
    <s v="Unassigned"/>
    <x v="35"/>
    <x v="7"/>
    <m/>
    <x v="25"/>
    <x v="3"/>
    <x v="13"/>
    <x v="157"/>
    <m/>
  </r>
  <r>
    <x v="1041"/>
    <n v="329380"/>
    <x v="0"/>
    <x v="0"/>
    <s v="Feature 329380: IA Posture Assessment"/>
    <x v="0"/>
    <n v="8"/>
    <x v="0"/>
    <s v="#329386"/>
    <s v="MUOS/Agile Teams/Cyber"/>
    <s v="Unassigned"/>
    <x v="35"/>
    <x v="7"/>
    <m/>
    <x v="25"/>
    <x v="3"/>
    <x v="13"/>
    <x v="157"/>
    <m/>
  </r>
  <r>
    <x v="1042"/>
    <n v="329380"/>
    <x v="0"/>
    <x v="0"/>
    <s v="Feature 329380: Feature Demo – Customer Demo Event "/>
    <x v="0"/>
    <n v="1"/>
    <x v="0"/>
    <s v="#329383_x000a_#329385_x000a_#329387_x000a_#329388_x000a_#329392_x000a_#329393"/>
    <s v="MUOS/Agile Teams/Cyber"/>
    <s v="Unassigned"/>
    <x v="35"/>
    <x v="7"/>
    <m/>
    <x v="25"/>
    <x v="3"/>
    <x v="13"/>
    <x v="157"/>
    <m/>
  </r>
  <r>
    <x v="1043"/>
    <n v="329380"/>
    <x v="0"/>
    <x v="0"/>
    <s v="Feature 329380: IA - Define Patch/ Stig Requirements"/>
    <x v="0"/>
    <n v="2"/>
    <x v="0"/>
    <m/>
    <s v="MUOS/Agile Teams/Cyber"/>
    <s v="Unassigned"/>
    <x v="35"/>
    <x v="7"/>
    <m/>
    <x v="25"/>
    <x v="3"/>
    <x v="13"/>
    <x v="157"/>
    <m/>
  </r>
  <r>
    <x v="1044"/>
    <n v="327823"/>
    <x v="0"/>
    <x v="0"/>
    <s v="Feature 327823: IA Posture Assessment"/>
    <x v="0"/>
    <n v="8"/>
    <x v="0"/>
    <s v="#327829"/>
    <s v="MUOS/Agile Teams/Cyber"/>
    <s v="Unassigned"/>
    <x v="35"/>
    <x v="7"/>
    <m/>
    <x v="25"/>
    <x v="3"/>
    <x v="13"/>
    <x v="157"/>
    <m/>
  </r>
  <r>
    <x v="1045"/>
    <n v="325746"/>
    <x v="0"/>
    <x v="0"/>
    <s v="Feature 325746:  inf Server Audit Generation and Distribution"/>
    <x v="0"/>
    <n v="13"/>
    <x v="0"/>
    <m/>
    <s v="MUOS/Agile Teams/Cyber"/>
    <s v="Unassigned"/>
    <x v="35"/>
    <x v="7"/>
    <m/>
    <x v="25"/>
    <x v="3"/>
    <x v="13"/>
    <x v="157"/>
    <m/>
  </r>
  <r>
    <x v="1046"/>
    <n v="325746"/>
    <x v="0"/>
    <x v="0"/>
    <s v="Feature 325746:  inf Server Account Management"/>
    <x v="0"/>
    <n v="8"/>
    <x v="0"/>
    <m/>
    <s v="MUOS/Agile Teams/Cyber"/>
    <s v="Unassigned"/>
    <x v="35"/>
    <x v="7"/>
    <m/>
    <x v="25"/>
    <x v="3"/>
    <x v="13"/>
    <x v="157"/>
    <m/>
  </r>
  <r>
    <x v="1047"/>
    <n v="325746"/>
    <x v="0"/>
    <x v="0"/>
    <s v="Feature 325746:  inf Server General Configuration Updates"/>
    <x v="0"/>
    <n v="2"/>
    <x v="0"/>
    <m/>
    <s v="MUOS/Agile Teams/Cyber"/>
    <s v="Unassigned"/>
    <x v="35"/>
    <x v="7"/>
    <m/>
    <x v="25"/>
    <x v="3"/>
    <x v="13"/>
    <x v="157"/>
    <m/>
  </r>
  <r>
    <x v="1048"/>
    <n v="325746"/>
    <x v="0"/>
    <x v="0"/>
    <s v="Feature 325746:  inf Server SQL Server Audits"/>
    <x v="0"/>
    <n v="8"/>
    <x v="0"/>
    <m/>
    <s v="MUOS/Agile Teams/Cyber"/>
    <s v="Unassigned"/>
    <x v="0"/>
    <x v="0"/>
    <m/>
    <x v="25"/>
    <x v="3"/>
    <x v="13"/>
    <x v="157"/>
    <m/>
  </r>
  <r>
    <x v="1049"/>
    <n v="325746"/>
    <x v="0"/>
    <x v="0"/>
    <s v="Feature 325746:  inf Server SQL Server Database Access"/>
    <x v="0"/>
    <n v="5"/>
    <x v="0"/>
    <m/>
    <s v="MUOS/Agile Teams/Cyber"/>
    <s v="Unassigned"/>
    <x v="35"/>
    <x v="7"/>
    <m/>
    <x v="25"/>
    <x v="3"/>
    <x v="13"/>
    <x v="157"/>
    <m/>
  </r>
  <r>
    <x v="1050"/>
    <n v="325746"/>
    <x v="0"/>
    <x v="0"/>
    <s v="Feature 325746:  inf Server SSL Certificates"/>
    <x v="0"/>
    <n v="8"/>
    <x v="0"/>
    <m/>
    <s v="MUOS/Agile Teams/Cyber"/>
    <s v="Unassigned"/>
    <x v="35"/>
    <x v="7"/>
    <m/>
    <x v="25"/>
    <x v="3"/>
    <x v="13"/>
    <x v="157"/>
    <m/>
  </r>
  <r>
    <x v="1051"/>
    <n v="325746"/>
    <x v="0"/>
    <x v="0"/>
    <s v="Feature 325746:  inf Server Remove Unnecessary Services, etc."/>
    <x v="0"/>
    <n v="2"/>
    <x v="0"/>
    <m/>
    <s v="MUOS/Agile Teams/Cyber"/>
    <s v="Unassigned"/>
    <x v="35"/>
    <x v="7"/>
    <m/>
    <x v="25"/>
    <x v="3"/>
    <x v="13"/>
    <x v="157"/>
    <m/>
  </r>
  <r>
    <x v="1052"/>
    <n v="325746"/>
    <x v="0"/>
    <x v="0"/>
    <s v="Feature 325746:  inf Server Named Pipes Configuration"/>
    <x v="0"/>
    <n v="3"/>
    <x v="0"/>
    <m/>
    <s v="MUOS/Agile Teams/Cyber"/>
    <s v="Unassigned"/>
    <x v="35"/>
    <x v="7"/>
    <m/>
    <x v="25"/>
    <x v="3"/>
    <x v="13"/>
    <x v="157"/>
    <m/>
  </r>
  <r>
    <x v="1053"/>
    <n v="325746"/>
    <x v="0"/>
    <x v="0"/>
    <s v="Feature 325746:  inf Server Role Based Access Control"/>
    <x v="0"/>
    <n v="5"/>
    <x v="0"/>
    <m/>
    <s v="MUOS/Agile Teams/Cyber"/>
    <s v="Unassigned"/>
    <x v="35"/>
    <x v="7"/>
    <m/>
    <x v="25"/>
    <x v="3"/>
    <x v="13"/>
    <x v="157"/>
    <m/>
  </r>
  <r>
    <x v="1054"/>
    <n v="325746"/>
    <x v="0"/>
    <x v="0"/>
    <s v="Feature 325746:  inf Server Password Complexity Fixes"/>
    <x v="0"/>
    <n v="3"/>
    <x v="0"/>
    <m/>
    <s v="MUOS/Agile Teams/Cyber"/>
    <s v="Unassigned"/>
    <x v="35"/>
    <x v="7"/>
    <m/>
    <x v="25"/>
    <x v="3"/>
    <x v="13"/>
    <x v="157"/>
    <m/>
  </r>
  <r>
    <x v="1055"/>
    <n v="325746"/>
    <x v="2"/>
    <x v="0"/>
    <s v="Feature 325746: Hold Feature Review with SMEs"/>
    <x v="0"/>
    <m/>
    <x v="0"/>
    <m/>
    <s v="Unassigned"/>
    <s v="Unassigned"/>
    <x v="35"/>
    <x v="7"/>
    <m/>
    <x v="25"/>
    <x v="3"/>
    <x v="13"/>
    <x v="157"/>
    <m/>
  </r>
  <r>
    <x v="1056"/>
    <n v="325746"/>
    <x v="0"/>
    <x v="0"/>
    <s v="Feature 325746: Agile Team Test (Unit Test, Install, PCR Verification, STCD Dev &amp; Test) Part 3 of N"/>
    <x v="0"/>
    <n v="5"/>
    <x v="0"/>
    <m/>
    <s v="MUOS/Agile Teams/Cyber"/>
    <s v="Unassigned"/>
    <x v="35"/>
    <x v="7"/>
    <m/>
    <x v="25"/>
    <x v="3"/>
    <x v="13"/>
    <x v="157"/>
    <m/>
  </r>
  <r>
    <x v="1057"/>
    <n v="325746"/>
    <x v="0"/>
    <x v="0"/>
    <s v="Feature 325746: Agile Team Test (Unit Test, Install, PCR Verification, STCD Dev &amp; Test) Part 2 of N"/>
    <x v="0"/>
    <n v="5"/>
    <x v="0"/>
    <m/>
    <s v="MUOS/Agile Teams/Cyber"/>
    <s v="Unassigned"/>
    <x v="35"/>
    <x v="7"/>
    <m/>
    <x v="25"/>
    <x v="3"/>
    <x v="13"/>
    <x v="157"/>
    <m/>
  </r>
  <r>
    <x v="1058"/>
    <n v="325746"/>
    <x v="0"/>
    <x v="0"/>
    <s v="Feature 325746: Initiate CM PDO Processing for all CI's"/>
    <x v="0"/>
    <n v="1"/>
    <x v="0"/>
    <s v="#325748"/>
    <s v="MUOS/Agile Teams/Cyber"/>
    <s v="Unassigned"/>
    <x v="35"/>
    <x v="7"/>
    <m/>
    <x v="25"/>
    <x v="3"/>
    <x v="13"/>
    <x v="157"/>
    <m/>
  </r>
  <r>
    <x v="1059"/>
    <n v="325746"/>
    <x v="0"/>
    <x v="0"/>
    <s v="Feature 325746: ILS IETM Development and Integration updates part 1 of N"/>
    <x v="0"/>
    <n v="1"/>
    <x v="0"/>
    <m/>
    <s v="MUOS/Agile Teams/Cyber"/>
    <s v="Unassigned"/>
    <x v="35"/>
    <x v="7"/>
    <m/>
    <x v="25"/>
    <x v="3"/>
    <x v="13"/>
    <x v="157"/>
    <m/>
  </r>
  <r>
    <x v="1060"/>
    <n v="325746"/>
    <x v="0"/>
    <x v="0"/>
    <s v="Feature 325746: IETM update for Remediation of IA Findings for Windows 2012 based inf101-wh-nma server device (2Q 2018)"/>
    <x v="0"/>
    <n v="3"/>
    <x v="0"/>
    <s v="#325750"/>
    <s v="MUOS/Agile Teams/Falcons"/>
    <s v="Unassigned"/>
    <x v="35"/>
    <x v="7"/>
    <m/>
    <x v="25"/>
    <x v="3"/>
    <x v="13"/>
    <x v="157"/>
    <m/>
  </r>
  <r>
    <x v="1061"/>
    <n v="325746"/>
    <x v="0"/>
    <x v="0"/>
    <s v="Feature 325746: Agile Team Test (Unit Test, Install, PCR Verification, STCD Dev &amp; Test) Part 1 of N"/>
    <x v="0"/>
    <n v="2"/>
    <x v="0"/>
    <m/>
    <s v="MUOS/Agile Teams/Cyber"/>
    <s v="Unassigned"/>
    <x v="35"/>
    <x v="7"/>
    <m/>
    <x v="25"/>
    <x v="3"/>
    <x v="13"/>
    <x v="157"/>
    <m/>
  </r>
  <r>
    <x v="1062"/>
    <n v="325746"/>
    <x v="0"/>
    <x v="0"/>
    <s v="Feature 325746: IA Patching and STIGs Part 1 of N"/>
    <x v="0"/>
    <n v="5"/>
    <x v="0"/>
    <s v="#325747"/>
    <s v="MUOS/Agile Teams/Cyber"/>
    <s v="Unassigned"/>
    <x v="35"/>
    <x v="7"/>
    <m/>
    <x v="25"/>
    <x v="3"/>
    <x v="13"/>
    <x v="157"/>
    <m/>
  </r>
  <r>
    <x v="1063"/>
    <n v="325746"/>
    <x v="0"/>
    <x v="0"/>
    <s v="Feature 325746: Deployment Notes and Operator Impact Inputs Part 1 of N"/>
    <x v="0"/>
    <n v="2"/>
    <x v="0"/>
    <m/>
    <s v="MUOS/Agile Teams/Cyber"/>
    <s v="Unassigned"/>
    <x v="35"/>
    <x v="7"/>
    <m/>
    <x v="25"/>
    <x v="3"/>
    <x v="13"/>
    <x v="157"/>
    <m/>
  </r>
  <r>
    <x v="1064"/>
    <n v="325746"/>
    <x v="0"/>
    <x v="0"/>
    <s v="Feature 325746: Engineering IETM Development and Integration updates part 1 of N"/>
    <x v="0"/>
    <n v="3"/>
    <x v="0"/>
    <m/>
    <s v="MUOS/Agile Teams/Cyber"/>
    <s v="Unassigned"/>
    <x v="35"/>
    <x v="7"/>
    <m/>
    <x v="25"/>
    <x v="3"/>
    <x v="13"/>
    <x v="157"/>
    <m/>
  </r>
  <r>
    <x v="1065"/>
    <n v="325746"/>
    <x v="0"/>
    <x v="0"/>
    <s v="Feature 325746: IA Posture Assessment"/>
    <x v="0"/>
    <n v="8"/>
    <x v="0"/>
    <s v="#325752"/>
    <s v="MUOS/Agile Teams/Cyber"/>
    <s v="Unassigned"/>
    <x v="35"/>
    <x v="7"/>
    <m/>
    <x v="25"/>
    <x v="3"/>
    <x v="13"/>
    <x v="157"/>
    <m/>
  </r>
  <r>
    <x v="1066"/>
    <n v="325746"/>
    <x v="0"/>
    <x v="0"/>
    <s v="Feature 325746: Feature Demo – Customer Demo Event "/>
    <x v="0"/>
    <n v="1"/>
    <x v="0"/>
    <s v="#325749_x000a_#325751_x000a_#325753_x000a_#325754_x000a_#325758_x000a_#325759"/>
    <s v="MUOS/Agile Teams/Cyber"/>
    <s v="Unassigned"/>
    <x v="35"/>
    <x v="7"/>
    <m/>
    <x v="25"/>
    <x v="3"/>
    <x v="13"/>
    <x v="157"/>
    <m/>
  </r>
  <r>
    <x v="1067"/>
    <n v="325746"/>
    <x v="0"/>
    <x v="0"/>
    <s v="Feature 325746: IA - Define Patch/ Stig Requirements"/>
    <x v="0"/>
    <n v="2"/>
    <x v="0"/>
    <m/>
    <s v="MUOS/Agile Teams/Cyber"/>
    <s v="Unassigned"/>
    <x v="35"/>
    <x v="7"/>
    <m/>
    <x v="25"/>
    <x v="3"/>
    <x v="13"/>
    <x v="157"/>
    <m/>
  </r>
  <r>
    <x v="1068"/>
    <n v="325227"/>
    <x v="0"/>
    <x v="0"/>
    <s v="Feature 325227: FM Servers - SNMP configuration fix"/>
    <x v="0"/>
    <n v="13"/>
    <x v="0"/>
    <m/>
    <s v="MUOS/Agile Teams/Cyber"/>
    <s v="Unassigned"/>
    <x v="35"/>
    <x v="7"/>
    <m/>
    <x v="25"/>
    <x v="3"/>
    <x v="13"/>
    <x v="157"/>
    <m/>
  </r>
  <r>
    <x v="1069"/>
    <n v="325227"/>
    <x v="0"/>
    <x v="0"/>
    <s v="Feature 325227: FM Servers - SSL Certificates"/>
    <x v="0"/>
    <n v="8"/>
    <x v="0"/>
    <m/>
    <s v="MUOS/Agile Teams/Cyber"/>
    <s v="Unassigned"/>
    <x v="35"/>
    <x v="7"/>
    <m/>
    <x v="25"/>
    <x v="3"/>
    <x v="13"/>
    <x v="157"/>
    <m/>
  </r>
  <r>
    <x v="1070"/>
    <n v="325227"/>
    <x v="0"/>
    <x v="0"/>
    <s v="Feature 325227: FM Servers - Password Complexity"/>
    <x v="0"/>
    <n v="13"/>
    <x v="0"/>
    <m/>
    <s v="MUOS/Agile Teams/Cyber"/>
    <s v="Unassigned"/>
    <x v="35"/>
    <x v="7"/>
    <m/>
    <x v="25"/>
    <x v="3"/>
    <x v="13"/>
    <x v="157"/>
    <m/>
  </r>
  <r>
    <x v="1071"/>
    <n v="325227"/>
    <x v="0"/>
    <x v="0"/>
    <s v="Feature 325227: FM Servers - Access control (Role based, FIPS 140-2 algorithms)"/>
    <x v="0"/>
    <n v="13"/>
    <x v="0"/>
    <m/>
    <s v="MUOS/Agile Teams/Cyber"/>
    <s v="Unassigned"/>
    <x v="35"/>
    <x v="7"/>
    <m/>
    <x v="25"/>
    <x v="3"/>
    <x v="13"/>
    <x v="157"/>
    <m/>
  </r>
  <r>
    <x v="1072"/>
    <n v="325227"/>
    <x v="0"/>
    <x v="0"/>
    <s v="Feature 325227: FM Servers - Audit generation and distribution"/>
    <x v="0"/>
    <n v="8"/>
    <x v="0"/>
    <m/>
    <s v="MUOS/Agile Teams/Cyber"/>
    <s v="Unassigned"/>
    <x v="35"/>
    <x v="7"/>
    <m/>
    <x v="25"/>
    <x v="3"/>
    <x v="13"/>
    <x v="157"/>
    <m/>
  </r>
  <r>
    <x v="1073"/>
    <n v="325227"/>
    <x v="0"/>
    <x v="0"/>
    <s v="Feature 325227: FM Servers - Remove or disable unneeded services/apps"/>
    <x v="0"/>
    <n v="13"/>
    <x v="0"/>
    <m/>
    <s v="MUOS/Agile Teams/Cyber"/>
    <s v="Unassigned"/>
    <x v="35"/>
    <x v="7"/>
    <m/>
    <x v="25"/>
    <x v="3"/>
    <x v="13"/>
    <x v="157"/>
    <m/>
  </r>
  <r>
    <x v="1074"/>
    <n v="325227"/>
    <x v="0"/>
    <x v="0"/>
    <s v="Feature 325227: FM Servers - Login banner is incorrect"/>
    <x v="0"/>
    <n v="1"/>
    <x v="0"/>
    <m/>
    <s v="MUOS/Agile Teams/Cyber"/>
    <s v="Unassigned"/>
    <x v="35"/>
    <x v="7"/>
    <m/>
    <x v="25"/>
    <x v="3"/>
    <x v="13"/>
    <x v="157"/>
    <m/>
  </r>
  <r>
    <x v="1075"/>
    <n v="325227"/>
    <x v="0"/>
    <x v="0"/>
    <s v="Feature 325227: FM Servers - General Configuration Settings to resolve Cyber RMF Findings - part 1"/>
    <x v="0"/>
    <n v="8"/>
    <x v="0"/>
    <m/>
    <s v="MUOS/Agile Teams/Cyber"/>
    <s v="Unassigned"/>
    <x v="35"/>
    <x v="7"/>
    <m/>
    <x v="25"/>
    <x v="3"/>
    <x v="13"/>
    <x v="157"/>
    <m/>
  </r>
  <r>
    <x v="1076"/>
    <n v="325227"/>
    <x v="4"/>
    <x v="9"/>
    <s v="ATO Maintenance: FM Servers - Account Management Improvements"/>
    <x v="0"/>
    <m/>
    <x v="0"/>
    <m/>
    <s v="MUOS/Agile Teams/Cyber"/>
    <s v="Stymfal, Greg T"/>
    <x v="35"/>
    <x v="7"/>
    <m/>
    <x v="25"/>
    <x v="3"/>
    <x v="13"/>
    <x v="157"/>
    <m/>
  </r>
  <r>
    <x v="1077"/>
    <n v="325227"/>
    <x v="0"/>
    <x v="0"/>
    <s v="Feature 325227: FM Servers - Fix Boot Device"/>
    <x v="0"/>
    <n v="8"/>
    <x v="0"/>
    <m/>
    <s v="MUOS/Agile Teams/Cyber"/>
    <s v="Unassigned"/>
    <x v="35"/>
    <x v="7"/>
    <m/>
    <x v="25"/>
    <x v="3"/>
    <x v="13"/>
    <x v="157"/>
    <m/>
  </r>
  <r>
    <x v="1078"/>
    <n v="325227"/>
    <x v="0"/>
    <x v="0"/>
    <s v="Feature 325227: FM Servers - Fix run control scripts world execution privileges"/>
    <x v="0"/>
    <n v="13"/>
    <x v="0"/>
    <m/>
    <s v="MUOS/Agile Teams/Cyber"/>
    <s v="Unassigned"/>
    <x v="35"/>
    <x v="7"/>
    <m/>
    <x v="25"/>
    <x v="3"/>
    <x v="13"/>
    <x v="157"/>
    <m/>
  </r>
  <r>
    <x v="1079"/>
    <n v="325227"/>
    <x v="0"/>
    <x v="0"/>
    <s v="Feature 325227: FM Servers - Remove .rhosts, etc."/>
    <x v="0"/>
    <n v="8"/>
    <x v="0"/>
    <m/>
    <s v="MUOS/Agile Teams/Cyber"/>
    <s v="Unassigned"/>
    <x v="35"/>
    <x v="7"/>
    <m/>
    <x v="25"/>
    <x v="3"/>
    <x v="13"/>
    <x v="157"/>
    <m/>
  </r>
  <r>
    <x v="1080"/>
    <n v="325227"/>
    <x v="0"/>
    <x v="0"/>
    <s v="Feature 325227: FM Servers - Remove insecure telnet"/>
    <x v="0"/>
    <n v="3"/>
    <x v="0"/>
    <m/>
    <s v="MUOS/Agile Teams/Cyber"/>
    <s v="Unassigned"/>
    <x v="35"/>
    <x v="7"/>
    <m/>
    <x v="25"/>
    <x v="3"/>
    <x v="13"/>
    <x v="157"/>
    <m/>
  </r>
  <r>
    <x v="1081"/>
    <n v="325126"/>
    <x v="0"/>
    <x v="0"/>
    <s v="Feature 325126:  inf Server Audit Generation and Distribution"/>
    <x v="0"/>
    <n v="13"/>
    <x v="0"/>
    <m/>
    <s v="MUOS/Agile Teams/Cyber"/>
    <s v="Unassigned"/>
    <x v="35"/>
    <x v="7"/>
    <m/>
    <x v="25"/>
    <x v="3"/>
    <x v="13"/>
    <x v="157"/>
    <m/>
  </r>
  <r>
    <x v="1082"/>
    <n v="325227"/>
    <x v="0"/>
    <x v="0"/>
    <s v="Feature 325227: FM Servers - Remove insecure .rsh shell"/>
    <x v="0"/>
    <n v="3"/>
    <x v="0"/>
    <m/>
    <s v="MUOS/Agile Teams/Cyber"/>
    <s v="Unassigned"/>
    <x v="35"/>
    <x v="7"/>
    <m/>
    <x v="25"/>
    <x v="3"/>
    <x v="13"/>
    <x v="157"/>
    <m/>
  </r>
  <r>
    <x v="1083"/>
    <n v="325126"/>
    <x v="0"/>
    <x v="0"/>
    <s v="Feature 325126:  Develop Replacement for Backup/Archive Client on inf Servers"/>
    <x v="0"/>
    <n v="13"/>
    <x v="0"/>
    <m/>
    <s v="MUOS/Agile Teams/Cyber"/>
    <s v="Unassigned"/>
    <x v="35"/>
    <x v="7"/>
    <m/>
    <x v="25"/>
    <x v="3"/>
    <x v="13"/>
    <x v="157"/>
    <m/>
  </r>
  <r>
    <x v="1084"/>
    <n v="325126"/>
    <x v="0"/>
    <x v="0"/>
    <s v="Feature 325126:  Research Suitable Replacement for Current Backup/Archive Client"/>
    <x v="0"/>
    <n v="5"/>
    <x v="0"/>
    <m/>
    <s v="MUOS/Agile Teams/Cyber"/>
    <s v="Unassigned"/>
    <x v="35"/>
    <x v="7"/>
    <m/>
    <x v="25"/>
    <x v="3"/>
    <x v="13"/>
    <x v="157"/>
    <m/>
  </r>
  <r>
    <x v="1085"/>
    <n v="325227"/>
    <x v="2"/>
    <x v="0"/>
    <s v="Hold Feature Review with SMEs"/>
    <x v="0"/>
    <m/>
    <x v="0"/>
    <m/>
    <s v="Unassigned"/>
    <s v="Unassigned"/>
    <x v="35"/>
    <x v="7"/>
    <m/>
    <x v="25"/>
    <x v="3"/>
    <x v="13"/>
    <x v="157"/>
    <m/>
  </r>
  <r>
    <x v="1086"/>
    <n v="325227"/>
    <x v="0"/>
    <x v="0"/>
    <s v="Feature 325227: Agile Team Test (Unit Test, Install, PCR Verification, STCD Dev &amp; Test) Part 3 of N"/>
    <x v="0"/>
    <n v="5"/>
    <x v="0"/>
    <m/>
    <s v="MUOS/Agile Teams/Cyber"/>
    <s v="Unassigned"/>
    <x v="35"/>
    <x v="7"/>
    <m/>
    <x v="25"/>
    <x v="3"/>
    <x v="13"/>
    <x v="157"/>
    <m/>
  </r>
  <r>
    <x v="1087"/>
    <n v="325227"/>
    <x v="0"/>
    <x v="0"/>
    <s v="Feature 325227: Agile Team Test (Unit Test, Install, PCR Verification, STCD Dev &amp; Test) Part 2 of N"/>
    <x v="0"/>
    <n v="5"/>
    <x v="0"/>
    <m/>
    <s v="MUOS/Agile Teams/Cyber"/>
    <s v="Unassigned"/>
    <x v="35"/>
    <x v="7"/>
    <m/>
    <x v="25"/>
    <x v="3"/>
    <x v="13"/>
    <x v="157"/>
    <m/>
  </r>
  <r>
    <x v="1088"/>
    <n v="325227"/>
    <x v="0"/>
    <x v="0"/>
    <s v="Feature 325227: Initiate CM PDO Processing for all CI's"/>
    <x v="0"/>
    <n v="1"/>
    <x v="0"/>
    <s v="#325229"/>
    <s v="MUOS/Agile Teams/Cyber"/>
    <s v="Unassigned"/>
    <x v="35"/>
    <x v="7"/>
    <m/>
    <x v="25"/>
    <x v="3"/>
    <x v="13"/>
    <x v="157"/>
    <m/>
  </r>
  <r>
    <x v="1089"/>
    <n v="325227"/>
    <x v="0"/>
    <x v="0"/>
    <s v="Feature 325227: ILS IETM Development and Integration updates part 1 of N"/>
    <x v="0"/>
    <n v="1"/>
    <x v="0"/>
    <m/>
    <s v="MUOS/Agile Teams/Cyber"/>
    <s v="Unassigned"/>
    <x v="35"/>
    <x v="7"/>
    <m/>
    <x v="25"/>
    <x v="3"/>
    <x v="13"/>
    <x v="157"/>
    <m/>
  </r>
  <r>
    <x v="1090"/>
    <n v="325227"/>
    <x v="0"/>
    <x v="0"/>
    <s v="Feature 325227: IETM update for Remediation of IA Findings for NMS-FM Solaris 9 servers (2Q 2018)"/>
    <x v="0"/>
    <n v="3"/>
    <x v="0"/>
    <s v="#325231"/>
    <s v="MUOS/Agile Teams/Falcons"/>
    <s v="Unassigned"/>
    <x v="35"/>
    <x v="7"/>
    <m/>
    <x v="25"/>
    <x v="3"/>
    <x v="13"/>
    <x v="157"/>
    <m/>
  </r>
  <r>
    <x v="1091"/>
    <n v="325227"/>
    <x v="0"/>
    <x v="0"/>
    <s v="Feature 325227: Agile Team Test (Unit Test, Install, PCR Verification, STCD Dev &amp; Test) Part 1 of N"/>
    <x v="0"/>
    <n v="2"/>
    <x v="0"/>
    <m/>
    <s v="MUOS/Agile Teams/Cyber"/>
    <s v="Unassigned"/>
    <x v="35"/>
    <x v="7"/>
    <m/>
    <x v="25"/>
    <x v="3"/>
    <x v="13"/>
    <x v="157"/>
    <m/>
  </r>
  <r>
    <x v="1092"/>
    <n v="325227"/>
    <x v="0"/>
    <x v="0"/>
    <s v="Feature 325227: IA Patching and STIGs Part 1 of N"/>
    <x v="0"/>
    <n v="5"/>
    <x v="0"/>
    <s v="#325228"/>
    <s v="MUOS/Agile Teams/Cyber"/>
    <s v="Unassigned"/>
    <x v="35"/>
    <x v="7"/>
    <m/>
    <x v="25"/>
    <x v="3"/>
    <x v="13"/>
    <x v="157"/>
    <m/>
  </r>
  <r>
    <x v="1093"/>
    <n v="325227"/>
    <x v="0"/>
    <x v="0"/>
    <s v="Feature 325227: Deployment Notes and Operator Impact Inputs Part 1 of N"/>
    <x v="0"/>
    <n v="2"/>
    <x v="0"/>
    <m/>
    <s v="MUOS/Agile Teams/Cyber"/>
    <s v="Unassigned"/>
    <x v="35"/>
    <x v="7"/>
    <m/>
    <x v="25"/>
    <x v="3"/>
    <x v="13"/>
    <x v="157"/>
    <m/>
  </r>
  <r>
    <x v="1094"/>
    <n v="325227"/>
    <x v="0"/>
    <x v="0"/>
    <s v="Feature 325227: Engineering IETM Development and Integration updates part 1 of N"/>
    <x v="0"/>
    <n v="3"/>
    <x v="0"/>
    <m/>
    <s v="MUOS/Agile Teams/Cyber"/>
    <s v="Unassigned"/>
    <x v="35"/>
    <x v="7"/>
    <m/>
    <x v="25"/>
    <x v="3"/>
    <x v="13"/>
    <x v="157"/>
    <m/>
  </r>
  <r>
    <x v="1095"/>
    <n v="325227"/>
    <x v="0"/>
    <x v="0"/>
    <s v="Feature 325227: IA Posture Assessment"/>
    <x v="0"/>
    <n v="8"/>
    <x v="0"/>
    <s v="#325233"/>
    <s v="MUOS/Agile Teams/Cyber"/>
    <s v="Unassigned"/>
    <x v="35"/>
    <x v="7"/>
    <m/>
    <x v="25"/>
    <x v="3"/>
    <x v="13"/>
    <x v="157"/>
    <m/>
  </r>
  <r>
    <x v="1096"/>
    <n v="325227"/>
    <x v="0"/>
    <x v="0"/>
    <s v="Feature Demo – Customer Demo Event "/>
    <x v="0"/>
    <n v="1"/>
    <x v="0"/>
    <s v="#325230_x000a_#325232_x000a_#325234_x000a_#325235_x000a_#325239_x000a_#325240"/>
    <s v="MUOS/Agile Teams/Cyber"/>
    <s v="Unassigned"/>
    <x v="35"/>
    <x v="7"/>
    <m/>
    <x v="25"/>
    <x v="3"/>
    <x v="13"/>
    <x v="157"/>
    <m/>
  </r>
  <r>
    <x v="1097"/>
    <n v="325227"/>
    <x v="0"/>
    <x v="0"/>
    <s v="Feature 325227: IA - Define Patch/ Stig Requirements"/>
    <x v="0"/>
    <n v="2"/>
    <x v="0"/>
    <m/>
    <s v="MUOS/Agile Teams/Cyber"/>
    <s v="Unassigned"/>
    <x v="35"/>
    <x v="7"/>
    <m/>
    <x v="25"/>
    <x v="3"/>
    <x v="13"/>
    <x v="157"/>
    <m/>
  </r>
  <r>
    <x v="1098"/>
    <n v="325126"/>
    <x v="0"/>
    <x v="0"/>
    <s v="Feature 325126:  inf Server Account Management"/>
    <x v="0"/>
    <n v="8"/>
    <x v="0"/>
    <m/>
    <s v="MUOS/Agile Teams/Cyber"/>
    <s v="Unassigned"/>
    <x v="35"/>
    <x v="7"/>
    <m/>
    <x v="25"/>
    <x v="3"/>
    <x v="13"/>
    <x v="157"/>
    <m/>
  </r>
  <r>
    <x v="1099"/>
    <n v="325126"/>
    <x v="0"/>
    <x v="0"/>
    <s v="Feature 325126:  inf Server General Configuration Updates"/>
    <x v="0"/>
    <n v="2"/>
    <x v="0"/>
    <m/>
    <s v="MUOS/Agile Teams/Cyber"/>
    <s v="Unassigned"/>
    <x v="35"/>
    <x v="7"/>
    <m/>
    <x v="25"/>
    <x v="3"/>
    <x v="13"/>
    <x v="157"/>
    <m/>
  </r>
  <r>
    <x v="1100"/>
    <n v="325142"/>
    <x v="0"/>
    <x v="0"/>
    <s v="Feature 325142: GIS and MAS Servers - Remove unused software / disable unused ports"/>
    <x v="0"/>
    <n v="5"/>
    <x v="0"/>
    <m/>
    <s v="MUOS/Agile Teams/Cyber"/>
    <s v="Unassigned"/>
    <x v="35"/>
    <x v="7"/>
    <m/>
    <x v="25"/>
    <x v="3"/>
    <x v="13"/>
    <x v="157"/>
    <m/>
  </r>
  <r>
    <x v="1101"/>
    <n v="325142"/>
    <x v="0"/>
    <x v="0"/>
    <s v="Feature 325142: GIS and MAS Servers - Remove embedded authentication data"/>
    <x v="0"/>
    <n v="8"/>
    <x v="0"/>
    <m/>
    <s v="MUOS/Agile Teams/Cyber"/>
    <s v="Unassigned"/>
    <x v="35"/>
    <x v="7"/>
    <m/>
    <x v="25"/>
    <x v="3"/>
    <x v="13"/>
    <x v="157"/>
    <m/>
  </r>
  <r>
    <x v="1102"/>
    <n v="325126"/>
    <x v="0"/>
    <x v="0"/>
    <s v="Feature 325126:  inf Server SQL Server Audits"/>
    <x v="0"/>
    <n v="8"/>
    <x v="0"/>
    <m/>
    <s v="MUOS/Agile Teams/Cyber"/>
    <s v="Unassigned"/>
    <x v="35"/>
    <x v="7"/>
    <m/>
    <x v="25"/>
    <x v="3"/>
    <x v="13"/>
    <x v="157"/>
    <m/>
  </r>
  <r>
    <x v="1103"/>
    <n v="325126"/>
    <x v="0"/>
    <x v="0"/>
    <s v="Feature 325126:  inf Server SQL Server Database Access"/>
    <x v="0"/>
    <n v="5"/>
    <x v="0"/>
    <m/>
    <s v="MUOS/Agile Teams/Cyber"/>
    <s v="Unassigned"/>
    <x v="35"/>
    <x v="7"/>
    <m/>
    <x v="25"/>
    <x v="3"/>
    <x v="13"/>
    <x v="157"/>
    <m/>
  </r>
  <r>
    <x v="1104"/>
    <n v="325142"/>
    <x v="0"/>
    <x v="0"/>
    <s v="Feature 325142: GIS and MAS Servers - General Configuration Settings"/>
    <x v="0"/>
    <n v="8"/>
    <x v="0"/>
    <m/>
    <s v="MUOS/Agile Teams/Cyber"/>
    <s v="Unassigned"/>
    <x v="35"/>
    <x v="7"/>
    <m/>
    <x v="25"/>
    <x v="3"/>
    <x v="13"/>
    <x v="157"/>
    <m/>
  </r>
  <r>
    <x v="1105"/>
    <n v="325126"/>
    <x v="0"/>
    <x v="0"/>
    <s v="Feature 325126:  inf Server SSL Certificates"/>
    <x v="0"/>
    <n v="8"/>
    <x v="0"/>
    <m/>
    <s v="MUOS/Agile Teams/Cyber"/>
    <s v="Unassigned"/>
    <x v="35"/>
    <x v="7"/>
    <m/>
    <x v="25"/>
    <x v="3"/>
    <x v="13"/>
    <x v="157"/>
    <m/>
  </r>
  <r>
    <x v="1106"/>
    <n v="325126"/>
    <x v="0"/>
    <x v="0"/>
    <s v="Feature 325126:  inf Server Remove Unnecessary Services, etc."/>
    <x v="0"/>
    <n v="2"/>
    <x v="0"/>
    <m/>
    <s v="MUOS/Agile Teams/Cyber"/>
    <s v="Unassigned"/>
    <x v="35"/>
    <x v="7"/>
    <m/>
    <x v="25"/>
    <x v="3"/>
    <x v="13"/>
    <x v="157"/>
    <m/>
  </r>
  <r>
    <x v="1107"/>
    <n v="325142"/>
    <x v="0"/>
    <x v="0"/>
    <s v="Feature 325142: GIS and MAS Servers - Audit Generation and Distribution"/>
    <x v="0"/>
    <n v="8"/>
    <x v="0"/>
    <m/>
    <s v="MUOS/Agile Teams/Cyber"/>
    <s v="Unassigned"/>
    <x v="35"/>
    <x v="7"/>
    <m/>
    <x v="25"/>
    <x v="3"/>
    <x v="13"/>
    <x v="157"/>
    <m/>
  </r>
  <r>
    <x v="1108"/>
    <n v="325126"/>
    <x v="0"/>
    <x v="0"/>
    <s v="Feature 325126:  inf Server Named Pipes Configuration"/>
    <x v="0"/>
    <n v="3"/>
    <x v="0"/>
    <m/>
    <s v="MUOS/Agile Teams/Cyber"/>
    <s v="Unassigned"/>
    <x v="35"/>
    <x v="7"/>
    <m/>
    <x v="25"/>
    <x v="3"/>
    <x v="13"/>
    <x v="157"/>
    <m/>
  </r>
  <r>
    <x v="1109"/>
    <n v="325126"/>
    <x v="0"/>
    <x v="0"/>
    <s v="Feature 325126:  inf Server Role Based Access Control"/>
    <x v="0"/>
    <n v="5"/>
    <x v="0"/>
    <m/>
    <s v="MUOS/Agile Teams/Cyber"/>
    <s v="Unassigned"/>
    <x v="35"/>
    <x v="7"/>
    <m/>
    <x v="25"/>
    <x v="3"/>
    <x v="13"/>
    <x v="157"/>
    <m/>
  </r>
  <r>
    <x v="1110"/>
    <n v="325126"/>
    <x v="0"/>
    <x v="0"/>
    <s v="Feature 325126:  inf Server Password Complexity Fixes"/>
    <x v="0"/>
    <n v="3"/>
    <x v="0"/>
    <m/>
    <s v="MUOS/Agile Teams/Cyber"/>
    <s v="Unassigned"/>
    <x v="35"/>
    <x v="7"/>
    <m/>
    <x v="25"/>
    <x v="3"/>
    <x v="13"/>
    <x v="157"/>
    <m/>
  </r>
  <r>
    <x v="1111"/>
    <n v="325142"/>
    <x v="2"/>
    <x v="0"/>
    <s v="Hold Feature Review with SMEs"/>
    <x v="0"/>
    <m/>
    <x v="0"/>
    <m/>
    <s v="Unassigned"/>
    <s v="Unassigned"/>
    <x v="35"/>
    <x v="7"/>
    <m/>
    <x v="25"/>
    <x v="3"/>
    <x v="13"/>
    <x v="157"/>
    <m/>
  </r>
  <r>
    <x v="1112"/>
    <n v="325142"/>
    <x v="0"/>
    <x v="0"/>
    <s v="Feature 325142: Agile Team Test (Unit Test, Install, PCR Verification, STCD Dev &amp; Test) Part 3 of N"/>
    <x v="0"/>
    <n v="5"/>
    <x v="0"/>
    <m/>
    <s v="MUOS/Agile Teams/Cyber"/>
    <s v="Unassigned"/>
    <x v="35"/>
    <x v="7"/>
    <m/>
    <x v="25"/>
    <x v="3"/>
    <x v="13"/>
    <x v="157"/>
    <m/>
  </r>
  <r>
    <x v="1113"/>
    <n v="325142"/>
    <x v="0"/>
    <x v="0"/>
    <s v="Feature 325142: Agile Team Test (Unit Test, Install, PCR Verification, STCD Dev &amp; Test) Part 2 of N"/>
    <x v="0"/>
    <n v="5"/>
    <x v="0"/>
    <m/>
    <s v="MUOS/Agile Teams/Cyber"/>
    <s v="Unassigned"/>
    <x v="35"/>
    <x v="7"/>
    <m/>
    <x v="25"/>
    <x v="3"/>
    <x v="13"/>
    <x v="157"/>
    <m/>
  </r>
  <r>
    <x v="1114"/>
    <n v="325142"/>
    <x v="0"/>
    <x v="0"/>
    <s v="Feature 325142: Initiate CM PDO Processing for all CI's"/>
    <x v="0"/>
    <n v="1"/>
    <x v="0"/>
    <s v="#325144"/>
    <s v="MUOS/Agile Teams/Cyber"/>
    <s v="Unassigned"/>
    <x v="35"/>
    <x v="7"/>
    <m/>
    <x v="25"/>
    <x v="3"/>
    <x v="13"/>
    <x v="157"/>
    <m/>
  </r>
  <r>
    <x v="1115"/>
    <n v="325142"/>
    <x v="0"/>
    <x v="0"/>
    <s v="Feature 325142: ILS IETM Development and Integration updates part 1 of N"/>
    <x v="0"/>
    <n v="1"/>
    <x v="0"/>
    <m/>
    <s v="MUOS/Agile Teams/Cyber"/>
    <s v="Unassigned"/>
    <x v="35"/>
    <x v="7"/>
    <m/>
    <x v="25"/>
    <x v="3"/>
    <x v="13"/>
    <x v="157"/>
    <m/>
  </r>
  <r>
    <x v="1116"/>
    <n v="325142"/>
    <x v="0"/>
    <x v="0"/>
    <s v="Feature 325142: IETM update for Remediation of IA Findings for GIS/MAS Solaris 9 servers (2Q 2018)"/>
    <x v="0"/>
    <n v="3"/>
    <x v="0"/>
    <s v="#325146"/>
    <s v="MUOS/Agile Teams/Falcons"/>
    <s v="Unassigned"/>
    <x v="35"/>
    <x v="7"/>
    <m/>
    <x v="25"/>
    <x v="3"/>
    <x v="13"/>
    <x v="157"/>
    <m/>
  </r>
  <r>
    <x v="1117"/>
    <n v="325142"/>
    <x v="0"/>
    <x v="0"/>
    <s v="Feature 325142: Agile Team Test (Unit Test, Install, PCR Verification, STCD Dev &amp; Test) Part 1 of N"/>
    <x v="0"/>
    <n v="2"/>
    <x v="0"/>
    <m/>
    <s v="MUOS/Agile Teams/Cyber"/>
    <s v="Unassigned"/>
    <x v="35"/>
    <x v="7"/>
    <m/>
    <x v="25"/>
    <x v="3"/>
    <x v="13"/>
    <x v="157"/>
    <m/>
  </r>
  <r>
    <x v="1118"/>
    <n v="325142"/>
    <x v="0"/>
    <x v="0"/>
    <s v="Feature 325142: IA Patching and STIGs Part 1 of N"/>
    <x v="0"/>
    <n v="5"/>
    <x v="0"/>
    <s v="#325143"/>
    <s v="MUOS/Agile Teams/Cyber"/>
    <s v="Unassigned"/>
    <x v="35"/>
    <x v="7"/>
    <m/>
    <x v="25"/>
    <x v="3"/>
    <x v="13"/>
    <x v="157"/>
    <m/>
  </r>
  <r>
    <x v="1119"/>
    <n v="325142"/>
    <x v="0"/>
    <x v="0"/>
    <s v="Feature 325142: Deployment Notes and Operator Impact Inputs Part 1 of N"/>
    <x v="0"/>
    <n v="2"/>
    <x v="0"/>
    <m/>
    <s v="MUOS/Agile Teams/Cyber"/>
    <s v="Unassigned"/>
    <x v="35"/>
    <x v="7"/>
    <m/>
    <x v="25"/>
    <x v="3"/>
    <x v="13"/>
    <x v="157"/>
    <m/>
  </r>
  <r>
    <x v="1120"/>
    <n v="325142"/>
    <x v="0"/>
    <x v="0"/>
    <s v="Feature 325142: Engineering IETM Development and Integration updates part 1 of N"/>
    <x v="0"/>
    <n v="3"/>
    <x v="0"/>
    <m/>
    <s v="MUOS/Agile Teams/Cyber"/>
    <s v="Unassigned"/>
    <x v="35"/>
    <x v="7"/>
    <m/>
    <x v="25"/>
    <x v="3"/>
    <x v="13"/>
    <x v="157"/>
    <m/>
  </r>
  <r>
    <x v="1121"/>
    <n v="325142"/>
    <x v="0"/>
    <x v="0"/>
    <s v="Feature 325142: IA Posture Assessment"/>
    <x v="0"/>
    <n v="8"/>
    <x v="0"/>
    <s v="#325148"/>
    <s v="MUOS/Agile Teams/Cyber"/>
    <s v="Unassigned"/>
    <x v="35"/>
    <x v="7"/>
    <m/>
    <x v="25"/>
    <x v="3"/>
    <x v="13"/>
    <x v="157"/>
    <m/>
  </r>
  <r>
    <x v="1122"/>
    <n v="325142"/>
    <x v="0"/>
    <x v="0"/>
    <s v="Feature Demo – Customer Demo Event "/>
    <x v="0"/>
    <n v="1"/>
    <x v="0"/>
    <s v="#325145_x000a_#325147_x000a_#325149_x000a_#325150_x000a_#325154_x000a_#325155"/>
    <s v="MUOS/Agile Teams/Cyber"/>
    <s v="Unassigned"/>
    <x v="35"/>
    <x v="7"/>
    <m/>
    <x v="25"/>
    <x v="3"/>
    <x v="13"/>
    <x v="157"/>
    <m/>
  </r>
  <r>
    <x v="1123"/>
    <n v="325142"/>
    <x v="0"/>
    <x v="0"/>
    <s v="Feature 325142: IA - Define Patch/ Stig Requirements"/>
    <x v="0"/>
    <n v="2"/>
    <x v="0"/>
    <m/>
    <s v="MUOS/Agile Teams/Cyber"/>
    <s v="Unassigned"/>
    <x v="35"/>
    <x v="7"/>
    <m/>
    <x v="25"/>
    <x v="3"/>
    <x v="13"/>
    <x v="157"/>
    <m/>
  </r>
  <r>
    <x v="1124"/>
    <n v="325126"/>
    <x v="2"/>
    <x v="0"/>
    <s v="Feature 325126: Hold Feature Review with SMEs"/>
    <x v="0"/>
    <m/>
    <x v="0"/>
    <m/>
    <s v="Unassigned"/>
    <s v="Unassigned"/>
    <x v="35"/>
    <x v="7"/>
    <m/>
    <x v="25"/>
    <x v="3"/>
    <x v="13"/>
    <x v="157"/>
    <m/>
  </r>
  <r>
    <x v="1125"/>
    <n v="325126"/>
    <x v="0"/>
    <x v="0"/>
    <s v="Feature 325126: Agile Team Test (Unit Test, Install, PCR Verification, STCD Dev &amp; Test) Part 3 of N"/>
    <x v="0"/>
    <n v="5"/>
    <x v="0"/>
    <m/>
    <s v="MUOS/Agile Teams/Cyber"/>
    <s v="Unassigned"/>
    <x v="35"/>
    <x v="7"/>
    <m/>
    <x v="25"/>
    <x v="3"/>
    <x v="13"/>
    <x v="157"/>
    <m/>
  </r>
  <r>
    <x v="1126"/>
    <n v="325126"/>
    <x v="0"/>
    <x v="0"/>
    <s v="Feature 325126: Agile Team Test (Unit Test, Install, PCR Verification, STCD Dev &amp; Test) Part 2 of N"/>
    <x v="0"/>
    <n v="5"/>
    <x v="0"/>
    <m/>
    <s v="MUOS/Agile Teams/Cyber"/>
    <s v="Unassigned"/>
    <x v="35"/>
    <x v="7"/>
    <m/>
    <x v="25"/>
    <x v="3"/>
    <x v="13"/>
    <x v="157"/>
    <m/>
  </r>
  <r>
    <x v="1127"/>
    <n v="325126"/>
    <x v="0"/>
    <x v="0"/>
    <s v="Feature 325126: Initiate CM PDO Processing for all CI's"/>
    <x v="0"/>
    <n v="1"/>
    <x v="0"/>
    <s v="#325128"/>
    <s v="MUOS/Agile Teams/Cyber"/>
    <s v="Unassigned"/>
    <x v="35"/>
    <x v="7"/>
    <m/>
    <x v="25"/>
    <x v="3"/>
    <x v="13"/>
    <x v="157"/>
    <m/>
  </r>
  <r>
    <x v="1128"/>
    <n v="325126"/>
    <x v="0"/>
    <x v="0"/>
    <s v="Feature 325126: ILS IETM Development and Integration updates part 1 of N"/>
    <x v="0"/>
    <n v="1"/>
    <x v="0"/>
    <m/>
    <s v="MUOS/Agile Teams/Cyber"/>
    <s v="Unassigned"/>
    <x v="35"/>
    <x v="7"/>
    <m/>
    <x v="25"/>
    <x v="3"/>
    <x v="13"/>
    <x v="157"/>
    <m/>
  </r>
  <r>
    <x v="1129"/>
    <n v="325126"/>
    <x v="0"/>
    <x v="0"/>
    <s v="Feature 325126: IETM update for Remediation of IA Findings for Windows 2003 based inf servers (2Q 2018)"/>
    <x v="0"/>
    <n v="3"/>
    <x v="0"/>
    <s v="#325130"/>
    <s v="MUOS/Agile Teams/Falcons"/>
    <s v="Unassigned"/>
    <x v="35"/>
    <x v="7"/>
    <m/>
    <x v="25"/>
    <x v="3"/>
    <x v="13"/>
    <x v="157"/>
    <m/>
  </r>
  <r>
    <x v="1130"/>
    <n v="325126"/>
    <x v="0"/>
    <x v="0"/>
    <s v="Feature 325126: Agile Team Test (Unit Test, Install, PCR Verification, STCD Dev &amp; Test) Part 1 of N"/>
    <x v="0"/>
    <n v="2"/>
    <x v="0"/>
    <m/>
    <s v="MUOS/Agile Teams/Cyber"/>
    <s v="Unassigned"/>
    <x v="35"/>
    <x v="7"/>
    <m/>
    <x v="25"/>
    <x v="3"/>
    <x v="13"/>
    <x v="157"/>
    <m/>
  </r>
  <r>
    <x v="1131"/>
    <n v="325126"/>
    <x v="0"/>
    <x v="0"/>
    <s v="Feature 325126: IA Patching and STIGs Part 1 of N"/>
    <x v="0"/>
    <n v="5"/>
    <x v="0"/>
    <s v="#325127"/>
    <s v="MUOS/Agile Teams/Cyber"/>
    <s v="Unassigned"/>
    <x v="35"/>
    <x v="7"/>
    <m/>
    <x v="25"/>
    <x v="3"/>
    <x v="13"/>
    <x v="157"/>
    <m/>
  </r>
  <r>
    <x v="1132"/>
    <n v="325126"/>
    <x v="0"/>
    <x v="0"/>
    <s v="Feature 325126: Deployment Notes and Operator Impact Inputs Part 1 of N"/>
    <x v="0"/>
    <n v="2"/>
    <x v="0"/>
    <m/>
    <s v="MUOS/Agile Teams/Cyber"/>
    <s v="Unassigned"/>
    <x v="35"/>
    <x v="7"/>
    <m/>
    <x v="25"/>
    <x v="3"/>
    <x v="13"/>
    <x v="157"/>
    <m/>
  </r>
  <r>
    <x v="1133"/>
    <n v="325126"/>
    <x v="0"/>
    <x v="0"/>
    <s v="Feature 325126: Engineering IETM Development and Integration updates part 1 of N"/>
    <x v="0"/>
    <n v="3"/>
    <x v="0"/>
    <m/>
    <s v="MUOS/Agile Teams/Cyber"/>
    <s v="Unassigned"/>
    <x v="35"/>
    <x v="7"/>
    <m/>
    <x v="25"/>
    <x v="3"/>
    <x v="13"/>
    <x v="157"/>
    <m/>
  </r>
  <r>
    <x v="1134"/>
    <n v="325126"/>
    <x v="0"/>
    <x v="0"/>
    <s v="Feature 325126: IA Posture Assessment"/>
    <x v="0"/>
    <n v="8"/>
    <x v="0"/>
    <s v="#325132"/>
    <s v="MUOS/Agile Teams/Cyber"/>
    <s v="Unassigned"/>
    <x v="35"/>
    <x v="7"/>
    <m/>
    <x v="25"/>
    <x v="3"/>
    <x v="13"/>
    <x v="157"/>
    <m/>
  </r>
  <r>
    <x v="1135"/>
    <n v="325126"/>
    <x v="0"/>
    <x v="0"/>
    <s v="Feature 325126: Feature Demo – Customer Demo Event "/>
    <x v="0"/>
    <n v="1"/>
    <x v="0"/>
    <s v="#325129_x000a_#325131_x000a_#325133_x000a_#325134_x000a_#325138_x000a_#325139"/>
    <s v="MUOS/Agile Teams/Cyber"/>
    <s v="Unassigned"/>
    <x v="35"/>
    <x v="7"/>
    <m/>
    <x v="25"/>
    <x v="3"/>
    <x v="13"/>
    <x v="157"/>
    <m/>
  </r>
  <r>
    <x v="1136"/>
    <n v="325126"/>
    <x v="0"/>
    <x v="0"/>
    <s v="Feature 325126: IA - Define Patch/ Stig Requirements"/>
    <x v="0"/>
    <n v="2"/>
    <x v="0"/>
    <m/>
    <s v="MUOS/Agile Teams/Cyber"/>
    <s v="Unassigned"/>
    <x v="35"/>
    <x v="7"/>
    <m/>
    <x v="25"/>
    <x v="3"/>
    <x v="13"/>
    <x v="157"/>
    <m/>
  </r>
  <r>
    <x v="1137"/>
    <n v="325142"/>
    <x v="0"/>
    <x v="0"/>
    <s v="Feature 325142: GIS and MAS Servers - Access Control and Account Management Improvements"/>
    <x v="0"/>
    <n v="13"/>
    <x v="0"/>
    <m/>
    <s v="MUOS/Agile Teams/Cyber"/>
    <s v="Unassigned"/>
    <x v="35"/>
    <x v="7"/>
    <m/>
    <x v="25"/>
    <x v="3"/>
    <x v="13"/>
    <x v="157"/>
    <m/>
  </r>
  <r>
    <x v="1138"/>
    <n v="324993"/>
    <x v="0"/>
    <x v="0"/>
    <s v="Feature 324993: mm11/mm12 Server General Configuration Settings"/>
    <x v="0"/>
    <n v="3"/>
    <x v="0"/>
    <m/>
    <s v="MUOS/Agile Teams/Cyber"/>
    <s v="Unassigned"/>
    <x v="35"/>
    <x v="7"/>
    <m/>
    <x v="25"/>
    <x v="3"/>
    <x v="13"/>
    <x v="157"/>
    <m/>
  </r>
  <r>
    <x v="1139"/>
    <n v="325142"/>
    <x v="0"/>
    <x v="0"/>
    <s v="Feature 325142: GIS and MAS Servers - Update login banners"/>
    <x v="0"/>
    <n v="3"/>
    <x v="0"/>
    <m/>
    <s v="MUOS/Agile Teams/Cyber"/>
    <s v="Unassigned"/>
    <x v="35"/>
    <x v="7"/>
    <m/>
    <x v="25"/>
    <x v="3"/>
    <x v="13"/>
    <x v="157"/>
    <m/>
  </r>
  <r>
    <x v="1140"/>
    <n v="324993"/>
    <x v="0"/>
    <x v="0"/>
    <s v="Feature 324993: mm11/mm12 Server Run Control Scripts"/>
    <x v="0"/>
    <n v="13"/>
    <x v="0"/>
    <m/>
    <s v="MUOS/Agile Teams/Cyber"/>
    <s v="Unassigned"/>
    <x v="35"/>
    <x v="7"/>
    <m/>
    <x v="25"/>
    <x v="3"/>
    <x v="13"/>
    <x v="157"/>
    <m/>
  </r>
  <r>
    <x v="1141"/>
    <n v="324993"/>
    <x v="0"/>
    <x v="0"/>
    <s v="Feature 324993: mm11/mm12 Server Removal of insecure programs"/>
    <x v="0"/>
    <n v="13"/>
    <x v="0"/>
    <m/>
    <s v="MUOS/Agile Teams/Cyber"/>
    <s v="Unassigned"/>
    <x v="35"/>
    <x v="7"/>
    <m/>
    <x v="25"/>
    <x v="3"/>
    <x v="13"/>
    <x v="157"/>
    <m/>
  </r>
  <r>
    <x v="1142"/>
    <n v="324993"/>
    <x v="0"/>
    <x v="0"/>
    <s v="Feature 324993: mm11/mm12 Server Boot Configuration"/>
    <x v="0"/>
    <n v="2"/>
    <x v="0"/>
    <m/>
    <s v="MUOS/Agile Teams/Cyber"/>
    <s v="Unassigned"/>
    <x v="35"/>
    <x v="7"/>
    <m/>
    <x v="25"/>
    <x v="3"/>
    <x v="13"/>
    <x v="157"/>
    <m/>
  </r>
  <r>
    <x v="1143"/>
    <n v="324993"/>
    <x v="0"/>
    <x v="0"/>
    <s v="Feature 324993: mm11/mm12 Server rsh daemon removal"/>
    <x v="0"/>
    <n v="2"/>
    <x v="0"/>
    <m/>
    <s v="MUOS/Agile Teams/Cyber"/>
    <s v="Unassigned"/>
    <x v="35"/>
    <x v="7"/>
    <m/>
    <x v="25"/>
    <x v="3"/>
    <x v="13"/>
    <x v="157"/>
    <m/>
  </r>
  <r>
    <x v="1144"/>
    <n v="324993"/>
    <x v="0"/>
    <x v="0"/>
    <s v="Feature 324993: mm11/mm12 Server Audit Generation and Distribution Remedies"/>
    <x v="0"/>
    <n v="13"/>
    <x v="0"/>
    <m/>
    <s v="MUOS/Agile Teams/Cyber"/>
    <s v="Unassigned"/>
    <x v="35"/>
    <x v="7"/>
    <m/>
    <x v="25"/>
    <x v="3"/>
    <x v="13"/>
    <x v="157"/>
    <m/>
  </r>
  <r>
    <x v="1145"/>
    <n v="324993"/>
    <x v="0"/>
    <x v="0"/>
    <s v="Feature 324993: mm11/mm12 Server Access Control Updates"/>
    <x v="0"/>
    <n v="13"/>
    <x v="0"/>
    <m/>
    <s v="MUOS/Agile Teams/Cyber"/>
    <s v="Unassigned"/>
    <x v="35"/>
    <x v="7"/>
    <m/>
    <x v="25"/>
    <x v="3"/>
    <x v="13"/>
    <x v="157"/>
    <m/>
  </r>
  <r>
    <x v="1146"/>
    <n v="324993"/>
    <x v="0"/>
    <x v="0"/>
    <s v="Feature 324993: mm11/mm12 Server File Removals"/>
    <x v="0"/>
    <n v="1"/>
    <x v="0"/>
    <m/>
    <s v="MUOS/Agile Teams/Cyber"/>
    <s v="Unassigned"/>
    <x v="35"/>
    <x v="7"/>
    <m/>
    <x v="25"/>
    <x v="3"/>
    <x v="13"/>
    <x v="157"/>
    <m/>
  </r>
  <r>
    <x v="1147"/>
    <n v="324993"/>
    <x v="0"/>
    <x v="0"/>
    <s v="Feature 324993: mm11/mm12 Server SNMP Configuration Fixes"/>
    <x v="0"/>
    <n v="2"/>
    <x v="0"/>
    <m/>
    <s v="MUOS/Agile Teams/Cyber"/>
    <s v="Unassigned"/>
    <x v="35"/>
    <x v="7"/>
    <m/>
    <x v="25"/>
    <x v="3"/>
    <x v="13"/>
    <x v="157"/>
    <m/>
  </r>
  <r>
    <x v="1148"/>
    <n v="325080"/>
    <x v="0"/>
    <x v="0"/>
    <s v="Feature 325080: TTC Gateway - Configuration Updates to fix findings"/>
    <x v="0"/>
    <n v="5"/>
    <x v="0"/>
    <m/>
    <s v="MUOS/Agile Teams/Cyber"/>
    <s v="Unassigned"/>
    <x v="35"/>
    <x v="7"/>
    <m/>
    <x v="25"/>
    <x v="3"/>
    <x v="13"/>
    <x v="157"/>
    <m/>
  </r>
  <r>
    <x v="1149"/>
    <n v="325080"/>
    <x v="0"/>
    <x v="0"/>
    <s v="Feature 325080: TTC Gateway - Audit Generation and Distribution"/>
    <x v="0"/>
    <n v="8"/>
    <x v="0"/>
    <m/>
    <s v="MUOS/Agile Teams/Cyber"/>
    <s v="Unassigned"/>
    <x v="35"/>
    <x v="7"/>
    <m/>
    <x v="25"/>
    <x v="3"/>
    <x v="13"/>
    <x v="157"/>
    <m/>
  </r>
  <r>
    <x v="1150"/>
    <n v="325080"/>
    <x v="0"/>
    <x v="0"/>
    <s v="Feature 325080: TTC Gateway - Access Control and Account Management Improvements"/>
    <x v="0"/>
    <n v="8"/>
    <x v="0"/>
    <m/>
    <s v="MUOS/Agile Teams/Cyber"/>
    <s v="Unassigned"/>
    <x v="35"/>
    <x v="7"/>
    <m/>
    <x v="25"/>
    <x v="3"/>
    <x v="13"/>
    <x v="157"/>
    <m/>
  </r>
  <r>
    <x v="1151"/>
    <n v="325080"/>
    <x v="2"/>
    <x v="0"/>
    <s v="Hold Feature Review with SMEs"/>
    <x v="0"/>
    <m/>
    <x v="0"/>
    <m/>
    <s v="Unassigned"/>
    <s v="Unassigned"/>
    <x v="35"/>
    <x v="7"/>
    <m/>
    <x v="25"/>
    <x v="3"/>
    <x v="13"/>
    <x v="157"/>
    <m/>
  </r>
  <r>
    <x v="1152"/>
    <n v="325080"/>
    <x v="0"/>
    <x v="0"/>
    <s v="Feature 325080: Agile Team Test (Unit Test, Install, PCR Verification, STCD Dev &amp; Test) Part 3 of N"/>
    <x v="0"/>
    <n v="5"/>
    <x v="0"/>
    <m/>
    <s v="MUOS/Agile Teams/Cyber"/>
    <s v="Unassigned"/>
    <x v="35"/>
    <x v="7"/>
    <m/>
    <x v="25"/>
    <x v="3"/>
    <x v="13"/>
    <x v="157"/>
    <m/>
  </r>
  <r>
    <x v="1153"/>
    <n v="325080"/>
    <x v="0"/>
    <x v="0"/>
    <s v="Feature 325080: Agile Team Test (Unit Test, Install, PCR Verification, STCD Dev &amp; Test) Part 2 of N"/>
    <x v="0"/>
    <n v="5"/>
    <x v="0"/>
    <m/>
    <s v="MUOS/Agile Teams/Cyber"/>
    <s v="Unassigned"/>
    <x v="35"/>
    <x v="7"/>
    <m/>
    <x v="25"/>
    <x v="3"/>
    <x v="13"/>
    <x v="157"/>
    <m/>
  </r>
  <r>
    <x v="1154"/>
    <n v="325080"/>
    <x v="0"/>
    <x v="0"/>
    <s v="Feature 325080: Initiate CM PDO Processing for all CI's"/>
    <x v="0"/>
    <n v="1"/>
    <x v="0"/>
    <s v="#325082"/>
    <s v="MUOS/Agile Teams/Cyber"/>
    <s v="Unassigned"/>
    <x v="35"/>
    <x v="7"/>
    <m/>
    <x v="25"/>
    <x v="3"/>
    <x v="13"/>
    <x v="157"/>
    <m/>
  </r>
  <r>
    <x v="1155"/>
    <n v="325080"/>
    <x v="0"/>
    <x v="0"/>
    <s v="Feature 325080: ILS IETM Development and Integration updates part 1 of N"/>
    <x v="0"/>
    <n v="1"/>
    <x v="0"/>
    <m/>
    <s v="MUOS/Agile Teams/Cyber"/>
    <s v="Unassigned"/>
    <x v="35"/>
    <x v="7"/>
    <m/>
    <x v="25"/>
    <x v="3"/>
    <x v="13"/>
    <x v="157"/>
    <m/>
  </r>
  <r>
    <x v="1156"/>
    <n v="325080"/>
    <x v="0"/>
    <x v="0"/>
    <s v="Feature 325080: ILS IETM update"/>
    <x v="0"/>
    <n v="3"/>
    <x v="0"/>
    <s v="#325084"/>
    <s v="MUOS/Agile Teams/Falcons"/>
    <s v="Unassigned"/>
    <x v="35"/>
    <x v="7"/>
    <m/>
    <x v="25"/>
    <x v="3"/>
    <x v="13"/>
    <x v="157"/>
    <m/>
  </r>
  <r>
    <x v="1157"/>
    <n v="325080"/>
    <x v="0"/>
    <x v="0"/>
    <s v="Feature 325080: Agile Team Test (Unit Test, Install, PCR Verification, STCD Dev &amp; Test) Part 1 of N"/>
    <x v="0"/>
    <n v="2"/>
    <x v="0"/>
    <m/>
    <s v="MUOS/Agile Teams/Cyber"/>
    <s v="Unassigned"/>
    <x v="35"/>
    <x v="7"/>
    <m/>
    <x v="25"/>
    <x v="3"/>
    <x v="13"/>
    <x v="157"/>
    <m/>
  </r>
  <r>
    <x v="1158"/>
    <n v="325080"/>
    <x v="0"/>
    <x v="0"/>
    <s v="Feature 325080: IA Patching and STIGs Part 1 of N"/>
    <x v="0"/>
    <n v="5"/>
    <x v="0"/>
    <s v="#325081"/>
    <s v="MUOS/Agile Teams/Cyber"/>
    <s v="Unassigned"/>
    <x v="35"/>
    <x v="7"/>
    <m/>
    <x v="25"/>
    <x v="3"/>
    <x v="13"/>
    <x v="157"/>
    <m/>
  </r>
  <r>
    <x v="1159"/>
    <n v="325080"/>
    <x v="0"/>
    <x v="0"/>
    <s v="Feature 325080: Deployment Notes and Operator Impact Inputs Part 1 of N"/>
    <x v="0"/>
    <n v="2"/>
    <x v="0"/>
    <m/>
    <s v="MUOS/Agile Teams/Cyber"/>
    <s v="Unassigned"/>
    <x v="35"/>
    <x v="7"/>
    <m/>
    <x v="25"/>
    <x v="3"/>
    <x v="13"/>
    <x v="157"/>
    <m/>
  </r>
  <r>
    <x v="1160"/>
    <n v="325080"/>
    <x v="0"/>
    <x v="0"/>
    <s v="Feature 325080: Engineering IETM Development and Integration updates part 1 of N"/>
    <x v="0"/>
    <n v="3"/>
    <x v="0"/>
    <m/>
    <s v="MUOS/Agile Teams/Cyber"/>
    <s v="Unassigned"/>
    <x v="35"/>
    <x v="7"/>
    <m/>
    <x v="25"/>
    <x v="3"/>
    <x v="13"/>
    <x v="157"/>
    <m/>
  </r>
  <r>
    <x v="1161"/>
    <n v="325080"/>
    <x v="0"/>
    <x v="0"/>
    <s v="Feature 325080: IA Posture Assessment"/>
    <x v="0"/>
    <n v="8"/>
    <x v="0"/>
    <s v="#325086"/>
    <s v="MUOS/Agile Teams/Cyber"/>
    <s v="Unassigned"/>
    <x v="35"/>
    <x v="7"/>
    <m/>
    <x v="25"/>
    <x v="3"/>
    <x v="13"/>
    <x v="157"/>
    <m/>
  </r>
  <r>
    <x v="1162"/>
    <n v="325080"/>
    <x v="0"/>
    <x v="0"/>
    <s v="Feature Demo – Customer Demo Event "/>
    <x v="0"/>
    <n v="1"/>
    <x v="0"/>
    <s v="#325083_x000a_#325085_x000a_#325087_x000a_#325088_x000a_#325092_x000a_#325093"/>
    <s v="MUOS/Agile Teams/Cyber"/>
    <s v="Unassigned"/>
    <x v="35"/>
    <x v="7"/>
    <m/>
    <x v="25"/>
    <x v="3"/>
    <x v="13"/>
    <x v="157"/>
    <m/>
  </r>
  <r>
    <x v="1163"/>
    <n v="325080"/>
    <x v="0"/>
    <x v="0"/>
    <s v="Feature 325080: IA - Define Patch/ Stig Requirements"/>
    <x v="0"/>
    <n v="2"/>
    <x v="0"/>
    <m/>
    <s v="MUOS/Agile Teams/Cyber"/>
    <s v="Unassigned"/>
    <x v="35"/>
    <x v="7"/>
    <m/>
    <x v="25"/>
    <x v="3"/>
    <x v="13"/>
    <x v="157"/>
    <m/>
  </r>
  <r>
    <x v="1164"/>
    <n v="324932"/>
    <x v="0"/>
    <x v="0"/>
    <s v="Feature 324932: Splunk update configurations for Firefox browser"/>
    <x v="0"/>
    <n v="3"/>
    <x v="0"/>
    <m/>
    <s v="MUOS/Agile Teams/Cyber"/>
    <s v="Unassigned"/>
    <x v="35"/>
    <x v="7"/>
    <m/>
    <x v="25"/>
    <x v="3"/>
    <x v="13"/>
    <x v="157"/>
    <m/>
  </r>
  <r>
    <x v="1165"/>
    <n v="324932"/>
    <x v="0"/>
    <x v="0"/>
    <s v="Feature 324932: Splunk session timeouts"/>
    <x v="0"/>
    <n v="5"/>
    <x v="0"/>
    <m/>
    <s v="MUOS/Agile Teams/Cyber"/>
    <s v="Unassigned"/>
    <x v="35"/>
    <x v="7"/>
    <m/>
    <x v="25"/>
    <x v="3"/>
    <x v="13"/>
    <x v="157"/>
    <m/>
  </r>
  <r>
    <x v="1166"/>
    <n v="324932"/>
    <x v="0"/>
    <x v="0"/>
    <s v="Feature 324932: Splunk Add Multifactor Authentication"/>
    <x v="0"/>
    <n v="1"/>
    <x v="0"/>
    <m/>
    <s v="MUOS/Agile Teams/Cyber"/>
    <s v="Unassigned"/>
    <x v="35"/>
    <x v="7"/>
    <m/>
    <x v="25"/>
    <x v="3"/>
    <x v="13"/>
    <x v="157"/>
    <m/>
  </r>
  <r>
    <x v="1167"/>
    <n v="324932"/>
    <x v="0"/>
    <x v="0"/>
    <s v="Feature 324932: Splunk Low Disk Space Warning"/>
    <x v="0"/>
    <n v="1"/>
    <x v="0"/>
    <m/>
    <s v="MUOS/Agile Teams/Cyber"/>
    <s v="Unassigned"/>
    <x v="35"/>
    <x v="7"/>
    <m/>
    <x v="25"/>
    <x v="3"/>
    <x v="13"/>
    <x v="157"/>
    <m/>
  </r>
  <r>
    <x v="1168"/>
    <n v="324993"/>
    <x v="0"/>
    <x v="0"/>
    <s v="Feature 324993: mm11/mm12 Server Banners Not Compliant"/>
    <x v="0"/>
    <n v="1"/>
    <x v="0"/>
    <m/>
    <s v="MUOS/Agile Teams/Cyber"/>
    <s v="Unassigned"/>
    <x v="35"/>
    <x v="7"/>
    <m/>
    <x v="25"/>
    <x v="3"/>
    <x v="13"/>
    <x v="157"/>
    <m/>
  </r>
  <r>
    <x v="1169"/>
    <n v="324932"/>
    <x v="0"/>
    <x v="0"/>
    <s v="Feature 324932: Splunk Update Access Control and Password Complexity Configuration"/>
    <x v="0"/>
    <n v="1"/>
    <x v="0"/>
    <m/>
    <s v="MUOS/Agile Teams/Cyber"/>
    <s v="Unassigned"/>
    <x v="35"/>
    <x v="7"/>
    <m/>
    <x v="25"/>
    <x v="3"/>
    <x v="13"/>
    <x v="157"/>
    <m/>
  </r>
  <r>
    <x v="1170"/>
    <n v="324932"/>
    <x v="0"/>
    <x v="0"/>
    <s v="Feature 324932: Splunk Audit Generation and Distribution"/>
    <x v="0"/>
    <n v="8"/>
    <x v="0"/>
    <m/>
    <s v="MUOS/Agile Teams/Cyber"/>
    <s v="Unassigned"/>
    <x v="35"/>
    <x v="7"/>
    <m/>
    <x v="25"/>
    <x v="3"/>
    <x v="13"/>
    <x v="157"/>
    <m/>
  </r>
  <r>
    <x v="1171"/>
    <n v="324993"/>
    <x v="2"/>
    <x v="0"/>
    <s v="Hold Feature Review with SMEs"/>
    <x v="0"/>
    <m/>
    <x v="0"/>
    <m/>
    <s v="Unassigned"/>
    <s v="Unassigned"/>
    <x v="35"/>
    <x v="7"/>
    <m/>
    <x v="25"/>
    <x v="3"/>
    <x v="13"/>
    <x v="157"/>
    <m/>
  </r>
  <r>
    <x v="1172"/>
    <n v="324993"/>
    <x v="0"/>
    <x v="0"/>
    <s v="Feature 324993: Agile Team Test (Unit Test, Install, PCR Verification, STCD Dev &amp; Test) Part 3 of N"/>
    <x v="0"/>
    <n v="5"/>
    <x v="0"/>
    <m/>
    <s v="MUOS/Agile Teams/Cyber"/>
    <s v="Unassigned"/>
    <x v="35"/>
    <x v="7"/>
    <m/>
    <x v="25"/>
    <x v="3"/>
    <x v="13"/>
    <x v="157"/>
    <m/>
  </r>
  <r>
    <x v="1173"/>
    <n v="324993"/>
    <x v="0"/>
    <x v="0"/>
    <s v="Feature 324993: Agile Team Test (Unit Test, Install, PCR Verification, STCD Dev &amp; Test) Part 2 of N"/>
    <x v="0"/>
    <n v="5"/>
    <x v="0"/>
    <m/>
    <s v="MUOS/Agile Teams/Cyber"/>
    <s v="Unassigned"/>
    <x v="35"/>
    <x v="7"/>
    <m/>
    <x v="25"/>
    <x v="3"/>
    <x v="13"/>
    <x v="157"/>
    <m/>
  </r>
  <r>
    <x v="1174"/>
    <n v="324993"/>
    <x v="0"/>
    <x v="0"/>
    <s v="Feature 324993: Initiate CM PDO Processing for all CI's"/>
    <x v="0"/>
    <n v="1"/>
    <x v="0"/>
    <s v="#324995"/>
    <s v="MUOS/Agile Teams/Cyber"/>
    <s v="Unassigned"/>
    <x v="35"/>
    <x v="7"/>
    <m/>
    <x v="25"/>
    <x v="3"/>
    <x v="13"/>
    <x v="157"/>
    <m/>
  </r>
  <r>
    <x v="1175"/>
    <n v="324993"/>
    <x v="0"/>
    <x v="0"/>
    <s v="Feature 324993: ILS IETM Development and Integration updates part 1 of N"/>
    <x v="0"/>
    <n v="1"/>
    <x v="0"/>
    <m/>
    <s v="MUOS/Agile Teams/Cyber"/>
    <s v="Unassigned"/>
    <x v="35"/>
    <x v="7"/>
    <m/>
    <x v="25"/>
    <x v="3"/>
    <x v="13"/>
    <x v="157"/>
    <m/>
  </r>
  <r>
    <x v="1176"/>
    <n v="324993"/>
    <x v="0"/>
    <x v="0"/>
    <s v="Feature 324993:ILS IETM update"/>
    <x v="0"/>
    <n v="3"/>
    <x v="0"/>
    <s v="#324997"/>
    <s v="MUOS/Agile Teams/Falcons"/>
    <s v="Unassigned"/>
    <x v="35"/>
    <x v="7"/>
    <m/>
    <x v="25"/>
    <x v="3"/>
    <x v="13"/>
    <x v="157"/>
    <m/>
  </r>
  <r>
    <x v="1177"/>
    <n v="324993"/>
    <x v="0"/>
    <x v="0"/>
    <s v="Feature 324993: Agile Team Test (Unit Test, Install, PCR Verification, STCD Dev &amp; Test) Part 1 of N"/>
    <x v="0"/>
    <n v="2"/>
    <x v="0"/>
    <m/>
    <s v="MUOS/Agile Teams/Cyber"/>
    <s v="Unassigned"/>
    <x v="35"/>
    <x v="7"/>
    <m/>
    <x v="25"/>
    <x v="3"/>
    <x v="13"/>
    <x v="157"/>
    <m/>
  </r>
  <r>
    <x v="1178"/>
    <n v="324993"/>
    <x v="0"/>
    <x v="0"/>
    <s v="Feature 324993: IA Patching and STIGs Part 1 of N"/>
    <x v="0"/>
    <n v="5"/>
    <x v="0"/>
    <s v="#324994"/>
    <s v="MUOS/Agile Teams/Cyber"/>
    <s v="Unassigned"/>
    <x v="35"/>
    <x v="7"/>
    <m/>
    <x v="25"/>
    <x v="3"/>
    <x v="13"/>
    <x v="157"/>
    <m/>
  </r>
  <r>
    <x v="1179"/>
    <n v="324993"/>
    <x v="0"/>
    <x v="0"/>
    <s v="Feature 324993: Deployment Notes and Operator Impact Inputs Part 1 of N"/>
    <x v="0"/>
    <n v="2"/>
    <x v="0"/>
    <m/>
    <s v="MUOS/Agile Teams/Cyber"/>
    <s v="Unassigned"/>
    <x v="35"/>
    <x v="7"/>
    <m/>
    <x v="25"/>
    <x v="3"/>
    <x v="13"/>
    <x v="157"/>
    <m/>
  </r>
  <r>
    <x v="1180"/>
    <n v="324993"/>
    <x v="0"/>
    <x v="0"/>
    <s v="Feature 324993: Engineering IETM Development and Integration updates part 1 of N"/>
    <x v="0"/>
    <n v="3"/>
    <x v="0"/>
    <m/>
    <s v="MUOS/Agile Teams/Cyber"/>
    <s v="Unassigned"/>
    <x v="35"/>
    <x v="7"/>
    <m/>
    <x v="25"/>
    <x v="3"/>
    <x v="13"/>
    <x v="157"/>
    <m/>
  </r>
  <r>
    <x v="1181"/>
    <n v="324993"/>
    <x v="0"/>
    <x v="0"/>
    <s v="Feature 324993: IA Posture Assessment"/>
    <x v="0"/>
    <n v="8"/>
    <x v="0"/>
    <s v="#324999"/>
    <s v="MUOS/Agile Teams/Cyber"/>
    <s v="Unassigned"/>
    <x v="35"/>
    <x v="7"/>
    <m/>
    <x v="25"/>
    <x v="3"/>
    <x v="13"/>
    <x v="157"/>
    <m/>
  </r>
  <r>
    <x v="1182"/>
    <n v="324993"/>
    <x v="0"/>
    <x v="0"/>
    <s v="Feature 324993: Feature Demo – Customer Demo Event "/>
    <x v="0"/>
    <n v="1"/>
    <x v="0"/>
    <s v="#324996_x000a_#324998_x000a_#325000_x000a_#325001_x000a_#325005_x000a_#325006"/>
    <s v="MUOS/Agile Teams/Cyber"/>
    <s v="Unassigned"/>
    <x v="35"/>
    <x v="7"/>
    <m/>
    <x v="25"/>
    <x v="3"/>
    <x v="13"/>
    <x v="157"/>
    <m/>
  </r>
  <r>
    <x v="1183"/>
    <n v="324993"/>
    <x v="0"/>
    <x v="0"/>
    <s v="Feature 324993: IA - Define Patch/ Stig Requirements"/>
    <x v="0"/>
    <n v="2"/>
    <x v="0"/>
    <m/>
    <s v="MUOS/Agile Teams/Cyber"/>
    <s v="Unassigned"/>
    <x v="35"/>
    <x v="7"/>
    <m/>
    <x v="25"/>
    <x v="3"/>
    <x v="13"/>
    <x v="157"/>
    <m/>
  </r>
  <r>
    <x v="1184"/>
    <n v="324932"/>
    <x v="2"/>
    <x v="0"/>
    <s v="Hold Feature Review with SMEs"/>
    <x v="0"/>
    <m/>
    <x v="0"/>
    <m/>
    <s v="Unassigned"/>
    <s v="Unassigned"/>
    <x v="35"/>
    <x v="7"/>
    <m/>
    <x v="25"/>
    <x v="3"/>
    <x v="13"/>
    <x v="157"/>
    <m/>
  </r>
  <r>
    <x v="1185"/>
    <n v="324932"/>
    <x v="0"/>
    <x v="0"/>
    <s v="Feature 324932: Agile Team Test (Unit Test, Install, PCR Verification, STCD Dev &amp; Test) Part 3 of N"/>
    <x v="0"/>
    <n v="5"/>
    <x v="0"/>
    <m/>
    <s v="MUOS/Agile Teams/Cyber"/>
    <s v="Unassigned"/>
    <x v="35"/>
    <x v="7"/>
    <m/>
    <x v="25"/>
    <x v="3"/>
    <x v="13"/>
    <x v="157"/>
    <m/>
  </r>
  <r>
    <x v="1186"/>
    <n v="324932"/>
    <x v="0"/>
    <x v="0"/>
    <s v="Feature 324932: Agile Team Test (Unit Test, Install, PCR Verification, STCD Dev &amp; Test) Part 2 of N"/>
    <x v="0"/>
    <n v="5"/>
    <x v="0"/>
    <m/>
    <s v="MUOS/Agile Teams/Cyber"/>
    <s v="Unassigned"/>
    <x v="35"/>
    <x v="7"/>
    <m/>
    <x v="25"/>
    <x v="3"/>
    <x v="13"/>
    <x v="157"/>
    <m/>
  </r>
  <r>
    <x v="1187"/>
    <n v="324932"/>
    <x v="0"/>
    <x v="0"/>
    <s v="Feature 324932: Initiate CM PDO Processing for all CI's"/>
    <x v="0"/>
    <n v="1"/>
    <x v="0"/>
    <s v="#324934"/>
    <s v="MUOS/Agile Teams/Cyber"/>
    <s v="Unassigned"/>
    <x v="35"/>
    <x v="7"/>
    <m/>
    <x v="25"/>
    <x v="3"/>
    <x v="13"/>
    <x v="157"/>
    <m/>
  </r>
  <r>
    <x v="1188"/>
    <n v="324932"/>
    <x v="0"/>
    <x v="0"/>
    <s v="Feature 324932: ILS IETM Development and Integration updates part 1 of N"/>
    <x v="0"/>
    <n v="1"/>
    <x v="0"/>
    <m/>
    <s v="MUOS/Agile Teams/Cyber"/>
    <s v="Unassigned"/>
    <x v="35"/>
    <x v="7"/>
    <m/>
    <x v="25"/>
    <x v="3"/>
    <x v="13"/>
    <x v="157"/>
    <m/>
  </r>
  <r>
    <x v="1189"/>
    <n v="324932"/>
    <x v="0"/>
    <x v="0"/>
    <s v="Feature 324932: ILS IETM update"/>
    <x v="0"/>
    <n v="3"/>
    <x v="0"/>
    <s v="#324936"/>
    <s v="MUOS/Agile Teams/Falcons"/>
    <s v="Unassigned"/>
    <x v="35"/>
    <x v="7"/>
    <m/>
    <x v="25"/>
    <x v="3"/>
    <x v="13"/>
    <x v="157"/>
    <m/>
  </r>
  <r>
    <x v="1190"/>
    <n v="324932"/>
    <x v="0"/>
    <x v="0"/>
    <s v="Feature 324932: Agile Team Test (Unit Test, Install, PCR Verification, STCD Dev &amp; Test) Part 1 of N"/>
    <x v="0"/>
    <n v="2"/>
    <x v="0"/>
    <m/>
    <s v="MUOS/Agile Teams/Cyber"/>
    <s v="Unassigned"/>
    <x v="35"/>
    <x v="7"/>
    <m/>
    <x v="25"/>
    <x v="3"/>
    <x v="13"/>
    <x v="157"/>
    <m/>
  </r>
  <r>
    <x v="1191"/>
    <n v="324932"/>
    <x v="0"/>
    <x v="0"/>
    <s v="Feature 324932: IA Patching and STIGs Part 1 of N"/>
    <x v="0"/>
    <n v="5"/>
    <x v="0"/>
    <s v="#324933"/>
    <s v="MUOS/Agile Teams/Cyber"/>
    <s v="Unassigned"/>
    <x v="35"/>
    <x v="7"/>
    <m/>
    <x v="25"/>
    <x v="3"/>
    <x v="13"/>
    <x v="157"/>
    <m/>
  </r>
  <r>
    <x v="1192"/>
    <n v="324932"/>
    <x v="0"/>
    <x v="0"/>
    <s v="Feature 324932: Deployment Notes and Operator Impact Inputs Part 1 of N"/>
    <x v="0"/>
    <n v="2"/>
    <x v="0"/>
    <m/>
    <s v="MUOS/Agile Teams/Cyber"/>
    <s v="Unassigned"/>
    <x v="35"/>
    <x v="7"/>
    <m/>
    <x v="25"/>
    <x v="3"/>
    <x v="13"/>
    <x v="157"/>
    <m/>
  </r>
  <r>
    <x v="1193"/>
    <n v="324932"/>
    <x v="0"/>
    <x v="0"/>
    <s v="Feature 324932: Engineering IETM Development and Integration updates part 1 of N"/>
    <x v="0"/>
    <n v="3"/>
    <x v="0"/>
    <m/>
    <s v="MUOS/Agile Teams/Cyber"/>
    <s v="Unassigned"/>
    <x v="35"/>
    <x v="7"/>
    <m/>
    <x v="25"/>
    <x v="3"/>
    <x v="13"/>
    <x v="157"/>
    <m/>
  </r>
  <r>
    <x v="1194"/>
    <n v="324932"/>
    <x v="0"/>
    <x v="0"/>
    <s v="Feature 324932: IA Posture Assessment"/>
    <x v="0"/>
    <n v="8"/>
    <x v="0"/>
    <s v="#324938"/>
    <s v="MUOS/Agile Teams/Cyber"/>
    <s v="Unassigned"/>
    <x v="35"/>
    <x v="7"/>
    <m/>
    <x v="25"/>
    <x v="3"/>
    <x v="13"/>
    <x v="157"/>
    <m/>
  </r>
  <r>
    <x v="1195"/>
    <n v="324932"/>
    <x v="0"/>
    <x v="0"/>
    <s v="Feature Demo – Customer Demo Event "/>
    <x v="0"/>
    <n v="1"/>
    <x v="0"/>
    <s v="#324935_x000a_#324937_x000a_#324939_x000a_#324940_x000a_#324944_x000a_#324945"/>
    <s v="MUOS/Agile Teams/Cyber"/>
    <s v="Unassigned"/>
    <x v="35"/>
    <x v="7"/>
    <m/>
    <x v="25"/>
    <x v="3"/>
    <x v="13"/>
    <x v="157"/>
    <m/>
  </r>
  <r>
    <x v="1196"/>
    <n v="324932"/>
    <x v="0"/>
    <x v="0"/>
    <s v="Feature 324932: IA - Define Patch/ Stig Requirements"/>
    <x v="0"/>
    <n v="2"/>
    <x v="0"/>
    <m/>
    <s v="MUOS/Agile Teams/Cyber"/>
    <s v="Unassigned"/>
    <x v="35"/>
    <x v="7"/>
    <m/>
    <x v="25"/>
    <x v="3"/>
    <x v="13"/>
    <x v="157"/>
    <m/>
  </r>
  <r>
    <x v="1197"/>
    <n v="324842"/>
    <x v="0"/>
    <x v="0"/>
    <s v="Feature 324842: Load Balancers - Configure Session Timeouts in SSH"/>
    <x v="0"/>
    <n v="2"/>
    <x v="0"/>
    <m/>
    <s v="MUOS/Agile Teams/Cyber"/>
    <s v="Unassigned"/>
    <x v="35"/>
    <x v="7"/>
    <m/>
    <x v="25"/>
    <x v="3"/>
    <x v="13"/>
    <x v="157"/>
    <m/>
  </r>
  <r>
    <x v="1198"/>
    <n v="324842"/>
    <x v="0"/>
    <x v="0"/>
    <s v="Feature 324842: Load Balancers - remove and update untrusted SSL certificates"/>
    <x v="0"/>
    <n v="2"/>
    <x v="0"/>
    <m/>
    <s v="MUOS/Agile Teams/Cyber"/>
    <s v="Unassigned"/>
    <x v="35"/>
    <x v="7"/>
    <m/>
    <x v="25"/>
    <x v="3"/>
    <x v="13"/>
    <x v="157"/>
    <m/>
  </r>
  <r>
    <x v="1199"/>
    <n v="324842"/>
    <x v="0"/>
    <x v="0"/>
    <s v="Feature 324842: Configure Load Balancers for PPS correction"/>
    <x v="0"/>
    <n v="3"/>
    <x v="0"/>
    <m/>
    <s v="MUOS/Agile Teams/Cyber"/>
    <s v="Unassigned"/>
    <x v="35"/>
    <x v="7"/>
    <m/>
    <x v="25"/>
    <x v="3"/>
    <x v="13"/>
    <x v="157"/>
    <m/>
  </r>
  <r>
    <x v="1200"/>
    <n v="324842"/>
    <x v="0"/>
    <x v="0"/>
    <s v="Feature 324842: Upgrade Load Balancers to SNMPv3 and fix default community name configuration."/>
    <x v="0"/>
    <n v="2"/>
    <x v="0"/>
    <m/>
    <s v="MUOS/Agile Teams/Cyber"/>
    <s v="Unassigned"/>
    <x v="35"/>
    <x v="7"/>
    <m/>
    <x v="25"/>
    <x v="3"/>
    <x v="13"/>
    <x v="157"/>
    <m/>
  </r>
  <r>
    <x v="1201"/>
    <n v="324842"/>
    <x v="0"/>
    <x v="0"/>
    <s v="Feature 324842: Load Balancers - Audit file generation and distribution for Load Balancers"/>
    <x v="0"/>
    <n v="5"/>
    <x v="0"/>
    <m/>
    <s v="MUOS/Agile Teams/Cyber"/>
    <s v="Unassigned"/>
    <x v="35"/>
    <x v="7"/>
    <m/>
    <x v="25"/>
    <x v="3"/>
    <x v="13"/>
    <x v="157"/>
    <m/>
  </r>
  <r>
    <x v="1202"/>
    <n v="324842"/>
    <x v="0"/>
    <x v="0"/>
    <s v="Feature 324842: Load Balancers - Access Control improvements and Account Management."/>
    <x v="0"/>
    <n v="8"/>
    <x v="0"/>
    <m/>
    <s v="MUOS/Agile Teams/Cyber"/>
    <s v="Unassigned"/>
    <x v="35"/>
    <x v="7"/>
    <m/>
    <x v="25"/>
    <x v="3"/>
    <x v="13"/>
    <x v="157"/>
    <m/>
  </r>
  <r>
    <x v="1203"/>
    <n v="324842"/>
    <x v="2"/>
    <x v="0"/>
    <s v="Hold Feature Review with SMEs"/>
    <x v="0"/>
    <m/>
    <x v="0"/>
    <m/>
    <s v="Unassigned"/>
    <s v="Unassigned"/>
    <x v="35"/>
    <x v="7"/>
    <m/>
    <x v="25"/>
    <x v="3"/>
    <x v="13"/>
    <x v="157"/>
    <m/>
  </r>
  <r>
    <x v="1204"/>
    <n v="324842"/>
    <x v="0"/>
    <x v="0"/>
    <s v="Feature 324842: Agile Team Test (Unit Test, Install, PCR Verification, STCD Dev &amp; Test) Part 3 of N"/>
    <x v="0"/>
    <n v="5"/>
    <x v="0"/>
    <m/>
    <s v="MUOS/Agile Teams/Cyber"/>
    <s v="Unassigned"/>
    <x v="35"/>
    <x v="7"/>
    <m/>
    <x v="25"/>
    <x v="3"/>
    <x v="13"/>
    <x v="157"/>
    <m/>
  </r>
  <r>
    <x v="1205"/>
    <n v="324842"/>
    <x v="0"/>
    <x v="0"/>
    <s v="Feature 324842: Agile Team Test (Unit Test, Install, PCR Verification, STCD Dev &amp; Test) Part 2 of N"/>
    <x v="0"/>
    <n v="5"/>
    <x v="0"/>
    <m/>
    <s v="MUOS/Agile Teams/Cyber"/>
    <s v="Unassigned"/>
    <x v="35"/>
    <x v="7"/>
    <m/>
    <x v="25"/>
    <x v="3"/>
    <x v="13"/>
    <x v="157"/>
    <m/>
  </r>
  <r>
    <x v="1206"/>
    <n v="324842"/>
    <x v="0"/>
    <x v="0"/>
    <s v="Feature 324842: Initiate CM PDO Processing for all CI's"/>
    <x v="0"/>
    <n v="1"/>
    <x v="0"/>
    <s v="#324844"/>
    <s v="MUOS/Agile Teams/Cyber"/>
    <s v="Unassigned"/>
    <x v="35"/>
    <x v="7"/>
    <m/>
    <x v="25"/>
    <x v="3"/>
    <x v="13"/>
    <x v="157"/>
    <m/>
  </r>
  <r>
    <x v="1207"/>
    <n v="324842"/>
    <x v="0"/>
    <x v="0"/>
    <s v="Feature 324842: ILS IETM Development and Integration updates part 1 of N"/>
    <x v="0"/>
    <n v="1"/>
    <x v="0"/>
    <m/>
    <s v="MUOS/Agile Teams/Cyber"/>
    <s v="Unassigned"/>
    <x v="35"/>
    <x v="7"/>
    <m/>
    <x v="25"/>
    <x v="3"/>
    <x v="13"/>
    <x v="157"/>
    <m/>
  </r>
  <r>
    <x v="1208"/>
    <n v="324842"/>
    <x v="0"/>
    <x v="0"/>
    <s v="Feature 324842: ILS IETM update"/>
    <x v="0"/>
    <n v="3"/>
    <x v="0"/>
    <s v="#324846"/>
    <s v="MUOS/Agile Teams/Falcons"/>
    <s v="Unassigned"/>
    <x v="35"/>
    <x v="7"/>
    <m/>
    <x v="25"/>
    <x v="3"/>
    <x v="13"/>
    <x v="157"/>
    <m/>
  </r>
  <r>
    <x v="1209"/>
    <n v="324842"/>
    <x v="0"/>
    <x v="0"/>
    <s v="Feature 324842: Agile Team Test (Unit Test, Install, PCR Verification, STCD Dev &amp; Test) Part 1 of N"/>
    <x v="0"/>
    <n v="2"/>
    <x v="0"/>
    <m/>
    <s v="MUOS/Agile Teams/Cyber"/>
    <s v="Unassigned"/>
    <x v="35"/>
    <x v="7"/>
    <m/>
    <x v="25"/>
    <x v="3"/>
    <x v="13"/>
    <x v="157"/>
    <m/>
  </r>
  <r>
    <x v="1210"/>
    <n v="324842"/>
    <x v="0"/>
    <x v="0"/>
    <s v="Feature 324842: IA Patching and STIGs Part 1 of N"/>
    <x v="0"/>
    <n v="5"/>
    <x v="0"/>
    <s v="#324843"/>
    <s v="MUOS/Agile Teams/Cyber"/>
    <s v="Unassigned"/>
    <x v="35"/>
    <x v="7"/>
    <m/>
    <x v="25"/>
    <x v="3"/>
    <x v="13"/>
    <x v="157"/>
    <m/>
  </r>
  <r>
    <x v="1211"/>
    <n v="324842"/>
    <x v="0"/>
    <x v="0"/>
    <s v="Feature 324842: Deployment Notes and Operator Impact Inputs Part 1 of N"/>
    <x v="0"/>
    <n v="2"/>
    <x v="0"/>
    <m/>
    <s v="MUOS/Agile Teams/Cyber"/>
    <s v="Unassigned"/>
    <x v="35"/>
    <x v="7"/>
    <m/>
    <x v="25"/>
    <x v="3"/>
    <x v="13"/>
    <x v="157"/>
    <m/>
  </r>
  <r>
    <x v="1212"/>
    <n v="324842"/>
    <x v="0"/>
    <x v="0"/>
    <s v="Feature 324842: Engineering IETM Development and Integration updates part 1 of N"/>
    <x v="0"/>
    <n v="3"/>
    <x v="0"/>
    <m/>
    <s v="MUOS/Agile Teams/Cyber"/>
    <s v="Unassigned"/>
    <x v="35"/>
    <x v="7"/>
    <m/>
    <x v="25"/>
    <x v="3"/>
    <x v="13"/>
    <x v="157"/>
    <m/>
  </r>
  <r>
    <x v="1213"/>
    <n v="324842"/>
    <x v="0"/>
    <x v="0"/>
    <s v="Feature 324842: IA Posture Assessment"/>
    <x v="0"/>
    <n v="8"/>
    <x v="0"/>
    <s v="#324848"/>
    <s v="MUOS/Agile Teams/Cyber"/>
    <s v="Unassigned"/>
    <x v="35"/>
    <x v="7"/>
    <m/>
    <x v="25"/>
    <x v="3"/>
    <x v="13"/>
    <x v="157"/>
    <m/>
  </r>
  <r>
    <x v="1214"/>
    <n v="324842"/>
    <x v="0"/>
    <x v="0"/>
    <s v="Feature Demo – Customer Demo Event "/>
    <x v="0"/>
    <n v="1"/>
    <x v="0"/>
    <s v="#324845_x000a_#324847_x000a_#324849_x000a_#324850_x000a_#324854_x000a_#324855"/>
    <s v="MUOS/Agile Teams/Cyber"/>
    <s v="Unassigned"/>
    <x v="35"/>
    <x v="7"/>
    <m/>
    <x v="25"/>
    <x v="3"/>
    <x v="13"/>
    <x v="157"/>
    <m/>
  </r>
  <r>
    <x v="1215"/>
    <n v="324842"/>
    <x v="0"/>
    <x v="0"/>
    <s v="Feature 324842: IA - Define Patch/ Stig Requirements"/>
    <x v="0"/>
    <n v="2"/>
    <x v="0"/>
    <m/>
    <s v="MUOS/Agile Teams/Cyber"/>
    <s v="Unassigned"/>
    <x v="35"/>
    <x v="7"/>
    <m/>
    <x v="25"/>
    <x v="3"/>
    <x v="13"/>
    <x v="157"/>
    <m/>
  </r>
  <r>
    <x v="1216"/>
    <n v="296198"/>
    <x v="0"/>
    <x v="0"/>
    <s v="Document impacts to current Device Access Control architecture for each option"/>
    <x v="0"/>
    <n v="1"/>
    <x v="0"/>
    <m/>
    <s v="MUOS/Agile Teams/Cyber"/>
    <s v="Morton, Randall-P57014"/>
    <x v="35"/>
    <x v="7"/>
    <m/>
    <x v="25"/>
    <x v="3"/>
    <x v="13"/>
    <x v="157"/>
    <m/>
  </r>
  <r>
    <x v="1217"/>
    <n v="296198"/>
    <x v="0"/>
    <x v="0"/>
    <s v="Identify different Device Access Control options to address gaps"/>
    <x v="0"/>
    <n v="2"/>
    <x v="0"/>
    <m/>
    <s v="MUOS/Agile Teams/Cyber"/>
    <s v="Morton, Randall-P57014"/>
    <x v="35"/>
    <x v="7"/>
    <m/>
    <x v="25"/>
    <x v="3"/>
    <x v="13"/>
    <x v="157"/>
    <m/>
  </r>
  <r>
    <x v="1218"/>
    <n v="296198"/>
    <x v="0"/>
    <x v="0"/>
    <s v="Present current MUOS Device Access Control Security Functional architecture and gaps to IA and System stakeholders"/>
    <x v="0"/>
    <n v="1"/>
    <x v="0"/>
    <m/>
    <s v="MUOS/Agile Teams/Cyber"/>
    <s v="Morton, Randall-P57014"/>
    <x v="35"/>
    <x v="7"/>
    <m/>
    <x v="25"/>
    <x v="3"/>
    <x v="13"/>
    <x v="157"/>
    <m/>
  </r>
  <r>
    <x v="1219"/>
    <n v="296198"/>
    <x v="0"/>
    <x v="0"/>
    <s v="Update Device Access Control Capability Investigation document with selected options to pursue in Part 2"/>
    <x v="0"/>
    <n v="2"/>
    <x v="0"/>
    <m/>
    <s v="MUOS/Agile Teams/Cyber"/>
    <s v="Morton, Randall-P57014"/>
    <x v="35"/>
    <x v="7"/>
    <m/>
    <x v="25"/>
    <x v="3"/>
    <x v="13"/>
    <x v="157"/>
    <m/>
  </r>
  <r>
    <x v="1220"/>
    <n v="296198"/>
    <x v="0"/>
    <x v="0"/>
    <s v="Present Device Access Control options to address gaps to IA and System stakeholders"/>
    <x v="0"/>
    <n v="1"/>
    <x v="0"/>
    <m/>
    <s v="MUOS/Agile Teams/Cyber"/>
    <s v="Morton, Randall-P57014"/>
    <x v="35"/>
    <x v="7"/>
    <m/>
    <x v="25"/>
    <x v="3"/>
    <x v="13"/>
    <x v="157"/>
    <m/>
  </r>
  <r>
    <x v="1221"/>
    <n v="296198"/>
    <x v="0"/>
    <x v="0"/>
    <s v="Perform gap analysis of current MUOS Device Access Control security functional architecture"/>
    <x v="0"/>
    <n v="5"/>
    <x v="0"/>
    <m/>
    <s v="MUOS/Agile Teams/Cyber"/>
    <s v="Morton, Randall-P57014"/>
    <x v="35"/>
    <x v="7"/>
    <m/>
    <x v="25"/>
    <x v="3"/>
    <x v="13"/>
    <x v="157"/>
    <m/>
  </r>
  <r>
    <x v="1222"/>
    <n v="296198"/>
    <x v="0"/>
    <x v="0"/>
    <s v="Document current Device Access Control functional architecture - part 2"/>
    <x v="0"/>
    <n v="3"/>
    <x v="0"/>
    <m/>
    <s v="MUOS/Agile Teams/Cyber"/>
    <s v="Johnson, Derek T"/>
    <x v="35"/>
    <x v="7"/>
    <m/>
    <x v="25"/>
    <x v="3"/>
    <x v="13"/>
    <x v="157"/>
    <m/>
  </r>
  <r>
    <x v="1223"/>
    <n v="296198"/>
    <x v="0"/>
    <x v="0"/>
    <s v="Document current Device Access Control functional architecture - part 1"/>
    <x v="0"/>
    <n v="2"/>
    <x v="0"/>
    <m/>
    <s v="MUOS/Agile Teams/Cyber"/>
    <s v="Johnson, Derek T"/>
    <x v="35"/>
    <x v="7"/>
    <m/>
    <x v="25"/>
    <x v="3"/>
    <x v="13"/>
    <x v="157"/>
    <m/>
  </r>
  <r>
    <x v="1224"/>
    <n v="296198"/>
    <x v="0"/>
    <x v="0"/>
    <s v="Document Device Access Control security control mappings"/>
    <x v="0"/>
    <n v="1"/>
    <x v="0"/>
    <m/>
    <s v="MUOS/Agile Teams/Cyber"/>
    <s v="Morton, Randall-P57014"/>
    <x v="35"/>
    <x v="7"/>
    <m/>
    <x v="25"/>
    <x v="3"/>
    <x v="13"/>
    <x v="157"/>
    <m/>
  </r>
  <r>
    <x v="1225"/>
    <n v="296198"/>
    <x v="0"/>
    <x v="0"/>
    <s v="Document Device Access Control capability findings/controls/measures"/>
    <x v="0"/>
    <n v="2"/>
    <x v="0"/>
    <m/>
    <s v="MUOS/Agile Teams/Cyber"/>
    <s v="Morton, Randall-P57014"/>
    <x v="35"/>
    <x v="7"/>
    <m/>
    <x v="25"/>
    <x v="3"/>
    <x v="13"/>
    <x v="157"/>
    <m/>
  </r>
  <r>
    <x v="1226"/>
    <n v="316311"/>
    <x v="0"/>
    <x v="0"/>
    <s v="RTC feature intake"/>
    <x v="0"/>
    <n v="1"/>
    <x v="0"/>
    <m/>
    <s v="MUOS/Agile Teams/Cyber"/>
    <s v="Unassigned"/>
    <x v="35"/>
    <x v="7"/>
    <m/>
    <x v="25"/>
    <x v="3"/>
    <x v="13"/>
    <x v="157"/>
    <m/>
  </r>
  <r>
    <x v="1227"/>
    <n v="316311"/>
    <x v="0"/>
    <x v="0"/>
    <s v="Present completed Capability Investigation to IA and System stakeholders and update per comments"/>
    <x v="0"/>
    <n v="2"/>
    <x v="0"/>
    <m/>
    <s v="MUOS/Agile Teams/Cyber"/>
    <s v="Unassigned"/>
    <x v="35"/>
    <x v="7"/>
    <m/>
    <x v="25"/>
    <x v="3"/>
    <x v="13"/>
    <x v="157"/>
    <m/>
  </r>
  <r>
    <x v="1228"/>
    <n v="316311"/>
    <x v="0"/>
    <x v="0"/>
    <s v="ROM estimate associated complexity/cost/effort"/>
    <x v="0"/>
    <n v="1"/>
    <x v="0"/>
    <m/>
    <s v="MUOS/Agile Teams/Cyber"/>
    <s v="Unassigned"/>
    <x v="35"/>
    <x v="7"/>
    <m/>
    <x v="25"/>
    <x v="3"/>
    <x v="13"/>
    <x v="157"/>
    <m/>
  </r>
  <r>
    <x v="1229"/>
    <n v="316311"/>
    <x v="0"/>
    <x v="0"/>
    <s v="Document security posture and recommended priority"/>
    <x v="0"/>
    <n v="1"/>
    <x v="0"/>
    <m/>
    <s v="MUOS/Agile Teams/Cyber"/>
    <s v="Unassigned"/>
    <x v="35"/>
    <x v="7"/>
    <m/>
    <x v="25"/>
    <x v="3"/>
    <x v="13"/>
    <x v="157"/>
    <m/>
  </r>
  <r>
    <x v="1230"/>
    <n v="316311"/>
    <x v="0"/>
    <x v="0"/>
    <s v="Update functional architecture description for selected option"/>
    <x v="0"/>
    <n v="5"/>
    <x v="0"/>
    <m/>
    <s v="MUOS/Agile Teams/Cyber"/>
    <s v="Unassigned"/>
    <x v="35"/>
    <x v="7"/>
    <m/>
    <x v="25"/>
    <x v="3"/>
    <x v="13"/>
    <x v="157"/>
    <m/>
  </r>
  <r>
    <x v="1231"/>
    <n v="316311"/>
    <x v="0"/>
    <x v="0"/>
    <s v="Present trade results to IA and System stakeholders"/>
    <x v="0"/>
    <n v="1"/>
    <x v="0"/>
    <m/>
    <s v="MUOS/Agile Teams/Cyber"/>
    <s v="Unassigned"/>
    <x v="35"/>
    <x v="7"/>
    <m/>
    <x v="25"/>
    <x v="3"/>
    <x v="13"/>
    <x v="157"/>
    <m/>
  </r>
  <r>
    <x v="1232"/>
    <n v="316311"/>
    <x v="0"/>
    <x v="0"/>
    <s v="Document trade"/>
    <x v="0"/>
    <n v="3"/>
    <x v="0"/>
    <m/>
    <s v="MUOS/Agile Teams/Cyber"/>
    <s v="Unassigned"/>
    <x v="35"/>
    <x v="7"/>
    <m/>
    <x v="25"/>
    <x v="3"/>
    <x v="13"/>
    <x v="157"/>
    <m/>
  </r>
  <r>
    <x v="1233"/>
    <n v="316311"/>
    <x v="0"/>
    <x v="0"/>
    <s v="Document implementation options"/>
    <x v="0"/>
    <n v="3"/>
    <x v="0"/>
    <m/>
    <s v="MUOS/Agile Teams/Cyber"/>
    <s v="Unassigned"/>
    <x v="35"/>
    <x v="7"/>
    <m/>
    <x v="25"/>
    <x v="3"/>
    <x v="13"/>
    <x v="157"/>
    <m/>
  </r>
  <r>
    <x v="1234"/>
    <n v="316311"/>
    <x v="0"/>
    <x v="0"/>
    <s v="Investigate different options"/>
    <x v="0"/>
    <n v="3"/>
    <x v="0"/>
    <m/>
    <s v="MUOS/Agile Teams/Cyber"/>
    <s v="Unassigned"/>
    <x v="35"/>
    <x v="7"/>
    <m/>
    <x v="25"/>
    <x v="3"/>
    <x v="13"/>
    <x v="157"/>
    <m/>
  </r>
  <r>
    <x v="1235"/>
    <n v="311386"/>
    <x v="0"/>
    <x v="0"/>
    <s v="Feature 311386: IA Posture Assessment - review of developer input"/>
    <x v="0"/>
    <n v="1"/>
    <x v="0"/>
    <s v="#311388"/>
    <s v="MUOS/Agile Teams/Cyber"/>
    <s v="Unassigned"/>
    <x v="35"/>
    <x v="7"/>
    <m/>
    <x v="25"/>
    <x v="3"/>
    <x v="13"/>
    <x v="157"/>
    <m/>
  </r>
  <r>
    <x v="1236"/>
    <n v="311386"/>
    <x v="0"/>
    <x v="0"/>
    <s v="Feature 311386: IA Posture Assessment"/>
    <x v="0"/>
    <n v="8"/>
    <x v="0"/>
    <s v="#311393"/>
    <s v="MUOS/Agile Teams/Cyber"/>
    <s v="Johnson, Derek T"/>
    <x v="35"/>
    <x v="7"/>
    <m/>
    <x v="25"/>
    <x v="3"/>
    <x v="13"/>
    <x v="157"/>
    <m/>
  </r>
  <r>
    <x v="1237"/>
    <n v="309972"/>
    <x v="0"/>
    <x v="0"/>
    <s v="Unclass GDS: IA Patching and STIGs and Risk Management Framework (RMF) Security Plan (SP) Supplement, and initial IA Posture assessment, needed 100 days prior to FRCB"/>
    <x v="0"/>
    <n v="8"/>
    <x v="0"/>
    <s v="#309992"/>
    <s v="MUOS/Agile Teams/Cyber"/>
    <s v="Johnson, Derek T"/>
    <x v="35"/>
    <x v="7"/>
    <m/>
    <x v="25"/>
    <x v="3"/>
    <x v="13"/>
    <x v="157"/>
    <m/>
  </r>
  <r>
    <x v="1238"/>
    <n v="309972"/>
    <x v="0"/>
    <x v="0"/>
    <s v="Unclass GDS:  IA Posture Assessment and MFR needed 30 days prior to FRCB"/>
    <x v="0"/>
    <n v="8"/>
    <x v="0"/>
    <s v="#309975"/>
    <s v="MUOS/Agile Teams/Cyber"/>
    <s v="Johnson, Derek T"/>
    <x v="35"/>
    <x v="7"/>
    <m/>
    <x v="25"/>
    <x v="3"/>
    <x v="13"/>
    <x v="157"/>
    <m/>
  </r>
  <r>
    <x v="1239"/>
    <n v="302643"/>
    <x v="0"/>
    <x v="0"/>
    <s v="Feature 302643: IA Posture Assessment - review of developer input"/>
    <x v="0"/>
    <n v="1"/>
    <x v="9"/>
    <s v="#302644"/>
    <s v="MUOS/Agile Teams/Cyber"/>
    <s v="Unassigned"/>
    <x v="35"/>
    <x v="7"/>
    <m/>
    <x v="25"/>
    <x v="3"/>
    <x v="13"/>
    <x v="157"/>
    <m/>
  </r>
  <r>
    <x v="1240"/>
    <n v="302643"/>
    <x v="0"/>
    <x v="0"/>
    <s v="Feature 302643: IA Posture Assessment"/>
    <x v="0"/>
    <n v="3"/>
    <x v="9"/>
    <s v="#302649"/>
    <s v="MUOS/Agile Teams/Cyber"/>
    <s v="Johnson, Derek T"/>
    <x v="35"/>
    <x v="7"/>
    <m/>
    <x v="25"/>
    <x v="3"/>
    <x v="13"/>
    <x v="157"/>
    <m/>
  </r>
  <r>
    <x v="1241"/>
    <n v="302184"/>
    <x v="0"/>
    <x v="0"/>
    <s v="Feature 302184: Create IA Posture Assessment"/>
    <x v="0"/>
    <n v="2"/>
    <x v="0"/>
    <m/>
    <s v="MUOS/Agile Teams/Cyber"/>
    <s v="Unassigned"/>
    <x v="35"/>
    <x v="7"/>
    <m/>
    <x v="25"/>
    <x v="3"/>
    <x v="13"/>
    <x v="157"/>
    <m/>
  </r>
  <r>
    <x v="1242"/>
    <n v="302184"/>
    <x v="0"/>
    <x v="0"/>
    <s v="Feature 302184: Perform IA Scanning. STIGs, and Patching"/>
    <x v="0"/>
    <n v="2"/>
    <x v="0"/>
    <m/>
    <s v="MUOS/Agile Teams/Cyber"/>
    <s v="Unassigned"/>
    <x v="35"/>
    <x v="7"/>
    <m/>
    <x v="25"/>
    <x v="3"/>
    <x v="13"/>
    <x v="157"/>
    <m/>
  </r>
  <r>
    <x v="1243"/>
    <n v="302184"/>
    <x v="0"/>
    <x v="0"/>
    <s v="Feature 302184: Execute Required Scans and STIGs"/>
    <x v="0"/>
    <n v="1"/>
    <x v="0"/>
    <m/>
    <s v="MUOS/Agile Teams/Cyber"/>
    <s v="Unassigned"/>
    <x v="35"/>
    <x v="7"/>
    <m/>
    <x v="25"/>
    <x v="3"/>
    <x v="13"/>
    <x v="157"/>
    <m/>
  </r>
  <r>
    <x v="1244"/>
    <n v="294363"/>
    <x v="0"/>
    <x v="0"/>
    <s v="Feature 294363: IA Posture Assessment - review of developer input"/>
    <x v="0"/>
    <n v="1"/>
    <x v="0"/>
    <s v="#294364"/>
    <s v="MUOS/Agile Teams/Cyber"/>
    <s v="Unassigned"/>
    <x v="35"/>
    <x v="7"/>
    <m/>
    <x v="25"/>
    <x v="3"/>
    <x v="13"/>
    <x v="157"/>
    <m/>
  </r>
  <r>
    <x v="1245"/>
    <n v="294363"/>
    <x v="0"/>
    <x v="0"/>
    <s v="Feature 294363: IA Posture Assessment"/>
    <x v="0"/>
    <n v="2"/>
    <x v="0"/>
    <s v="#294369"/>
    <s v="MUOS/Agile Teams/Cyber"/>
    <s v="Johnson, Derek T"/>
    <x v="35"/>
    <x v="7"/>
    <m/>
    <x v="25"/>
    <x v="3"/>
    <x v="13"/>
    <x v="157"/>
    <m/>
  </r>
  <r>
    <x v="1246"/>
    <n v="238135"/>
    <x v="0"/>
    <x v="0"/>
    <s v="Feature 238135 AMS-GS Phase 2:  IA Posture Assessment - review of developer input"/>
    <x v="0"/>
    <n v="2"/>
    <x v="0"/>
    <s v="#292311"/>
    <s v="MUOS/Agile Teams/Cyber"/>
    <s v="Unassigned"/>
    <x v="35"/>
    <x v="7"/>
    <m/>
    <x v="25"/>
    <x v="3"/>
    <x v="13"/>
    <x v="157"/>
    <m/>
  </r>
  <r>
    <x v="1247"/>
    <n v="238135"/>
    <x v="0"/>
    <x v="0"/>
    <s v="Feature 238135 AMS-GS Phase 2:  IA Posture Assessment"/>
    <x v="0"/>
    <n v="5"/>
    <x v="0"/>
    <s v="#292316"/>
    <s v="MUOS/Agile Teams/Cyber"/>
    <s v="Johnson, Derek T"/>
    <x v="35"/>
    <x v="7"/>
    <m/>
    <x v="25"/>
    <x v="3"/>
    <x v="13"/>
    <x v="157"/>
    <m/>
  </r>
  <r>
    <x v="1248"/>
    <n v="291671"/>
    <x v="0"/>
    <x v="0"/>
    <s v="AMS-GS Correlate Geolocation outage history: IA Posture Assessment - review of developer input"/>
    <x v="0"/>
    <n v="1"/>
    <x v="0"/>
    <s v="#291672"/>
    <s v="MUOS/Agile Teams/Cyber"/>
    <s v="Unassigned"/>
    <x v="35"/>
    <x v="7"/>
    <m/>
    <x v="25"/>
    <x v="3"/>
    <x v="13"/>
    <x v="157"/>
    <m/>
  </r>
  <r>
    <x v="1249"/>
    <n v="291671"/>
    <x v="0"/>
    <x v="0"/>
    <s v="AMS-GS Correlate Geolocation outage history:  IA Posture Assessment"/>
    <x v="0"/>
    <n v="3"/>
    <x v="0"/>
    <s v="#291677"/>
    <s v="MUOS/Agile Teams/Cyber"/>
    <s v="Johnson, Derek T"/>
    <x v="35"/>
    <x v="7"/>
    <m/>
    <x v="25"/>
    <x v="3"/>
    <x v="13"/>
    <x v="157"/>
    <m/>
  </r>
  <r>
    <x v="1250"/>
    <n v="291060"/>
    <x v="0"/>
    <x v="0"/>
    <s v="Feature 291060: IA Posture Assessment - review of developer input"/>
    <x v="0"/>
    <n v="1"/>
    <x v="0"/>
    <s v="#291061"/>
    <s v="MUOS/Agile Teams/Cyber"/>
    <s v="Unassigned"/>
    <x v="35"/>
    <x v="7"/>
    <m/>
    <x v="25"/>
    <x v="3"/>
    <x v="13"/>
    <x v="157"/>
    <m/>
  </r>
  <r>
    <x v="1251"/>
    <n v="291060"/>
    <x v="0"/>
    <x v="0"/>
    <s v="Feature 291060 IA Posture Assessment"/>
    <x v="0"/>
    <n v="2"/>
    <x v="0"/>
    <s v="#291066"/>
    <s v="MUOS/Agile Teams/Cyber"/>
    <s v="Johnson, Derek T"/>
    <x v="35"/>
    <x v="7"/>
    <m/>
    <x v="25"/>
    <x v="3"/>
    <x v="13"/>
    <x v="157"/>
    <m/>
  </r>
  <r>
    <x v="1252"/>
    <n v="290983"/>
    <x v="0"/>
    <x v="0"/>
    <s v="Feature 290983: IA Posture Assessment - review of developer input"/>
    <x v="0"/>
    <n v="1"/>
    <x v="0"/>
    <s v="#290984"/>
    <s v="MUOS/Agile Teams/Cyber"/>
    <s v="Unassigned"/>
    <x v="35"/>
    <x v="7"/>
    <m/>
    <x v="25"/>
    <x v="3"/>
    <x v="13"/>
    <x v="157"/>
    <m/>
  </r>
  <r>
    <x v="1253"/>
    <n v="290983"/>
    <x v="0"/>
    <x v="0"/>
    <s v="Feature 290983: IA Patching and STIGs"/>
    <x v="0"/>
    <n v="8"/>
    <x v="0"/>
    <s v="#290984_x000a_#290994"/>
    <s v="MUOS/Agile Teams/Cyber"/>
    <s v="Unassigned"/>
    <x v="35"/>
    <x v="7"/>
    <m/>
    <x v="25"/>
    <x v="3"/>
    <x v="13"/>
    <x v="157"/>
    <m/>
  </r>
  <r>
    <x v="1254"/>
    <n v="290983"/>
    <x v="0"/>
    <x v="0"/>
    <s v="Feature 290983: IA Posture Assessment"/>
    <x v="0"/>
    <n v="8"/>
    <x v="0"/>
    <s v="#290989"/>
    <s v="MUOS/Agile Teams/Cyber"/>
    <s v="Johnson, Derek T"/>
    <x v="35"/>
    <x v="7"/>
    <m/>
    <x v="25"/>
    <x v="3"/>
    <x v="13"/>
    <x v="157"/>
    <m/>
  </r>
  <r>
    <x v="1255"/>
    <n v="290983"/>
    <x v="0"/>
    <x v="0"/>
    <s v="Feature 290983: IA Posture Assessment - development input"/>
    <x v="0"/>
    <n v="2"/>
    <x v="0"/>
    <m/>
    <s v="MUOS/Agile Teams/Cyber"/>
    <s v="Unassigned"/>
    <x v="35"/>
    <x v="7"/>
    <m/>
    <x v="25"/>
    <x v="3"/>
    <x v="13"/>
    <x v="157"/>
    <m/>
  </r>
  <r>
    <x v="1256"/>
    <n v="290929"/>
    <x v="0"/>
    <x v="0"/>
    <s v="Feature 290929: IA Posture Assessment - review of developer input"/>
    <x v="0"/>
    <n v="1"/>
    <x v="0"/>
    <s v="#290930"/>
    <s v="MUOS/Agile Teams/Cyber"/>
    <s v="Unassigned"/>
    <x v="35"/>
    <x v="7"/>
    <m/>
    <x v="25"/>
    <x v="3"/>
    <x v="13"/>
    <x v="157"/>
    <m/>
  </r>
  <r>
    <x v="1257"/>
    <n v="290929"/>
    <x v="0"/>
    <x v="0"/>
    <s v="Feature 290929: IA Posture Assessment"/>
    <x v="0"/>
    <n v="8"/>
    <x v="0"/>
    <s v="#290935"/>
    <s v="MUOS/Agile Teams/Cyber"/>
    <s v="Johnson, Derek T"/>
    <x v="35"/>
    <x v="7"/>
    <m/>
    <x v="25"/>
    <x v="3"/>
    <x v="13"/>
    <x v="157"/>
    <m/>
  </r>
  <r>
    <x v="1258"/>
    <n v="290622"/>
    <x v="0"/>
    <x v="0"/>
    <s v="Feature 290622: IA Posture Assessment - review of developer input"/>
    <x v="0"/>
    <n v="1"/>
    <x v="0"/>
    <s v="#290623"/>
    <s v="MUOS/Agile Teams/Cyber"/>
    <s v="Unassigned"/>
    <x v="35"/>
    <x v="7"/>
    <m/>
    <x v="25"/>
    <x v="3"/>
    <x v="13"/>
    <x v="157"/>
    <m/>
  </r>
  <r>
    <x v="1259"/>
    <n v="290622"/>
    <x v="0"/>
    <x v="0"/>
    <s v="Feature 290622: IA Posture Assessment"/>
    <x v="0"/>
    <n v="8"/>
    <x v="0"/>
    <s v="#290628"/>
    <s v="MUOS/Agile Teams/Cyber"/>
    <s v="Johnson, Derek T"/>
    <x v="35"/>
    <x v="7"/>
    <m/>
    <x v="25"/>
    <x v="3"/>
    <x v="13"/>
    <x v="157"/>
    <m/>
  </r>
  <r>
    <x v="1260"/>
    <n v="290605"/>
    <x v="0"/>
    <x v="0"/>
    <s v="Feature 290605: IA Posture Assessment - review of developer input"/>
    <x v="0"/>
    <n v="1"/>
    <x v="0"/>
    <s v="#290606"/>
    <s v="MUOS/Agile Teams/Cyber"/>
    <s v="Unassigned"/>
    <x v="35"/>
    <x v="7"/>
    <m/>
    <x v="25"/>
    <x v="3"/>
    <x v="13"/>
    <x v="157"/>
    <m/>
  </r>
  <r>
    <x v="1261"/>
    <n v="290605"/>
    <x v="0"/>
    <x v="0"/>
    <s v="Feature 290605: IA Posture Assessment"/>
    <x v="0"/>
    <n v="8"/>
    <x v="0"/>
    <s v="#290611"/>
    <s v="MUOS/Agile Teams/Cyber"/>
    <s v="Johnson, Derek T"/>
    <x v="35"/>
    <x v="7"/>
    <m/>
    <x v="25"/>
    <x v="3"/>
    <x v="13"/>
    <x v="157"/>
    <m/>
  </r>
  <r>
    <x v="1262"/>
    <n v="290418"/>
    <x v="0"/>
    <x v="0"/>
    <s v="Feature 290418: IA Posture Assessment - review of developer input"/>
    <x v="0"/>
    <n v="1"/>
    <x v="0"/>
    <s v="#290419"/>
    <s v="MUOS/Agile Teams/Cyber"/>
    <s v="Unassigned"/>
    <x v="35"/>
    <x v="7"/>
    <m/>
    <x v="25"/>
    <x v="3"/>
    <x v="13"/>
    <x v="157"/>
    <m/>
  </r>
  <r>
    <x v="1263"/>
    <n v="290418"/>
    <x v="0"/>
    <x v="0"/>
    <s v="Feature 290418 IA Posture Assessment"/>
    <x v="0"/>
    <n v="1"/>
    <x v="0"/>
    <s v="#290424"/>
    <s v="MUOS/Agile Teams/Cyber"/>
    <s v="Johnson, Derek T"/>
    <x v="35"/>
    <x v="7"/>
    <m/>
    <x v="25"/>
    <x v="3"/>
    <x v="13"/>
    <x v="157"/>
    <m/>
  </r>
  <r>
    <x v="1264"/>
    <n v="279290"/>
    <x v="0"/>
    <x v="0"/>
    <s v="Feature 279290: IA Posture Assessment"/>
    <x v="0"/>
    <n v="8"/>
    <x v="0"/>
    <s v="#279296"/>
    <s v="MUOS/Agile Teams/Cyber"/>
    <s v="Johnson, Derek T"/>
    <x v="35"/>
    <x v="7"/>
    <m/>
    <x v="25"/>
    <x v="3"/>
    <x v="13"/>
    <x v="157"/>
    <m/>
  </r>
  <r>
    <x v="1265"/>
    <n v="279163"/>
    <x v="0"/>
    <x v="0"/>
    <s v="Feature 279163 IA Posture Assessment"/>
    <x v="0"/>
    <n v="1"/>
    <x v="0"/>
    <s v="#279169"/>
    <s v="MUOS/Agile Teams/Cyber"/>
    <s v="Johnson, Derek T"/>
    <x v="35"/>
    <x v="7"/>
    <m/>
    <x v="25"/>
    <x v="3"/>
    <x v="13"/>
    <x v="157"/>
    <m/>
  </r>
  <r>
    <x v="1266"/>
    <n v="278546"/>
    <x v="0"/>
    <x v="0"/>
    <s v="AMS-GS Status Page: IA Posture Assessment"/>
    <x v="0"/>
    <n v="8"/>
    <x v="0"/>
    <s v="#278552"/>
    <s v="MUOS/Agile Teams/Cyber"/>
    <s v="Johnson, Derek T"/>
    <x v="35"/>
    <x v="7"/>
    <m/>
    <x v="25"/>
    <x v="3"/>
    <x v="13"/>
    <x v="157"/>
    <m/>
  </r>
  <r>
    <x v="1267"/>
    <n v="276113"/>
    <x v="0"/>
    <x v="0"/>
    <s v="Bulk Key Management Key Deletion - Engineering IETM updates"/>
    <x v="0"/>
    <n v="3"/>
    <x v="0"/>
    <m/>
    <s v="MUOS/Agile Teams/Cyber"/>
    <s v="Unassigned"/>
    <x v="35"/>
    <x v="7"/>
    <m/>
    <x v="25"/>
    <x v="3"/>
    <x v="13"/>
    <x v="157"/>
    <m/>
  </r>
  <r>
    <x v="1268"/>
    <n v="275845"/>
    <x v="0"/>
    <x v="0"/>
    <s v="Feature 275845: IA Posture Assessment"/>
    <x v="0"/>
    <n v="8"/>
    <x v="0"/>
    <s v="#275851"/>
    <s v="MUOS/Agile Teams/Cyber"/>
    <s v="Johnson, Derek T"/>
    <x v="35"/>
    <x v="7"/>
    <m/>
    <x v="25"/>
    <x v="3"/>
    <x v="13"/>
    <x v="157"/>
    <m/>
  </r>
  <r>
    <x v="1269"/>
    <n v="274096"/>
    <x v="0"/>
    <x v="0"/>
    <s v="Feature 274096: IA Posture Assessment"/>
    <x v="0"/>
    <n v="8"/>
    <x v="0"/>
    <s v="#274102"/>
    <s v="MUOS/Agile Teams/Cyber"/>
    <s v="Johnson, Derek T"/>
    <x v="35"/>
    <x v="7"/>
    <m/>
    <x v="25"/>
    <x v="3"/>
    <x v="13"/>
    <x v="157"/>
    <m/>
  </r>
  <r>
    <x v="1270"/>
    <n v="274067"/>
    <x v="0"/>
    <x v="0"/>
    <s v="Splunk Infra SIEM: IA Posture Assessment"/>
    <x v="0"/>
    <n v="5"/>
    <x v="0"/>
    <s v="#274073"/>
    <s v="MUOS/Agile Teams/Cyber"/>
    <s v="Johnson, Derek T"/>
    <x v="35"/>
    <x v="7"/>
    <m/>
    <x v="25"/>
    <x v="3"/>
    <x v="13"/>
    <x v="157"/>
    <m/>
  </r>
  <r>
    <x v="1271"/>
    <n v="274035"/>
    <x v="0"/>
    <x v="0"/>
    <s v="Splunk Infra Secure SSH: IA Posture Assessment"/>
    <x v="0"/>
    <n v="5"/>
    <x v="0"/>
    <s v="#274041"/>
    <s v="MUOS/Agile Teams/Cyber"/>
    <s v="Johnson, Derek T"/>
    <x v="35"/>
    <x v="7"/>
    <m/>
    <x v="25"/>
    <x v="3"/>
    <x v="13"/>
    <x v="157"/>
    <m/>
  </r>
  <r>
    <x v="1272"/>
    <n v="273932"/>
    <x v="0"/>
    <x v="0"/>
    <s v="Splunk Infra Domain Accounts: IA Posture Assessment"/>
    <x v="0"/>
    <n v="5"/>
    <x v="0"/>
    <s v="#273938"/>
    <s v="MUOS/Agile Teams/Cyber"/>
    <s v="Johnson, Derek T"/>
    <x v="35"/>
    <x v="7"/>
    <m/>
    <x v="25"/>
    <x v="3"/>
    <x v="13"/>
    <x v="157"/>
    <m/>
  </r>
  <r>
    <x v="1273"/>
    <n v="273679"/>
    <x v="0"/>
    <x v="0"/>
    <s v="Splunk Infra Fault Management: IA Posture Assessment"/>
    <x v="0"/>
    <n v="1"/>
    <x v="0"/>
    <s v="#273685"/>
    <s v="MUOS/Agile Teams/Cyber"/>
    <s v="Johnson, Derek T"/>
    <x v="35"/>
    <x v="7"/>
    <m/>
    <x v="25"/>
    <x v="3"/>
    <x v="13"/>
    <x v="157"/>
    <m/>
  </r>
  <r>
    <x v="1274"/>
    <n v="272411"/>
    <x v="0"/>
    <x v="0"/>
    <s v="Retire Hyperion: IA Posture Assessment"/>
    <x v="0"/>
    <n v="1"/>
    <x v="0"/>
    <s v="#272417"/>
    <s v="MUOS/Agile Teams/Cyber"/>
    <s v="Johnson, Derek T"/>
    <x v="35"/>
    <x v="7"/>
    <m/>
    <x v="25"/>
    <x v="3"/>
    <x v="13"/>
    <x v="157"/>
    <m/>
  </r>
  <r>
    <x v="1275"/>
    <n v="272101"/>
    <x v="0"/>
    <x v="0"/>
    <s v="Prevent unauthorized users from running real time Splunk searches IA Posture Assessment"/>
    <x v="0"/>
    <n v="8"/>
    <x v="0"/>
    <s v="#272107"/>
    <s v="MUOS/Agile Teams/Cyber"/>
    <s v="Johnson, Derek T"/>
    <x v="35"/>
    <x v="7"/>
    <m/>
    <x v="25"/>
    <x v="3"/>
    <x v="13"/>
    <x v="157"/>
    <m/>
  </r>
  <r>
    <x v="1276"/>
    <n v="270346"/>
    <x v="0"/>
    <x v="0"/>
    <s v="RNC: GSLN Preemption: IA Posture Assessment"/>
    <x v="0"/>
    <n v="8"/>
    <x v="0"/>
    <s v="#270352"/>
    <s v="MUOS/Agile Teams/Cyber"/>
    <s v="Johnson, Derek T"/>
    <x v="35"/>
    <x v="7"/>
    <m/>
    <x v="25"/>
    <x v="3"/>
    <x v="13"/>
    <x v="157"/>
    <m/>
  </r>
  <r>
    <x v="1277"/>
    <n v="267777"/>
    <x v="0"/>
    <x v="0"/>
    <s v="Feature 267777: IA Posture Assessment"/>
    <x v="0"/>
    <n v="1"/>
    <x v="0"/>
    <s v="#267785"/>
    <s v="MUOS/Agile Teams/Cyber"/>
    <s v="Unassigned"/>
    <x v="35"/>
    <x v="7"/>
    <m/>
    <x v="25"/>
    <x v="3"/>
    <x v="13"/>
    <x v="157"/>
    <m/>
  </r>
  <r>
    <x v="1278"/>
    <n v="266772"/>
    <x v="0"/>
    <x v="0"/>
    <s v="DMZ SIPRNET Router Changes from DISA: IA Patching and STIGs"/>
    <x v="0"/>
    <n v="8"/>
    <x v="0"/>
    <s v="#266773"/>
    <s v="MUOS/Agile Teams/Cyber"/>
    <s v="Unassigned"/>
    <x v="35"/>
    <x v="7"/>
    <m/>
    <x v="25"/>
    <x v="3"/>
    <x v="13"/>
    <x v="157"/>
    <m/>
  </r>
  <r>
    <x v="1279"/>
    <n v="266772"/>
    <x v="0"/>
    <x v="0"/>
    <s v="DMZ SIPRNET Router Changes from DISA:  IA Posture Assessment"/>
    <x v="0"/>
    <n v="8"/>
    <x v="0"/>
    <s v="#266780"/>
    <s v="MUOS/Agile Teams/Cyber"/>
    <s v="Johnson, Derek T"/>
    <x v="35"/>
    <x v="7"/>
    <m/>
    <x v="25"/>
    <x v="3"/>
    <x v="13"/>
    <x v="157"/>
    <m/>
  </r>
  <r>
    <x v="1280"/>
    <n v="262895"/>
    <x v="0"/>
    <x v="0"/>
    <s v="RNC-RBS Netcool rules: IA Posture Assessment"/>
    <x v="0"/>
    <n v="2"/>
    <x v="0"/>
    <m/>
    <s v="MUOS/Agile Teams/Cyber"/>
    <s v="Unassigned"/>
    <x v="35"/>
    <x v="7"/>
    <m/>
    <x v="25"/>
    <x v="3"/>
    <x v="13"/>
    <x v="157"/>
    <m/>
  </r>
  <r>
    <x v="1281"/>
    <n v="263263"/>
    <x v="0"/>
    <x v="0"/>
    <s v="CDR Delivery Dashboard: IA Posture Assessment"/>
    <x v="0"/>
    <n v="8"/>
    <x v="0"/>
    <s v="#263271"/>
    <s v="MUOS/Agile Teams/Cyber"/>
    <s v="Johnson, Derek T"/>
    <x v="35"/>
    <x v="7"/>
    <m/>
    <x v="25"/>
    <x v="3"/>
    <x v="13"/>
    <x v="157"/>
    <m/>
  </r>
  <r>
    <x v="1282"/>
    <n v="263247"/>
    <x v="0"/>
    <x v="0"/>
    <s v="PM Delivery Dashboard: IA Posture Assessment"/>
    <x v="0"/>
    <n v="8"/>
    <x v="0"/>
    <s v="#263255"/>
    <s v="MUOS/Agile Teams/Cyber"/>
    <s v="Johnson, Derek T"/>
    <x v="35"/>
    <x v="7"/>
    <m/>
    <x v="25"/>
    <x v="3"/>
    <x v="13"/>
    <x v="157"/>
    <m/>
  </r>
  <r>
    <x v="1283"/>
    <n v="263144"/>
    <x v="0"/>
    <x v="0"/>
    <s v="Deduplicate FM data in Splunk index: IA Posture Assessment"/>
    <x v="0"/>
    <n v="8"/>
    <x v="0"/>
    <s v="#263152"/>
    <s v="MUOS/Agile Teams/Cyber"/>
    <s v="Johnson, Derek T"/>
    <x v="35"/>
    <x v="7"/>
    <m/>
    <x v="25"/>
    <x v="3"/>
    <x v="13"/>
    <x v="157"/>
    <m/>
  </r>
  <r>
    <x v="1284"/>
    <n v="263027"/>
    <x v="0"/>
    <x v="0"/>
    <s v="Implement &quot;Best Practices&quot; Updates from Splunk Training: IA Posture Assessment"/>
    <x v="0"/>
    <n v="8"/>
    <x v="0"/>
    <s v="#263035"/>
    <s v="MUOS/Agile Teams/Cyber"/>
    <s v="Johnson, Derek T"/>
    <x v="35"/>
    <x v="7"/>
    <m/>
    <x v="25"/>
    <x v="3"/>
    <x v="13"/>
    <x v="157"/>
    <m/>
  </r>
  <r>
    <x v="1285"/>
    <n v="262625"/>
    <x v="0"/>
    <x v="0"/>
    <s v="Prevent Operators from Updating GD Defined Splunk Dashboards: IA Posture Assessment"/>
    <x v="0"/>
    <n v="8"/>
    <x v="0"/>
    <s v="#262633"/>
    <s v="MUOS/Agile Teams/Cyber"/>
    <s v="Johnson, Derek T"/>
    <x v="35"/>
    <x v="7"/>
    <m/>
    <x v="25"/>
    <x v="3"/>
    <x v="13"/>
    <x v="157"/>
    <m/>
  </r>
  <r>
    <x v="1286"/>
    <n v="262244"/>
    <x v="0"/>
    <x v="2"/>
    <s v="IA Hardening - WannaCry Windows: ILS IETM updates"/>
    <x v="0"/>
    <n v="0"/>
    <x v="0"/>
    <s v="#262253"/>
    <s v="MUOS/ILS: IETM and Documentation (CDRLs)"/>
    <s v="Dixon, Craig R"/>
    <x v="35"/>
    <x v="7"/>
    <m/>
    <x v="25"/>
    <x v="3"/>
    <x v="13"/>
    <x v="157"/>
    <m/>
  </r>
  <r>
    <x v="1287"/>
    <n v="216552"/>
    <x v="1"/>
    <x v="4"/>
    <s v="RMF Step 4 - RMF System Level Continuous Monitoring (SLCM) Strategy artifact updates (GD support to PMW-146)"/>
    <x v="0"/>
    <m/>
    <x v="0"/>
    <m/>
    <s v="MUOS/Agile Teams/Cyber"/>
    <s v="Dailey, Conan B"/>
    <x v="35"/>
    <x v="7"/>
    <m/>
    <x v="25"/>
    <x v="3"/>
    <x v="13"/>
    <x v="157"/>
    <m/>
  </r>
  <r>
    <x v="1288"/>
    <n v="258337"/>
    <x v="0"/>
    <x v="0"/>
    <s v="AMS-GS Alarm Distribution &amp; Fault Recovery Procedures - PI7: IA Posture Assessment"/>
    <x v="0"/>
    <n v="8"/>
    <x v="0"/>
    <s v="#258344"/>
    <s v="MUOS/Agile Teams/Cyber"/>
    <s v="Johnson, Derek T"/>
    <x v="35"/>
    <x v="7"/>
    <m/>
    <x v="25"/>
    <x v="3"/>
    <x v="13"/>
    <x v="157"/>
    <m/>
  </r>
  <r>
    <x v="1289"/>
    <n v="251276"/>
    <x v="0"/>
    <x v="0"/>
    <s v="Improve effectiveness of Splunk dashboard navigation: IA Posture Assessment and MFR content"/>
    <x v="0"/>
    <n v="8"/>
    <x v="0"/>
    <s v="#251283"/>
    <s v="MUOS/Agile Teams/Cyber"/>
    <s v="Johnson, Derek T"/>
    <x v="35"/>
    <x v="7"/>
    <m/>
    <x v="25"/>
    <x v="3"/>
    <x v="13"/>
    <x v="157"/>
    <m/>
  </r>
  <r>
    <x v="1290"/>
    <n v="221231"/>
    <x v="0"/>
    <x v="0"/>
    <s v="Auto Logging: Create IA Posture Assessment"/>
    <x v="0"/>
    <n v="5"/>
    <x v="0"/>
    <s v="#262820"/>
    <s v="MUOS/Agile Teams/Cyber"/>
    <s v="Johnson, Derek T"/>
    <x v="35"/>
    <x v="7"/>
    <m/>
    <x v="25"/>
    <x v="3"/>
    <x v="13"/>
    <x v="157"/>
    <m/>
  </r>
  <r>
    <x v="1291"/>
    <n v="265531"/>
    <x v="0"/>
    <x v="0"/>
    <s v="Feature 265531: IA Posture Assessment and MFR"/>
    <x v="0"/>
    <n v="5"/>
    <x v="0"/>
    <m/>
    <s v="MUOS/Agile Teams/Cyber"/>
    <s v="Johnson, Derek T"/>
    <x v="35"/>
    <x v="7"/>
    <m/>
    <x v="25"/>
    <x v="3"/>
    <x v="13"/>
    <x v="157"/>
    <m/>
  </r>
  <r>
    <x v="1292"/>
    <n v="216556"/>
    <x v="0"/>
    <x v="0"/>
    <s v="Create IA Posture Assesment for AddMe GSL Improvements Feature"/>
    <x v="0"/>
    <n v="3"/>
    <x v="0"/>
    <m/>
    <s v="MUOS/Agile Teams/Cyber"/>
    <s v="Unassigned"/>
    <x v="35"/>
    <x v="7"/>
    <m/>
    <x v="25"/>
    <x v="3"/>
    <x v="13"/>
    <x v="157"/>
    <m/>
  </r>
  <r>
    <x v="1293"/>
    <n v="245560"/>
    <x v="3"/>
    <x v="6"/>
    <s v="TD 18-02 IGP, IA Sustainment: Ground System Components Require IA Hardening"/>
    <x v="0"/>
    <m/>
    <x v="0"/>
    <m/>
    <s v="MUOS/Agile Teams/Cyber"/>
    <s v="Johnson, Derek T"/>
    <x v="35"/>
    <x v="7"/>
    <m/>
    <x v="25"/>
    <x v="3"/>
    <x v="13"/>
    <x v="157"/>
    <m/>
  </r>
  <r>
    <x v="1294"/>
    <n v="245560"/>
    <x v="3"/>
    <x v="6"/>
    <s v="Laptop XP eradication"/>
    <x v="0"/>
    <m/>
    <x v="0"/>
    <m/>
    <s v="MUOS/Agile Teams/Cyber"/>
    <s v="Johnson, Derek T"/>
    <x v="35"/>
    <x v="7"/>
    <m/>
    <x v="25"/>
    <x v="3"/>
    <x v="13"/>
    <x v="157"/>
    <m/>
  </r>
  <r>
    <x v="1295"/>
    <m/>
    <x v="5"/>
    <x v="10"/>
    <m/>
    <x v="47"/>
    <m/>
    <x v="0"/>
    <m/>
    <m/>
    <m/>
    <x v="35"/>
    <x v="7"/>
    <m/>
    <x v="25"/>
    <x v="3"/>
    <x v="13"/>
    <x v="157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4" applyNumberFormats="0" applyBorderFormats="0" applyFontFormats="0" applyPatternFormats="0" applyAlignmentFormats="0" applyWidthHeightFormats="1" dataCaption="Values" updatedVersion="6" minRefreshableVersion="3" itemPrintTitles="1" createdVersion="4" indent="0" compact="0" compactData="0" gridDropZones="1" multipleFieldFilters="0">
  <location ref="A12:F59" firstHeaderRow="1" firstDataRow="2" firstDataCol="2" rowPageCount="8" colPageCount="1"/>
  <pivotFields count="19">
    <pivotField axis="axisPage" compact="0" outline="0" showAll="0">
      <items count="2570">
        <item x="1295"/>
        <item m="1" x="1471"/>
        <item m="1" x="1473"/>
        <item m="1" x="1474"/>
        <item m="1" x="1476"/>
        <item m="1" x="1477"/>
        <item m="1" x="1479"/>
        <item m="1" x="1480"/>
        <item m="1" x="1481"/>
        <item m="1" x="1482"/>
        <item m="1" x="1483"/>
        <item m="1" x="1484"/>
        <item m="1" x="1485"/>
        <item m="1" x="1486"/>
        <item m="1" x="1488"/>
        <item m="1" x="1511"/>
        <item m="1" x="1515"/>
        <item m="1" x="1517"/>
        <item m="1" x="1520"/>
        <item m="1" x="1523"/>
        <item m="1" x="1526"/>
        <item m="1" x="1529"/>
        <item m="1" x="1533"/>
        <item m="1" x="1536"/>
        <item m="1" x="1539"/>
        <item m="1" x="1540"/>
        <item m="1" x="1541"/>
        <item m="1" x="1542"/>
        <item m="1" x="1543"/>
        <item m="1" x="1544"/>
        <item m="1" x="1546"/>
        <item m="1" x="1548"/>
        <item m="1" x="1549"/>
        <item m="1" x="1550"/>
        <item m="1" x="1551"/>
        <item m="1" x="1552"/>
        <item m="1" x="1554"/>
        <item m="1" x="1555"/>
        <item m="1" x="1557"/>
        <item m="1" x="1558"/>
        <item m="1" x="1561"/>
        <item m="1" x="1563"/>
        <item m="1" x="1568"/>
        <item m="1" x="1571"/>
        <item m="1" x="1572"/>
        <item m="1" x="1573"/>
        <item m="1" x="1575"/>
        <item m="1" x="1578"/>
        <item m="1" x="1579"/>
        <item m="1" x="1581"/>
        <item m="1" x="1583"/>
        <item m="1" x="1584"/>
        <item m="1" x="1586"/>
        <item m="1" x="1588"/>
        <item m="1" x="1589"/>
        <item m="1" x="1590"/>
        <item m="1" x="1591"/>
        <item m="1" x="1593"/>
        <item m="1" x="1594"/>
        <item m="1" x="1595"/>
        <item m="1" x="1596"/>
        <item m="1" x="1597"/>
        <item m="1" x="1599"/>
        <item m="1" x="1600"/>
        <item m="1" x="1601"/>
        <item m="1" x="1607"/>
        <item m="1" x="1957"/>
        <item m="1" x="1390"/>
        <item m="1" x="2450"/>
        <item x="1013"/>
        <item x="1293"/>
        <item x="1294"/>
        <item m="1" x="1694"/>
        <item x="1020"/>
        <item m="1" x="1984"/>
        <item m="1" x="1985"/>
        <item m="1" x="1986"/>
        <item m="1" x="1468"/>
        <item m="1" x="2444"/>
        <item x="1012"/>
        <item x="1292"/>
        <item x="1291"/>
        <item m="1" x="2443"/>
        <item x="1290"/>
        <item x="1289"/>
        <item m="1" x="1945"/>
        <item x="1288"/>
        <item m="1" x="2417"/>
        <item x="1285"/>
        <item m="1" x="2142"/>
        <item m="1" x="2143"/>
        <item m="1" x="2147"/>
        <item m="1" x="2161"/>
        <item x="1284"/>
        <item m="1" x="2227"/>
        <item x="1283"/>
        <item x="1282"/>
        <item x="1281"/>
        <item m="1" x="1585"/>
        <item x="1280"/>
        <item m="1" x="2324"/>
        <item m="1" x="2499"/>
        <item m="1" x="2505"/>
        <item x="1279"/>
        <item x="1278"/>
        <item x="1277"/>
        <item x="1276"/>
        <item m="1" x="1769"/>
        <item m="1" x="2226"/>
        <item x="1275"/>
        <item m="1" x="1324"/>
        <item m="1" x="1347"/>
        <item m="1" x="1378"/>
        <item x="1022"/>
        <item x="1274"/>
        <item x="1015"/>
        <item x="1014"/>
        <item m="1" x="2003"/>
        <item x="1273"/>
        <item x="1272"/>
        <item m="1" x="2173"/>
        <item x="1271"/>
        <item x="1270"/>
        <item x="1269"/>
        <item m="1" x="1617"/>
        <item m="1" x="1753"/>
        <item m="1" x="1755"/>
        <item m="1" x="1756"/>
        <item x="1268"/>
        <item x="1011"/>
        <item x="1267"/>
        <item m="1" x="2102"/>
        <item m="1" x="1434"/>
        <item x="1266"/>
        <item m="1" x="1767"/>
        <item m="1" x="1770"/>
        <item m="1" x="1922"/>
        <item m="1" x="2017"/>
        <item x="1265"/>
        <item x="1264"/>
        <item m="1" x="2423"/>
        <item m="1" x="2428"/>
        <item m="1" x="2441"/>
        <item m="1" x="1339"/>
        <item m="1" x="1346"/>
        <item m="1" x="2513"/>
        <item m="1" x="2517"/>
        <item m="1" x="2521"/>
        <item m="1" x="2523"/>
        <item m="1" x="2568"/>
        <item m="1" x="1382"/>
        <item x="1018"/>
        <item x="1017"/>
        <item m="1" x="1822"/>
        <item m="1" x="2095"/>
        <item x="1247"/>
        <item m="1" x="2249"/>
        <item m="1" x="2445"/>
        <item m="1" x="2446"/>
        <item m="1" x="1891"/>
        <item x="1263"/>
        <item x="1262"/>
        <item x="1261"/>
        <item x="1260"/>
        <item x="1259"/>
        <item x="1258"/>
        <item m="1" x="2228"/>
        <item m="1" x="2230"/>
        <item m="1" x="2235"/>
        <item m="1" x="2234"/>
        <item m="1" x="2238"/>
        <item m="1" x="2244"/>
        <item m="1" x="2306"/>
        <item m="1" x="2312"/>
        <item m="1" x="2338"/>
        <item m="1" x="2349"/>
        <item m="1" x="2352"/>
        <item m="1" x="2355"/>
        <item m="1" x="2374"/>
        <item m="1" x="2383"/>
        <item x="1257"/>
        <item x="1256"/>
        <item m="1" x="2389"/>
        <item m="1" x="2391"/>
        <item m="1" x="2403"/>
        <item m="1" x="2406"/>
        <item x="1254"/>
        <item x="1252"/>
        <item m="1" x="2412"/>
        <item m="1" x="2416"/>
        <item m="1" x="2421"/>
        <item m="1" x="2433"/>
        <item m="1" x="2447"/>
        <item m="1" x="2448"/>
        <item x="1251"/>
        <item x="1250"/>
        <item m="1" x="2451"/>
        <item m="1" x="2452"/>
        <item m="1" x="2454"/>
        <item m="1" x="2457"/>
        <item m="1" x="2462"/>
        <item m="1" x="2477"/>
        <item m="1" x="2479"/>
        <item x="1249"/>
        <item x="1248"/>
        <item x="1246"/>
        <item m="1" x="2096"/>
        <item m="1" x="2097"/>
        <item m="1" x="2100"/>
        <item m="1" x="2101"/>
        <item m="1" x="2160"/>
        <item m="1" x="2166"/>
        <item m="1" x="2167"/>
        <item m="1" x="2168"/>
        <item m="1" x="2114"/>
        <item m="1" x="1912"/>
        <item m="1" x="1918"/>
        <item m="1" x="1722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33"/>
        <item m="1" x="1734"/>
        <item m="1" x="1735"/>
        <item m="1" x="1736"/>
        <item m="1" x="1739"/>
        <item m="1" x="1744"/>
        <item m="1" x="1747"/>
        <item m="1" x="1748"/>
        <item m="1" x="1757"/>
        <item m="1" x="1758"/>
        <item m="1" x="1759"/>
        <item m="1" x="1760"/>
        <item m="1" x="1761"/>
        <item m="1" x="1762"/>
        <item m="1" x="1771"/>
        <item m="1" x="1772"/>
        <item m="1" x="1296"/>
        <item m="1" x="1469"/>
        <item m="1" x="1847"/>
        <item m="1" x="1848"/>
        <item m="1" x="1411"/>
        <item m="1" x="1478"/>
        <item m="1" x="1300"/>
        <item x="1008"/>
        <item x="1245"/>
        <item x="1244"/>
        <item m="1" x="1960"/>
        <item m="1" x="1963"/>
        <item m="1" x="2151"/>
        <item x="1007"/>
        <item m="1" x="2229"/>
        <item m="1" x="2387"/>
        <item m="1" x="2394"/>
        <item m="1" x="2397"/>
        <item m="1" x="2442"/>
        <item m="1" x="2453"/>
        <item m="1" x="1816"/>
        <item m="1" x="1819"/>
        <item m="1" x="2237"/>
        <item m="1" x="1426"/>
        <item m="1" x="1441"/>
        <item m="1" x="1915"/>
        <item m="1" x="1917"/>
        <item m="1" x="1921"/>
        <item m="1" x="2385"/>
        <item m="1" x="2386"/>
        <item m="1" x="2331"/>
        <item m="1" x="2336"/>
        <item m="1" x="2344"/>
        <item m="1" x="2456"/>
        <item x="1243"/>
        <item x="1242"/>
        <item x="1241"/>
        <item x="1240"/>
        <item x="1239"/>
        <item m="1" x="2398"/>
        <item m="1" x="2400"/>
        <item m="1" x="1375"/>
        <item m="1" x="1388"/>
        <item m="1" x="1797"/>
        <item m="1" x="1509"/>
        <item m="1" x="1513"/>
        <item m="1" x="1720"/>
        <item m="1" x="1516"/>
        <item m="1" x="1519"/>
        <item m="1" x="1521"/>
        <item m="1" x="1522"/>
        <item m="1" x="1524"/>
        <item m="1" x="1525"/>
        <item m="1" x="2467"/>
        <item m="1" x="1508"/>
        <item m="1" x="2407"/>
        <item x="1238"/>
        <item x="1237"/>
        <item x="1004"/>
        <item x="1003"/>
        <item x="1002"/>
        <item x="1001"/>
        <item x="1000"/>
        <item x="999"/>
        <item x="998"/>
        <item x="997"/>
        <item m="1" x="1423"/>
        <item m="1" x="1437"/>
        <item x="1236"/>
        <item x="1235"/>
        <item m="1" x="1913"/>
        <item m="1" x="2064"/>
        <item m="1" x="2059"/>
        <item m="1" x="1962"/>
        <item m="1" x="1901"/>
        <item m="1" x="1831"/>
        <item m="1" x="2078"/>
        <item m="1" x="2062"/>
        <item m="1" x="2063"/>
        <item m="1" x="2056"/>
        <item m="1" x="2057"/>
        <item m="1" x="2048"/>
        <item m="1" x="2049"/>
        <item m="1" x="2046"/>
        <item m="1" x="2045"/>
        <item m="1" x="2040"/>
        <item m="1" x="2041"/>
        <item m="1" x="2036"/>
        <item m="1" x="2037"/>
        <item m="1" x="2044"/>
        <item m="1" x="2136"/>
        <item x="1023"/>
        <item m="1" x="2248"/>
        <item m="1" x="2401"/>
        <item x="1005"/>
        <item x="993"/>
        <item x="992"/>
        <item x="991"/>
        <item m="1" x="1393"/>
        <item m="1" x="1398"/>
        <item m="1" x="1710"/>
        <item m="1" x="2120"/>
        <item m="1" x="1778"/>
        <item m="1" x="2005"/>
        <item m="1" x="2098"/>
        <item m="1" x="2107"/>
        <item m="1" x="2122"/>
        <item m="1" x="2236"/>
        <item m="1" x="2396"/>
        <item m="1" x="2414"/>
        <item m="1" x="2413"/>
        <item m="1" x="2410"/>
        <item m="1" x="2424"/>
        <item m="1" x="2422"/>
        <item m="1" x="2420"/>
        <item m="1" x="2418"/>
        <item m="1" x="2415"/>
        <item m="1" x="2439"/>
        <item m="1" x="2436"/>
        <item m="1" x="1781"/>
        <item m="1" x="2529"/>
        <item m="1" x="2530"/>
        <item m="1" x="2531"/>
        <item m="1" x="2532"/>
        <item m="1" x="2533"/>
        <item m="1" x="2534"/>
        <item m="1" x="2535"/>
        <item m="1" x="2536"/>
        <item m="1" x="2538"/>
        <item m="1" x="1489"/>
        <item m="1" x="1491"/>
        <item m="1" x="1492"/>
        <item m="1" x="1494"/>
        <item m="1" x="1497"/>
        <item m="1" x="1499"/>
        <item m="1" x="1490"/>
        <item m="1" x="1715"/>
        <item m="1" x="1613"/>
        <item m="1" x="1615"/>
        <item m="1" x="1500"/>
        <item m="1" x="2539"/>
        <item m="1" x="1737"/>
        <item m="1" x="2191"/>
        <item m="1" x="2190"/>
        <item m="1" x="2189"/>
        <item m="1" x="2188"/>
        <item m="1" x="2187"/>
        <item m="1" x="2186"/>
        <item m="1" x="2185"/>
        <item m="1" x="2182"/>
        <item m="1" x="2180"/>
        <item m="1" x="1803"/>
        <item m="1" x="2518"/>
        <item m="1" x="2081"/>
        <item m="1" x="2079"/>
        <item m="1" x="2077"/>
        <item m="1" x="2074"/>
        <item x="1016"/>
        <item m="1" x="2440"/>
        <item m="1" x="2438"/>
        <item m="1" x="2432"/>
        <item m="1" x="2431"/>
        <item m="1" x="2426"/>
        <item m="1" x="2425"/>
        <item x="1019"/>
        <item x="1286"/>
        <item m="1" x="1741"/>
        <item m="1" x="1738"/>
        <item m="1" x="1961"/>
        <item m="1" x="2085"/>
        <item x="988"/>
        <item m="1" x="2072"/>
        <item m="1" x="2075"/>
        <item m="1" x="2083"/>
        <item m="1" x="2060"/>
        <item m="1" x="2082"/>
        <item m="1" x="2084"/>
        <item m="1" x="2086"/>
        <item m="1" x="2090"/>
        <item m="1" x="2093"/>
        <item m="1" x="2099"/>
        <item m="1" x="2103"/>
        <item m="1" x="2104"/>
        <item m="1" x="2127"/>
        <item m="1" x="2125"/>
        <item m="1" x="2130"/>
        <item m="1" x="2131"/>
        <item m="1" x="2132"/>
        <item x="1225"/>
        <item x="1224"/>
        <item x="1223"/>
        <item x="1222"/>
        <item x="1221"/>
        <item x="1220"/>
        <item x="1219"/>
        <item x="1218"/>
        <item x="1217"/>
        <item x="1216"/>
        <item m="1" x="2253"/>
        <item m="1" x="2254"/>
        <item m="1" x="2255"/>
        <item m="1" x="2342"/>
        <item m="1" x="2429"/>
        <item m="1" x="2294"/>
        <item m="1" x="2295"/>
        <item m="1" x="2296"/>
        <item m="1" x="2297"/>
        <item m="1" x="2298"/>
        <item m="1" x="2299"/>
        <item m="1" x="2301"/>
        <item m="1" x="2260"/>
        <item m="1" x="2262"/>
        <item m="1" x="2265"/>
        <item m="1" x="2266"/>
        <item m="1" x="2268"/>
        <item m="1" x="2286"/>
        <item m="1" x="2287"/>
        <item m="1" x="2288"/>
        <item m="1" x="2289"/>
        <item m="1" x="2290"/>
        <item m="1" x="2291"/>
        <item m="1" x="2292"/>
        <item x="1234"/>
        <item x="1233"/>
        <item x="1232"/>
        <item x="1231"/>
        <item x="1230"/>
        <item x="1229"/>
        <item x="1228"/>
        <item x="1227"/>
        <item x="1226"/>
        <item m="1" x="2555"/>
        <item m="1" x="1328"/>
        <item m="1" x="1530"/>
        <item m="1" x="1574"/>
        <item m="1" x="1582"/>
        <item m="1" x="1693"/>
        <item m="1" x="1695"/>
        <item m="1" x="1711"/>
        <item m="1" x="1712"/>
        <item m="1" x="1810"/>
        <item m="1" x="1787"/>
        <item m="1" x="1774"/>
        <item m="1" x="1773"/>
        <item m="1" x="1518"/>
        <item m="1" x="1943"/>
        <item m="1" x="1939"/>
        <item m="1" x="1936"/>
        <item m="1" x="1354"/>
        <item m="1" x="1392"/>
        <item x="1213"/>
        <item m="1" x="1801"/>
        <item m="1" x="1799"/>
        <item m="1" x="1357"/>
        <item m="1" x="1448"/>
        <item x="1194"/>
        <item x="1181"/>
        <item m="1" x="1623"/>
        <item x="1161"/>
        <item x="1134"/>
        <item x="1121"/>
        <item m="1" x="1706"/>
        <item x="1095"/>
        <item m="1" x="1412"/>
        <item m="1" x="1930"/>
        <item x="1065"/>
        <item m="1" x="1995"/>
        <item m="1" x="2137"/>
        <item m="1" x="2203"/>
        <item x="1044"/>
        <item x="961"/>
        <item m="1" x="1937"/>
        <item m="1" x="1854"/>
        <item m="1" x="1840"/>
        <item m="1" x="1353"/>
        <item m="1" x="1446"/>
        <item x="960"/>
        <item x="962"/>
        <item m="1" x="2206"/>
        <item x="1041"/>
        <item m="1" x="1419"/>
        <item m="1" x="1413"/>
        <item m="1" x="1421"/>
        <item m="1" x="1422"/>
        <item m="1" x="1414"/>
        <item m="1" x="1431"/>
        <item m="1" x="1416"/>
        <item m="1" x="1436"/>
        <item m="1" x="1417"/>
        <item m="1" x="1439"/>
        <item m="1" x="1418"/>
        <item m="1" x="1299"/>
        <item m="1" x="1704"/>
        <item m="1" x="1702"/>
        <item m="1" x="1718"/>
        <item m="1" x="1716"/>
        <item m="1" x="1776"/>
        <item m="1" x="1904"/>
        <item m="1" x="1910"/>
        <item m="1" x="1914"/>
        <item m="1" x="1911"/>
        <item m="1" x="1909"/>
        <item m="1" x="1907"/>
        <item m="1" x="1916"/>
        <item m="1" x="1947"/>
        <item m="1" x="2135"/>
        <item m="1" x="2195"/>
        <item m="1" x="2159"/>
        <item m="1" x="2158"/>
        <item m="1" x="2204"/>
        <item x="1024"/>
        <item m="1" x="1302"/>
        <item x="958"/>
        <item m="1" x="1306"/>
        <item m="1" x="1308"/>
        <item m="1" x="1310"/>
        <item m="1" x="1403"/>
        <item m="1" x="1370"/>
        <item m="1" x="1367"/>
        <item m="1" x="2310"/>
        <item m="1" x="2309"/>
        <item m="1" x="2304"/>
        <item m="1" x="2339"/>
        <item m="1" x="2335"/>
        <item m="1" x="2353"/>
        <item m="1" x="1371"/>
        <item m="1" x="1374"/>
        <item m="1" x="1965"/>
        <item m="1" x="1330"/>
        <item m="1" x="2282"/>
        <item m="1" x="1713"/>
        <item m="1" x="1691"/>
        <item m="1" x="1690"/>
        <item m="1" x="1689"/>
        <item m="1" x="1688"/>
        <item m="1" x="1687"/>
        <item m="1" x="1686"/>
        <item m="1" x="1381"/>
        <item m="1" x="1895"/>
        <item m="1" x="1897"/>
        <item m="1" x="1896"/>
        <item m="1" x="1899"/>
        <item m="1" x="1898"/>
        <item m="1" x="1900"/>
        <item m="1" x="1507"/>
        <item m="1" x="2116"/>
        <item m="1" x="2128"/>
        <item m="1" x="2129"/>
        <item m="1" x="2246"/>
        <item m="1" x="2247"/>
        <item m="1" x="2240"/>
        <item m="1" x="2256"/>
        <item m="1" x="2252"/>
        <item m="1" x="2519"/>
        <item m="1" x="1999"/>
        <item x="31"/>
        <item x="60"/>
        <item x="87"/>
        <item m="1" x="1673"/>
        <item m="1" x="1698"/>
        <item m="1" x="1926"/>
        <item m="1" x="2293"/>
        <item m="1" x="1670"/>
        <item m="1" x="2345"/>
        <item m="1" x="2515"/>
        <item m="1" x="1341"/>
        <item m="1" x="1340"/>
        <item m="1" x="1342"/>
        <item m="1" x="1338"/>
        <item m="1" x="1337"/>
        <item m="1" x="1343"/>
        <item m="1" x="1336"/>
        <item m="1" x="1335"/>
        <item m="1" x="1929"/>
        <item m="1" x="1925"/>
        <item m="1" x="2565"/>
        <item m="1" x="2566"/>
        <item m="1" x="1502"/>
        <item m="1" x="1503"/>
        <item m="1" x="1505"/>
        <item m="1" x="1506"/>
        <item x="642"/>
        <item x="643"/>
        <item x="644"/>
        <item m="1" x="2030"/>
        <item x="634"/>
        <item m="1" x="2038"/>
        <item m="1" x="2039"/>
        <item m="1" x="1331"/>
        <item x="633"/>
        <item x="635"/>
        <item m="1" x="1350"/>
        <item m="1" x="1349"/>
        <item m="1" x="1496"/>
        <item m="1" x="1495"/>
        <item m="1" x="1692"/>
        <item m="1" x="1703"/>
        <item m="1" x="1707"/>
        <item m="1" x="1709"/>
        <item m="1" x="1714"/>
        <item m="1" x="1958"/>
        <item m="1" x="1972"/>
        <item m="1" x="1971"/>
        <item m="1" x="1974"/>
        <item m="1" x="1977"/>
        <item m="1" x="1978"/>
        <item m="1" x="1979"/>
        <item m="1" x="1980"/>
        <item m="1" x="1976"/>
        <item m="1" x="1981"/>
        <item m="1" x="1959"/>
        <item m="1" x="1982"/>
        <item m="1" x="2050"/>
        <item m="1" x="2051"/>
        <item m="1" x="2052"/>
        <item m="1" x="2053"/>
        <item m="1" x="2058"/>
        <item m="1" x="2054"/>
        <item m="1" x="2055"/>
        <item x="199"/>
        <item x="200"/>
        <item x="201"/>
        <item x="202"/>
        <item m="1" x="1998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m="1" x="2015"/>
        <item m="1" x="2028"/>
        <item m="1" x="2025"/>
        <item m="1" x="2018"/>
        <item m="1" x="2106"/>
        <item m="1" x="1793"/>
        <item x="645"/>
        <item m="1" x="1942"/>
        <item m="1" x="1624"/>
        <item m="1" x="2184"/>
        <item m="1" x="2178"/>
        <item m="1" x="2177"/>
        <item m="1" x="2175"/>
        <item m="1" x="2174"/>
        <item m="1" x="2172"/>
        <item m="1" x="2170"/>
        <item m="1" x="2169"/>
        <item m="1" x="2165"/>
        <item m="1" x="1365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m="1" x="2065"/>
        <item m="1" x="2068"/>
        <item m="1" x="2156"/>
        <item m="1" x="2155"/>
        <item m="1" x="2154"/>
        <item m="1" x="2152"/>
        <item m="1" x="2149"/>
        <item m="1" x="2148"/>
        <item m="1" x="2146"/>
        <item m="1" x="2145"/>
        <item m="1" x="2144"/>
        <item m="1" x="2141"/>
        <item m="1" x="2140"/>
        <item m="1" x="2138"/>
        <item m="1" x="1389"/>
        <item m="1" x="1387"/>
        <item m="1" x="1386"/>
        <item m="1" x="1385"/>
        <item m="1" x="1384"/>
        <item m="1" x="1383"/>
        <item m="1" x="1380"/>
        <item m="1" x="1351"/>
        <item m="1" x="1920"/>
        <item m="1" x="1345"/>
        <item m="1" x="1344"/>
        <item m="1" x="1363"/>
        <item m="1" x="1362"/>
        <item m="1" x="1361"/>
        <item m="1" x="1360"/>
        <item m="1" x="1359"/>
        <item m="1" x="1358"/>
        <item m="1" x="1356"/>
        <item m="1" x="1355"/>
        <item m="1" x="1352"/>
        <item x="957"/>
        <item m="1" x="2181"/>
        <item m="1" x="1956"/>
        <item m="1" x="1955"/>
        <item m="1" x="1954"/>
        <item m="1" x="1951"/>
        <item m="1" x="1950"/>
        <item m="1" x="1949"/>
        <item m="1" x="1948"/>
        <item m="1" x="1933"/>
        <item x="1021"/>
        <item m="1" x="2362"/>
        <item m="1" x="2337"/>
        <item m="1" x="2481"/>
        <item m="1" x="2482"/>
        <item m="1" x="2483"/>
        <item m="1" x="2486"/>
        <item x="1010"/>
        <item x="1009"/>
        <item x="990"/>
        <item x="989"/>
        <item m="1" x="1527"/>
        <item m="1" x="1538"/>
        <item m="1" x="1535"/>
        <item m="1" x="1532"/>
        <item m="1" x="1531"/>
        <item m="1" x="1528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8"/>
        <item x="89"/>
        <item x="1006"/>
        <item x="996"/>
        <item m="1" x="1420"/>
        <item x="1197"/>
        <item x="1198"/>
        <item x="1199"/>
        <item x="1200"/>
        <item x="1201"/>
        <item x="1202"/>
        <item m="1" x="2207"/>
        <item m="1" x="2202"/>
        <item m="1" x="1319"/>
        <item m="1" x="1326"/>
        <item m="1" x="1327"/>
        <item m="1" x="1325"/>
        <item m="1" x="1570"/>
        <item m="1" x="1566"/>
        <item m="1" x="1564"/>
        <item m="1" x="1562"/>
        <item m="1" x="1560"/>
        <item m="1" x="2285"/>
        <item m="1" x="1577"/>
        <item m="1" x="1882"/>
        <item m="1" x="1881"/>
        <item m="1" x="1880"/>
        <item m="1" x="1879"/>
        <item m="1" x="1878"/>
        <item m="1" x="1877"/>
        <item m="1" x="1876"/>
        <item m="1" x="1875"/>
        <item m="1" x="1874"/>
        <item m="1" x="1871"/>
        <item m="1" x="1870"/>
        <item m="1" x="1869"/>
        <item m="1" x="1868"/>
        <item m="1" x="1867"/>
        <item m="1" x="1866"/>
        <item m="1" x="1864"/>
        <item m="1" x="1862"/>
        <item m="1" x="1860"/>
        <item m="1" x="1859"/>
        <item m="1" x="1858"/>
        <item m="1" x="1856"/>
        <item m="1" x="1820"/>
        <item m="1" x="1746"/>
        <item m="1" x="1626"/>
        <item m="1" x="1846"/>
        <item m="1" x="1890"/>
        <item m="1" x="2311"/>
        <item m="1" x="2313"/>
        <item m="1" x="1427"/>
        <item m="1" x="2283"/>
        <item m="1" x="2560"/>
        <item m="1" x="2561"/>
        <item m="1" x="2562"/>
        <item m="1" x="2567"/>
        <item m="1" x="1377"/>
        <item m="1" x="1443"/>
        <item x="1287"/>
        <item x="994"/>
        <item x="995"/>
        <item m="1" x="1625"/>
        <item m="1" x="2111"/>
        <item m="1" x="1587"/>
        <item m="1" x="1598"/>
        <item m="1" x="1608"/>
        <item m="1" x="1616"/>
        <item m="1" x="1619"/>
        <item m="1" x="1322"/>
        <item m="1" x="1318"/>
        <item m="1" x="2512"/>
        <item m="1" x="1301"/>
        <item m="1" x="1303"/>
        <item m="1" x="2464"/>
        <item m="1" x="1391"/>
        <item m="1" x="1935"/>
        <item m="1" x="1938"/>
        <item m="1" x="1415"/>
        <item m="1" x="1996"/>
        <item x="950"/>
        <item m="1" x="2164"/>
        <item m="1" x="2171"/>
        <item m="1" x="2196"/>
        <item m="1" x="2205"/>
        <item m="1" x="2219"/>
        <item m="1" x="2376"/>
        <item m="1" x="2348"/>
        <item m="1" x="2347"/>
        <item m="1" x="2343"/>
        <item m="1" x="2559"/>
        <item m="1" x="1994"/>
        <item x="598"/>
        <item x="600"/>
        <item x="602"/>
        <item x="604"/>
        <item m="1" x="1493"/>
        <item x="606"/>
        <item m="1" x="1932"/>
        <item m="1" x="1743"/>
        <item m="1" x="1777"/>
        <item m="1" x="1804"/>
        <item m="1" x="1815"/>
        <item m="1" x="2020"/>
        <item m="1" x="2012"/>
        <item m="1" x="2011"/>
        <item m="1" x="1997"/>
        <item m="1" x="1987"/>
        <item m="1" x="2022"/>
        <item m="1" x="2021"/>
        <item m="1" x="2047"/>
        <item m="1" x="2119"/>
        <item m="1" x="2118"/>
        <item m="1" x="2117"/>
        <item m="1" x="2112"/>
        <item m="1" x="1408"/>
        <item m="1" x="2326"/>
        <item m="1" x="2330"/>
        <item m="1" x="2333"/>
        <item m="1" x="2494"/>
        <item m="1" x="2332"/>
        <item m="1" x="2328"/>
        <item m="1" x="2384"/>
        <item x="956"/>
        <item m="1" x="2404"/>
        <item x="102"/>
        <item m="1" x="2395"/>
        <item m="1" x="2392"/>
        <item m="1" x="2390"/>
        <item x="101"/>
        <item x="0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2"/>
        <item x="34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1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2"/>
        <item x="1043"/>
        <item x="959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6"/>
        <item x="1067"/>
        <item x="963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6"/>
        <item x="1097"/>
        <item x="964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2"/>
        <item x="1123"/>
        <item x="965"/>
        <item x="1124"/>
        <item x="1125"/>
        <item x="1126"/>
        <item x="1127"/>
        <item x="1128"/>
        <item x="1129"/>
        <item x="1130"/>
        <item x="1131"/>
        <item x="1132"/>
        <item x="1133"/>
        <item x="1135"/>
        <item x="1136"/>
        <item x="96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2"/>
        <item x="1163"/>
        <item x="967"/>
        <item x="1164"/>
        <item m="1" x="1621"/>
        <item x="1165"/>
        <item m="1" x="1620"/>
        <item m="1" x="1618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2"/>
        <item x="1183"/>
        <item x="968"/>
        <item x="1184"/>
        <item x="1185"/>
        <item x="1186"/>
        <item x="1187"/>
        <item x="1188"/>
        <item x="1189"/>
        <item x="1190"/>
        <item x="1191"/>
        <item x="1192"/>
        <item x="1193"/>
        <item x="1195"/>
        <item x="1196"/>
        <item x="969"/>
        <item x="1203"/>
        <item x="1204"/>
        <item x="1205"/>
        <item x="1206"/>
        <item x="1207"/>
        <item x="1208"/>
        <item x="1209"/>
        <item x="1210"/>
        <item x="1211"/>
        <item x="1212"/>
        <item x="1214"/>
        <item x="1215"/>
        <item x="970"/>
        <item m="1" x="1794"/>
        <item x="607"/>
        <item x="608"/>
        <item m="1" x="1312"/>
        <item m="1" x="1779"/>
        <item m="1" x="2558"/>
        <item m="1" x="1298"/>
        <item m="1" x="1297"/>
        <item m="1" x="1321"/>
        <item x="934"/>
        <item x="935"/>
        <item m="1" x="1458"/>
        <item m="1" x="1754"/>
        <item m="1" x="1445"/>
        <item m="1" x="1348"/>
        <item m="1" x="1465"/>
        <item m="1" x="1464"/>
        <item m="1" x="1765"/>
        <item m="1" x="1764"/>
        <item m="1" x="1763"/>
        <item m="1" x="1553"/>
        <item m="1" x="1463"/>
        <item m="1" x="1461"/>
        <item m="1" x="1460"/>
        <item m="1" x="1459"/>
        <item m="1" x="1457"/>
        <item m="1" x="1456"/>
        <item m="1" x="1455"/>
        <item m="1" x="1454"/>
        <item m="1" x="1453"/>
        <item m="1" x="1452"/>
        <item m="1" x="1451"/>
        <item m="1" x="1450"/>
        <item m="1" x="1449"/>
        <item m="1" x="1447"/>
        <item m="1" x="1510"/>
        <item m="1" x="1512"/>
        <item x="665"/>
        <item m="1" x="1379"/>
        <item m="1" x="1397"/>
        <item m="1" x="1396"/>
        <item m="1" x="1646"/>
        <item m="1" x="1802"/>
        <item m="1" x="1800"/>
        <item m="1" x="1611"/>
        <item m="1" x="1609"/>
        <item m="1" x="1699"/>
        <item m="1" x="1606"/>
        <item m="1" x="1605"/>
        <item m="1" x="1501"/>
        <item m="1" x="1472"/>
        <item m="1" x="1470"/>
        <item x="951"/>
        <item m="1" x="1462"/>
        <item m="1" x="1444"/>
        <item m="1" x="2546"/>
        <item m="1" x="2544"/>
        <item m="1" x="2516"/>
        <item m="1" x="2514"/>
        <item m="1" x="2511"/>
        <item x="936"/>
        <item m="1" x="2469"/>
        <item m="1" x="2466"/>
        <item m="1" x="2460"/>
        <item x="937"/>
        <item m="1" x="1580"/>
        <item m="1" x="1838"/>
        <item m="1" x="1834"/>
        <item m="1" x="1808"/>
        <item m="1" x="1806"/>
        <item m="1" x="1320"/>
        <item m="1" x="1952"/>
        <item m="1" x="1908"/>
        <item m="1" x="1992"/>
        <item m="1" x="1991"/>
        <item m="1" x="1990"/>
        <item m="1" x="1989"/>
        <item m="1" x="1988"/>
        <item x="672"/>
        <item m="1" x="1983"/>
        <item m="1" x="1993"/>
        <item m="1" x="2029"/>
        <item m="1" x="2023"/>
        <item m="1" x="2027"/>
        <item m="1" x="2026"/>
        <item m="1" x="2006"/>
        <item m="1" x="2157"/>
        <item m="1" x="2218"/>
        <item m="1" x="2217"/>
        <item m="1" x="2216"/>
        <item m="1" x="2214"/>
        <item m="1" x="2213"/>
        <item m="1" x="2133"/>
        <item m="1" x="1556"/>
        <item m="1" x="1647"/>
        <item m="1" x="1664"/>
        <item m="1" x="1631"/>
        <item m="1" x="1649"/>
        <item m="1" x="1674"/>
        <item m="1" x="1648"/>
        <item m="1" x="1644"/>
        <item m="1" x="1643"/>
        <item m="1" x="1642"/>
        <item m="1" x="1641"/>
        <item m="1" x="1640"/>
        <item m="1" x="1639"/>
        <item m="1" x="1638"/>
        <item m="1" x="1637"/>
        <item m="1" x="1636"/>
        <item m="1" x="1635"/>
        <item m="1" x="1634"/>
        <item m="1" x="1633"/>
        <item m="1" x="1632"/>
        <item m="1" x="1671"/>
        <item m="1" x="1665"/>
        <item m="1" x="1663"/>
        <item m="1" x="1662"/>
        <item m="1" x="1660"/>
        <item m="1" x="1659"/>
        <item m="1" x="1658"/>
        <item m="1" x="1657"/>
        <item m="1" x="1656"/>
        <item m="1" x="1655"/>
        <item m="1" x="1654"/>
        <item m="1" x="1653"/>
        <item m="1" x="1652"/>
        <item m="1" x="1651"/>
        <item m="1" x="1650"/>
        <item m="1" x="2233"/>
        <item m="1" x="2284"/>
        <item m="1" x="2307"/>
        <item m="1" x="2305"/>
        <item m="1" x="1576"/>
        <item m="1" x="2303"/>
        <item m="1" x="1752"/>
        <item m="1" x="1750"/>
        <item m="1" x="1749"/>
        <item m="1" x="1745"/>
        <item m="1" x="1788"/>
        <item x="946"/>
        <item x="947"/>
        <item x="948"/>
        <item m="1" x="1865"/>
        <item m="1" x="1863"/>
        <item m="1" x="1861"/>
        <item m="1" x="1855"/>
        <item m="1" x="1853"/>
        <item m="1" x="1852"/>
        <item m="1" x="1851"/>
        <item m="1" x="1850"/>
        <item m="1" x="1849"/>
        <item m="1" x="1845"/>
        <item m="1" x="1844"/>
        <item m="1" x="1843"/>
        <item m="1" x="1842"/>
        <item m="1" x="1841"/>
        <item m="1" x="1839"/>
        <item m="1" x="1837"/>
        <item m="1" x="1836"/>
        <item m="1" x="1835"/>
        <item m="1" x="1833"/>
        <item m="1" x="1825"/>
        <item m="1" x="1953"/>
        <item m="1" x="1941"/>
        <item m="1" x="2510"/>
        <item x="943"/>
        <item m="1" x="2004"/>
        <item m="1" x="2002"/>
        <item m="1" x="2076"/>
        <item m="1" x="2032"/>
        <item m="1" x="2031"/>
        <item m="1" x="2153"/>
        <item m="1" x="2150"/>
        <item m="1" x="2001"/>
        <item x="949"/>
        <item m="1" x="2069"/>
        <item m="1" x="2007"/>
        <item m="1" x="2134"/>
        <item x="938"/>
        <item m="1" x="2126"/>
        <item m="1" x="2105"/>
        <item x="939"/>
        <item x="940"/>
        <item x="941"/>
        <item m="1" x="2000"/>
        <item x="942"/>
        <item x="944"/>
        <item x="945"/>
        <item m="1" x="2212"/>
        <item m="1" x="2211"/>
        <item m="1" x="2209"/>
        <item m="1" x="2176"/>
        <item m="1" x="2179"/>
        <item m="1" x="2492"/>
        <item m="1" x="2357"/>
        <item m="1" x="2356"/>
        <item m="1" x="2354"/>
        <item m="1" x="2360"/>
        <item m="1" x="2359"/>
        <item m="1" x="2358"/>
        <item m="1" x="2366"/>
        <item m="1" x="2365"/>
        <item m="1" x="2364"/>
        <item m="1" x="2363"/>
        <item m="1" x="2361"/>
        <item m="1" x="2372"/>
        <item m="1" x="2370"/>
        <item m="1" x="2369"/>
        <item m="1" x="2368"/>
        <item m="1" x="2367"/>
        <item x="219"/>
        <item m="1" x="2375"/>
        <item m="1" x="2373"/>
        <item m="1" x="2382"/>
        <item m="1" x="2380"/>
        <item m="1" x="2379"/>
        <item m="1" x="2223"/>
        <item m="1" x="2463"/>
        <item m="1" x="2528"/>
        <item m="1" x="2540"/>
        <item m="1" x="2281"/>
        <item m="1" x="2542"/>
        <item m="1" x="2553"/>
        <item m="1" x="2564"/>
        <item m="1" x="1406"/>
        <item m="1" x="1504"/>
        <item m="1" x="1705"/>
        <item m="1" x="1612"/>
        <item x="673"/>
        <item m="1" x="1790"/>
        <item m="1" x="1786"/>
        <item m="1" x="1783"/>
        <item m="1" x="1782"/>
        <item m="1" x="1768"/>
        <item m="1" x="1805"/>
        <item x="250"/>
        <item m="1" x="1809"/>
        <item m="1" x="1807"/>
        <item m="1" x="1592"/>
        <item m="1" x="1798"/>
        <item m="1" x="1796"/>
        <item m="1" x="1811"/>
        <item m="1" x="1812"/>
        <item m="1" x="1813"/>
        <item m="1" x="1814"/>
        <item m="1" x="2402"/>
        <item m="1" x="2409"/>
        <item m="1" x="1329"/>
        <item m="1" x="2468"/>
        <item m="1" x="2497"/>
        <item m="1" x="2314"/>
        <item m="1" x="2308"/>
        <item m="1" x="2315"/>
        <item m="1" x="2318"/>
        <item m="1" x="2327"/>
        <item m="1" x="2319"/>
        <item m="1" x="2329"/>
        <item m="1" x="2458"/>
        <item m="1" x="2478"/>
        <item m="1" x="2471"/>
        <item m="1" x="2465"/>
        <item m="1" x="2459"/>
        <item m="1" x="1677"/>
        <item m="1" x="1678"/>
        <item m="1" x="1679"/>
        <item m="1" x="1680"/>
        <item x="674"/>
        <item x="675"/>
        <item x="676"/>
        <item x="677"/>
        <item m="1" x="2489"/>
        <item m="1" x="1924"/>
        <item m="1" x="1923"/>
        <item x="191"/>
        <item x="194"/>
        <item m="1" x="2061"/>
        <item m="1" x="2035"/>
        <item m="1" x="2080"/>
        <item m="1" x="2034"/>
        <item m="1" x="2088"/>
        <item m="1" x="2091"/>
        <item m="1" x="2094"/>
        <item m="1" x="2087"/>
        <item m="1" x="2092"/>
        <item m="1" x="2115"/>
        <item m="1" x="2113"/>
        <item m="1" x="2121"/>
        <item m="1" x="2405"/>
        <item m="1" x="2411"/>
        <item m="1" x="2419"/>
        <item x="678"/>
        <item m="1" x="1818"/>
        <item m="1" x="1817"/>
        <item m="1" x="1821"/>
        <item m="1" x="1903"/>
        <item m="1" x="1905"/>
        <item m="1" x="1906"/>
        <item m="1" x="2388"/>
        <item m="1" x="2275"/>
        <item m="1" x="2274"/>
        <item m="1" x="2272"/>
        <item m="1" x="2270"/>
        <item m="1" x="2264"/>
        <item x="679"/>
        <item m="1" x="2222"/>
        <item x="683"/>
        <item m="1" x="2300"/>
        <item m="1" x="2323"/>
        <item m="1" x="2340"/>
        <item m="1" x="2378"/>
        <item m="1" x="2377"/>
        <item m="1" x="2381"/>
        <item x="684"/>
        <item m="1" x="2473"/>
        <item x="690"/>
        <item x="691"/>
        <item x="692"/>
        <item m="1" x="1368"/>
        <item m="1" x="1364"/>
        <item m="1" x="1366"/>
        <item x="641"/>
        <item m="1" x="1372"/>
        <item x="198"/>
        <item x="1253"/>
        <item x="1255"/>
        <item m="1" x="1376"/>
        <item x="700"/>
        <item m="1" x="1630"/>
        <item m="1" x="1629"/>
        <item m="1" x="1628"/>
        <item m="1" x="1627"/>
        <item m="1" x="1373"/>
        <item m="1" x="1751"/>
        <item x="648"/>
        <item x="647"/>
        <item m="1" x="1830"/>
        <item x="694"/>
        <item m="1" x="1824"/>
        <item m="1" x="1969"/>
        <item m="1" x="1968"/>
        <item m="1" x="1967"/>
        <item m="1" x="1966"/>
        <item m="1" x="1823"/>
        <item x="709"/>
        <item x="711"/>
        <item m="1" x="1872"/>
        <item x="712"/>
        <item x="713"/>
        <item x="715"/>
        <item x="717"/>
        <item x="721"/>
        <item m="1" x="2508"/>
        <item x="216"/>
        <item m="1" x="2263"/>
        <item m="1" x="2261"/>
        <item x="217"/>
        <item m="1" x="2259"/>
        <item x="218"/>
        <item x="220"/>
        <item x="225"/>
        <item x="221"/>
        <item x="222"/>
        <item m="1" x="2269"/>
        <item x="223"/>
        <item m="1" x="2267"/>
        <item x="224"/>
        <item x="237"/>
        <item x="228"/>
        <item x="229"/>
        <item x="230"/>
        <item x="231"/>
        <item m="1" x="2273"/>
        <item m="1" x="2271"/>
        <item x="234"/>
        <item x="235"/>
        <item m="1" x="2276"/>
        <item x="236"/>
        <item x="232"/>
        <item x="242"/>
        <item x="233"/>
        <item m="1" x="2322"/>
        <item m="1" x="2317"/>
        <item x="698"/>
        <item x="697"/>
        <item x="696"/>
        <item m="1" x="2070"/>
        <item m="1" x="2066"/>
        <item m="1" x="2073"/>
        <item m="1" x="2071"/>
        <item m="1" x="2123"/>
        <item x="253"/>
        <item x="254"/>
        <item x="251"/>
        <item x="255"/>
        <item x="252"/>
        <item x="722"/>
        <item x="261"/>
        <item x="260"/>
        <item x="265"/>
        <item x="275"/>
        <item x="269"/>
        <item m="1" x="2484"/>
        <item x="733"/>
        <item x="92"/>
        <item x="94"/>
        <item x="93"/>
        <item x="108"/>
        <item x="103"/>
        <item m="1" x="1424"/>
        <item x="107"/>
        <item m="1" x="1425"/>
        <item m="1" x="1430"/>
        <item m="1" x="1428"/>
        <item m="1" x="1435"/>
        <item m="1" x="1433"/>
        <item m="1" x="1432"/>
        <item x="215"/>
        <item m="1" x="1407"/>
        <item x="277"/>
        <item x="278"/>
        <item x="279"/>
        <item x="280"/>
        <item x="284"/>
        <item x="281"/>
        <item x="282"/>
        <item x="283"/>
        <item x="285"/>
        <item x="291"/>
        <item x="293"/>
        <item x="287"/>
        <item x="286"/>
        <item m="1" x="1323"/>
        <item x="289"/>
        <item x="292"/>
        <item x="294"/>
        <item x="295"/>
        <item x="955"/>
        <item m="1" x="1332"/>
        <item x="651"/>
        <item x="257"/>
        <item x="258"/>
        <item x="259"/>
        <item x="264"/>
        <item x="267"/>
        <item x="274"/>
        <item x="266"/>
        <item x="271"/>
        <item x="272"/>
        <item x="273"/>
        <item x="734"/>
        <item m="1" x="1514"/>
        <item m="1" x="1604"/>
        <item m="1" x="1603"/>
        <item x="100"/>
        <item x="95"/>
        <item x="96"/>
        <item x="97"/>
        <item m="1" x="1545"/>
        <item x="256"/>
        <item x="276"/>
        <item m="1" x="1829"/>
        <item m="1" x="1827"/>
        <item m="1" x="1826"/>
        <item m="1" x="1887"/>
        <item m="1" x="1964"/>
        <item m="1" x="2485"/>
        <item m="1" x="2208"/>
        <item m="1" x="2502"/>
        <item m="1" x="2500"/>
        <item m="1" x="2220"/>
        <item m="1" x="2192"/>
        <item x="693"/>
        <item x="695"/>
        <item m="1" x="2507"/>
        <item m="1" x="2509"/>
        <item m="1" x="2124"/>
        <item m="1" x="2089"/>
        <item x="706"/>
        <item x="708"/>
        <item m="1" x="2194"/>
        <item m="1" x="2527"/>
        <item m="1" x="2524"/>
        <item m="1" x="2067"/>
        <item x="136"/>
        <item x="110"/>
        <item x="144"/>
        <item x="141"/>
        <item x="132"/>
        <item m="1" x="2225"/>
        <item m="1" x="1334"/>
        <item m="1" x="1333"/>
        <item m="1" x="2437"/>
        <item m="1" x="2434"/>
        <item m="1" x="2427"/>
        <item x="152"/>
        <item x="192"/>
        <item x="193"/>
        <item m="1" x="1766"/>
        <item x="636"/>
        <item m="1" x="2250"/>
        <item x="111"/>
        <item x="112"/>
        <item x="115"/>
        <item x="109"/>
        <item x="114"/>
        <item x="116"/>
        <item x="117"/>
        <item x="609"/>
        <item m="1" x="2455"/>
        <item x="290"/>
        <item x="646"/>
        <item m="1" x="2013"/>
        <item m="1" x="2014"/>
        <item m="1" x="2016"/>
        <item m="1" x="2019"/>
        <item x="661"/>
        <item x="663"/>
        <item x="670"/>
        <item m="1" x="2316"/>
        <item x="686"/>
        <item x="685"/>
        <item x="687"/>
        <item x="688"/>
        <item x="689"/>
        <item m="1" x="2470"/>
        <item m="1" x="2474"/>
        <item m="1" x="2475"/>
        <item m="1" x="2476"/>
        <item m="1" x="2472"/>
        <item x="707"/>
        <item m="1" x="2461"/>
        <item x="714"/>
        <item x="716"/>
        <item x="723"/>
        <item x="724"/>
        <item x="91"/>
        <item m="1" x="1400"/>
        <item x="99"/>
        <item x="249"/>
        <item x="638"/>
        <item x="637"/>
        <item m="1" x="1622"/>
        <item m="1" x="1700"/>
        <item x="227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9"/>
        <item x="601"/>
        <item x="603"/>
        <item x="605"/>
        <item m="1" x="1795"/>
        <item m="1" x="2520"/>
        <item x="90"/>
        <item m="1" x="1944"/>
        <item x="662"/>
        <item m="1" x="2024"/>
        <item m="1" x="2033"/>
        <item m="1" x="2563"/>
        <item m="1" x="1475"/>
        <item m="1" x="1534"/>
        <item m="1" x="1537"/>
        <item x="671"/>
        <item m="1" x="1931"/>
        <item x="320"/>
        <item x="306"/>
        <item x="326"/>
        <item x="321"/>
        <item x="310"/>
        <item x="327"/>
        <item x="322"/>
        <item x="317"/>
        <item x="315"/>
        <item x="311"/>
        <item x="307"/>
        <item x="299"/>
        <item x="328"/>
        <item x="339"/>
        <item x="336"/>
        <item x="334"/>
        <item x="333"/>
        <item x="332"/>
        <item x="331"/>
        <item x="329"/>
        <item x="337"/>
        <item x="340"/>
        <item x="338"/>
        <item m="1" x="1934"/>
        <item x="341"/>
        <item x="330"/>
        <item x="342"/>
        <item x="362"/>
        <item m="1" x="1902"/>
        <item x="740"/>
        <item x="262"/>
        <item x="263"/>
        <item x="319"/>
        <item x="316"/>
        <item x="314"/>
        <item x="309"/>
        <item x="305"/>
        <item x="298"/>
        <item x="743"/>
        <item x="745"/>
        <item x="746"/>
        <item x="749"/>
        <item x="742"/>
        <item x="752"/>
        <item x="753"/>
        <item m="1" x="2251"/>
        <item x="754"/>
        <item x="755"/>
        <item m="1" x="2325"/>
        <item x="756"/>
        <item x="113"/>
        <item x="226"/>
        <item x="650"/>
        <item m="1" x="2522"/>
        <item m="1" x="2526"/>
        <item m="1" x="2537"/>
        <item m="1" x="2541"/>
        <item m="1" x="2552"/>
        <item m="1" x="2554"/>
        <item m="1" x="2556"/>
        <item m="1" x="1610"/>
        <item m="1" x="1697"/>
        <item x="759"/>
        <item m="1" x="1873"/>
        <item x="268"/>
        <item x="652"/>
        <item x="757"/>
        <item m="1" x="2496"/>
        <item x="653"/>
        <item x="304"/>
        <item x="297"/>
        <item x="649"/>
        <item x="654"/>
        <item m="1" x="2501"/>
        <item x="655"/>
        <item x="656"/>
        <item m="1" x="2503"/>
        <item x="657"/>
        <item x="288"/>
        <item m="1" x="2139"/>
        <item m="1" x="1919"/>
        <item x="765"/>
        <item m="1" x="2162"/>
        <item m="1" x="2193"/>
        <item x="769"/>
        <item x="710"/>
        <item m="1" x="2371"/>
        <item m="1" x="1369"/>
        <item x="196"/>
        <item m="1" x="1442"/>
        <item m="1" x="1440"/>
        <item m="1" x="1438"/>
        <item x="195"/>
        <item m="1" x="1429"/>
        <item x="197"/>
        <item x="238"/>
        <item x="239"/>
        <item m="1" x="1676"/>
        <item x="240"/>
        <item x="241"/>
        <item m="1" x="1681"/>
        <item x="243"/>
        <item x="244"/>
        <item x="245"/>
        <item x="246"/>
        <item x="247"/>
        <item x="248"/>
        <item x="347"/>
        <item x="344"/>
        <item x="348"/>
        <item x="358"/>
        <item m="1" x="1682"/>
        <item x="352"/>
        <item x="346"/>
        <item x="357"/>
        <item m="1" x="1685"/>
        <item m="1" x="1684"/>
        <item m="1" x="1683"/>
        <item x="353"/>
        <item x="354"/>
        <item x="355"/>
        <item x="356"/>
        <item x="351"/>
        <item x="781"/>
        <item m="1" x="1559"/>
        <item m="1" x="1614"/>
        <item x="784"/>
        <item x="782"/>
        <item x="104"/>
        <item x="106"/>
        <item x="270"/>
        <item m="1" x="2232"/>
        <item x="155"/>
        <item x="167"/>
        <item x="105"/>
        <item m="1" x="1889"/>
        <item m="1" x="2506"/>
        <item m="1" x="2393"/>
        <item x="773"/>
        <item x="780"/>
        <item x="789"/>
        <item m="1" x="2525"/>
        <item m="1" x="2221"/>
        <item x="640"/>
        <item x="729"/>
        <item x="98"/>
        <item x="154"/>
        <item x="158"/>
        <item x="159"/>
        <item x="160"/>
        <item x="161"/>
        <item x="165"/>
        <item x="166"/>
        <item m="1" x="1410"/>
        <item m="1" x="1409"/>
        <item m="1" x="1467"/>
        <item m="1" x="1466"/>
        <item x="170"/>
        <item x="171"/>
        <item x="172"/>
        <item x="175"/>
        <item x="190"/>
        <item x="335"/>
        <item x="313"/>
        <item x="768"/>
        <item m="1" x="1645"/>
        <item x="758"/>
        <item x="761"/>
        <item x="762"/>
        <item x="763"/>
        <item x="764"/>
        <item x="153"/>
        <item x="157"/>
        <item x="730"/>
        <item m="1" x="1696"/>
        <item x="731"/>
        <item x="732"/>
        <item x="163"/>
        <item x="790"/>
        <item m="1" x="1740"/>
        <item m="1" x="1719"/>
        <item x="791"/>
        <item m="1" x="1721"/>
        <item m="1" x="1717"/>
        <item x="156"/>
        <item x="164"/>
        <item x="669"/>
        <item x="668"/>
        <item x="666"/>
        <item m="1" x="2408"/>
        <item m="1" x="2399"/>
        <item x="178"/>
        <item x="169"/>
        <item x="766"/>
        <item x="302"/>
        <item x="345"/>
        <item x="360"/>
        <item x="361"/>
        <item x="349"/>
        <item x="350"/>
        <item x="303"/>
        <item x="343"/>
        <item x="783"/>
        <item x="162"/>
        <item x="728"/>
        <item x="727"/>
        <item x="726"/>
        <item x="639"/>
        <item x="760"/>
        <item x="751"/>
        <item x="748"/>
        <item m="1" x="2449"/>
        <item x="325"/>
        <item x="681"/>
        <item x="680"/>
        <item x="168"/>
        <item x="176"/>
        <item x="177"/>
        <item x="180"/>
        <item x="296"/>
        <item x="300"/>
        <item x="301"/>
        <item x="312"/>
        <item x="380"/>
        <item x="718"/>
        <item x="719"/>
        <item x="725"/>
        <item x="174"/>
        <item x="802"/>
        <item m="1" x="2280"/>
        <item m="1" x="2279"/>
        <item m="1" x="2278"/>
        <item m="1" x="2277"/>
        <item x="173"/>
        <item x="375"/>
        <item x="370"/>
        <item x="371"/>
        <item x="374"/>
        <item x="378"/>
        <item m="1" x="2351"/>
        <item m="1" x="2350"/>
        <item x="366"/>
        <item x="367"/>
        <item x="368"/>
        <item m="1" x="2346"/>
        <item x="379"/>
        <item m="1" x="2341"/>
        <item x="376"/>
        <item x="369"/>
        <item m="1" x="2334"/>
        <item x="372"/>
        <item m="1" x="2321"/>
        <item m="1" x="2320"/>
        <item x="412"/>
        <item x="397"/>
        <item x="383"/>
        <item x="413"/>
        <item x="405"/>
        <item x="398"/>
        <item x="389"/>
        <item x="384"/>
        <item x="414"/>
        <item x="406"/>
        <item x="399"/>
        <item x="390"/>
        <item x="385"/>
        <item x="415"/>
        <item m="1" x="1317"/>
        <item m="1" x="1316"/>
        <item m="1" x="1315"/>
        <item m="1" x="1314"/>
        <item m="1" x="1313"/>
        <item m="1" x="1311"/>
        <item m="1" x="1309"/>
        <item m="1" x="1307"/>
        <item m="1" x="1305"/>
        <item m="1" x="1304"/>
        <item x="501"/>
        <item x="494"/>
        <item x="487"/>
        <item x="483"/>
        <item x="474"/>
        <item x="502"/>
        <item x="459"/>
        <item x="465"/>
        <item x="466"/>
        <item m="1" x="2557"/>
        <item x="460"/>
        <item x="462"/>
        <item x="467"/>
        <item x="463"/>
        <item x="461"/>
        <item x="458"/>
        <item x="457"/>
        <item x="468"/>
        <item m="1" x="2551"/>
        <item m="1" x="2550"/>
        <item m="1" x="2549"/>
        <item x="453"/>
        <item m="1" x="2548"/>
        <item x="454"/>
        <item m="1" x="2547"/>
        <item x="452"/>
        <item m="1" x="2545"/>
        <item x="451"/>
        <item m="1" x="2543"/>
        <item x="455"/>
        <item x="421"/>
        <item m="1" x="2504"/>
        <item x="446"/>
        <item m="1" x="2498"/>
        <item m="1" x="2495"/>
        <item x="422"/>
        <item x="429"/>
        <item x="447"/>
        <item m="1" x="2493"/>
        <item x="448"/>
        <item x="437"/>
        <item x="438"/>
        <item m="1" x="2491"/>
        <item m="1" x="2490"/>
        <item x="432"/>
        <item m="1" x="2488"/>
        <item m="1" x="2487"/>
        <item x="744"/>
        <item x="720"/>
        <item x="767"/>
        <item m="1" x="1701"/>
        <item m="1" x="1675"/>
        <item m="1" x="1672"/>
        <item m="1" x="1669"/>
        <item m="1" x="1668"/>
        <item m="1" x="1667"/>
        <item x="411"/>
        <item m="1" x="1666"/>
        <item x="396"/>
        <item x="388"/>
        <item x="382"/>
        <item x="807"/>
        <item x="806"/>
        <item x="805"/>
        <item x="804"/>
        <item x="803"/>
        <item x="449"/>
        <item x="811"/>
        <item x="812"/>
        <item x="808"/>
        <item x="119"/>
        <item x="121"/>
        <item x="124"/>
        <item x="127"/>
        <item x="129"/>
        <item x="131"/>
        <item x="135"/>
        <item x="140"/>
        <item x="139"/>
        <item x="147"/>
        <item x="128"/>
        <item x="123"/>
        <item x="118"/>
        <item x="511"/>
        <item x="308"/>
        <item m="1" x="1946"/>
        <item m="1" x="1975"/>
        <item m="1" x="1883"/>
        <item m="1" x="1885"/>
        <item m="1" x="1884"/>
        <item x="507"/>
        <item m="1" x="1886"/>
        <item x="509"/>
        <item m="1" x="1940"/>
        <item x="182"/>
        <item m="1" x="2008"/>
        <item x="814"/>
        <item x="813"/>
        <item m="1" x="2010"/>
        <item m="1" x="2009"/>
        <item x="682"/>
        <item x="747"/>
        <item x="750"/>
        <item x="181"/>
        <item m="1" x="2239"/>
        <item m="1" x="2241"/>
        <item m="1" x="2197"/>
        <item m="1" x="2198"/>
        <item m="1" x="2199"/>
        <item m="1" x="2200"/>
        <item x="772"/>
        <item x="815"/>
        <item x="770"/>
        <item m="1" x="2480"/>
        <item x="179"/>
        <item x="704"/>
        <item x="702"/>
        <item x="705"/>
        <item x="701"/>
        <item x="703"/>
        <item x="318"/>
        <item x="359"/>
        <item m="1" x="1405"/>
        <item m="1" x="1404"/>
        <item x="503"/>
        <item x="504"/>
        <item m="1" x="1402"/>
        <item m="1" x="1401"/>
        <item x="818"/>
        <item m="1" x="1399"/>
        <item x="699"/>
        <item m="1" x="2435"/>
        <item x="792"/>
        <item m="1" x="2430"/>
        <item x="774"/>
        <item x="775"/>
        <item x="793"/>
        <item x="794"/>
        <item x="795"/>
        <item x="809"/>
        <item x="810"/>
        <item x="324"/>
        <item x="771"/>
        <item m="1" x="1857"/>
        <item x="323"/>
        <item m="1" x="1970"/>
        <item x="126"/>
        <item m="1" x="2224"/>
        <item x="186"/>
        <item x="187"/>
        <item x="184"/>
        <item x="363"/>
        <item x="364"/>
        <item x="365"/>
        <item x="381"/>
        <item x="404"/>
        <item x="394"/>
        <item x="387"/>
        <item x="392"/>
        <item m="1" x="2201"/>
        <item x="386"/>
        <item x="393"/>
        <item x="395"/>
        <item x="403"/>
        <item x="401"/>
        <item m="1" x="2215"/>
        <item x="402"/>
        <item x="450"/>
        <item m="1" x="2210"/>
        <item x="505"/>
        <item x="506"/>
        <item x="508"/>
        <item x="510"/>
        <item x="660"/>
        <item x="664"/>
        <item m="1" x="2183"/>
        <item x="787"/>
        <item x="737"/>
        <item x="735"/>
        <item x="736"/>
        <item x="738"/>
        <item x="776"/>
        <item x="777"/>
        <item x="778"/>
        <item x="779"/>
        <item x="785"/>
        <item x="786"/>
        <item m="1" x="2231"/>
        <item x="801"/>
        <item x="800"/>
        <item m="1" x="1708"/>
        <item x="827"/>
        <item x="185"/>
        <item x="183"/>
        <item x="120"/>
        <item m="1" x="1547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954"/>
        <item x="819"/>
        <item x="952"/>
        <item x="391"/>
        <item m="1" x="1742"/>
        <item x="520"/>
        <item x="852"/>
        <item x="521"/>
        <item x="522"/>
        <item x="523"/>
        <item x="853"/>
        <item x="854"/>
        <item x="524"/>
        <item x="526"/>
        <item x="527"/>
        <item x="855"/>
        <item x="528"/>
        <item x="122"/>
        <item x="514"/>
        <item x="515"/>
        <item x="517"/>
        <item x="512"/>
        <item x="518"/>
        <item x="519"/>
        <item x="513"/>
        <item x="529"/>
        <item x="851"/>
        <item x="861"/>
        <item x="420"/>
        <item x="428"/>
        <item x="431"/>
        <item m="1" x="2258"/>
        <item x="436"/>
        <item m="1" x="2257"/>
        <item x="445"/>
        <item x="442"/>
        <item x="443"/>
        <item x="444"/>
        <item x="658"/>
        <item x="659"/>
        <item m="1" x="2245"/>
        <item m="1" x="2042"/>
        <item m="1" x="1973"/>
        <item m="1" x="2043"/>
        <item x="797"/>
        <item x="798"/>
        <item m="1" x="2110"/>
        <item m="1" x="2109"/>
        <item m="1" x="2108"/>
        <item x="857"/>
        <item x="856"/>
        <item x="860"/>
        <item x="858"/>
        <item x="863"/>
        <item x="864"/>
        <item x="865"/>
        <item m="1" x="2163"/>
        <item x="866"/>
        <item x="874"/>
        <item x="189"/>
        <item x="188"/>
        <item x="533"/>
        <item x="145"/>
        <item x="125"/>
        <item m="1" x="2302"/>
        <item x="143"/>
        <item x="138"/>
        <item x="133"/>
        <item x="134"/>
        <item x="473"/>
        <item x="547"/>
        <item x="540"/>
        <item x="146"/>
        <item x="400"/>
        <item x="410"/>
        <item x="472"/>
        <item x="486"/>
        <item x="500"/>
        <item x="525"/>
        <item x="788"/>
        <item x="875"/>
        <item x="882"/>
        <item x="885"/>
        <item x="888"/>
        <item x="889"/>
        <item x="409"/>
        <item x="456"/>
        <item x="482"/>
        <item x="516"/>
        <item x="877"/>
        <item x="876"/>
        <item x="878"/>
        <item x="373"/>
        <item x="377"/>
        <item x="408"/>
        <item m="1" x="1602"/>
        <item m="1" x="1394"/>
        <item m="1" x="1498"/>
        <item x="821"/>
        <item x="823"/>
        <item x="825"/>
        <item x="826"/>
        <item m="1" x="1780"/>
        <item x="418"/>
        <item x="419"/>
        <item m="1" x="1775"/>
        <item x="441"/>
        <item x="407"/>
        <item x="796"/>
        <item m="1" x="1785"/>
        <item m="1" x="1784"/>
        <item x="820"/>
        <item x="884"/>
        <item x="883"/>
        <item x="440"/>
        <item m="1" x="1832"/>
        <item x="493"/>
        <item x="886"/>
        <item m="1" x="1828"/>
        <item x="464"/>
        <item x="817"/>
        <item x="824"/>
        <item x="417"/>
        <item x="470"/>
        <item x="471"/>
        <item m="1" x="1892"/>
        <item x="478"/>
        <item x="479"/>
        <item x="481"/>
        <item m="1" x="1894"/>
        <item x="484"/>
        <item x="485"/>
        <item x="435"/>
        <item x="490"/>
        <item x="491"/>
        <item x="492"/>
        <item x="498"/>
        <item m="1" x="1893"/>
        <item x="499"/>
        <item x="476"/>
        <item x="477"/>
        <item x="426"/>
        <item x="427"/>
        <item x="469"/>
        <item x="480"/>
        <item x="475"/>
        <item m="1" x="1928"/>
        <item x="489"/>
        <item x="496"/>
        <item x="497"/>
        <item x="416"/>
        <item x="425"/>
        <item x="430"/>
        <item x="434"/>
        <item x="439"/>
        <item x="739"/>
        <item x="894"/>
        <item x="953"/>
        <item x="130"/>
        <item x="554"/>
        <item x="531"/>
        <item x="532"/>
        <item x="549"/>
        <item x="567"/>
        <item x="535"/>
        <item x="536"/>
        <item x="550"/>
        <item x="571"/>
        <item x="538"/>
        <item x="539"/>
        <item x="551"/>
        <item x="577"/>
        <item x="542"/>
        <item x="543"/>
        <item x="552"/>
        <item x="581"/>
        <item x="545"/>
        <item x="546"/>
        <item x="553"/>
        <item x="584"/>
        <item m="1" x="2243"/>
        <item m="1" x="2242"/>
        <item x="555"/>
        <item x="556"/>
        <item x="557"/>
        <item x="558"/>
        <item x="423"/>
        <item x="424"/>
        <item x="569"/>
        <item x="570"/>
        <item x="548"/>
        <item x="559"/>
        <item x="560"/>
        <item x="561"/>
        <item x="562"/>
        <item x="563"/>
        <item x="564"/>
        <item x="565"/>
        <item x="566"/>
        <item x="568"/>
        <item x="572"/>
        <item x="573"/>
        <item x="574"/>
        <item x="575"/>
        <item x="576"/>
        <item x="578"/>
        <item x="579"/>
        <item x="580"/>
        <item x="582"/>
        <item x="583"/>
        <item x="585"/>
        <item x="586"/>
        <item x="822"/>
        <item x="879"/>
        <item x="880"/>
        <item x="881"/>
        <item x="893"/>
        <item x="915"/>
        <item x="914"/>
        <item x="913"/>
        <item m="1" x="1395"/>
        <item x="916"/>
        <item x="917"/>
        <item x="920"/>
        <item x="921"/>
        <item x="923"/>
        <item x="925"/>
        <item x="926"/>
        <item x="137"/>
        <item x="488"/>
        <item m="1" x="1661"/>
        <item x="667"/>
        <item x="862"/>
        <item m="1" x="1487"/>
        <item x="895"/>
        <item x="897"/>
        <item x="898"/>
        <item x="900"/>
        <item x="901"/>
        <item x="902"/>
        <item x="903"/>
        <item x="904"/>
        <item x="906"/>
        <item x="908"/>
        <item x="910"/>
        <item x="912"/>
        <item m="1" x="1569"/>
        <item m="1" x="1567"/>
        <item m="1" x="1565"/>
        <item x="621"/>
        <item x="622"/>
        <item x="623"/>
        <item x="927"/>
        <item x="928"/>
        <item x="929"/>
        <item x="433"/>
        <item x="142"/>
        <item x="610"/>
        <item x="611"/>
        <item x="612"/>
        <item x="613"/>
        <item m="1" x="1792"/>
        <item x="614"/>
        <item x="615"/>
        <item m="1" x="1791"/>
        <item x="616"/>
        <item x="617"/>
        <item m="1" x="1789"/>
        <item x="618"/>
        <item x="619"/>
        <item x="620"/>
        <item x="624"/>
        <item x="625"/>
        <item x="626"/>
        <item x="627"/>
        <item x="628"/>
        <item x="629"/>
        <item x="630"/>
        <item x="631"/>
        <item x="632"/>
        <item x="816"/>
        <item x="870"/>
        <item x="871"/>
        <item x="872"/>
        <item x="873"/>
        <item x="148"/>
        <item x="149"/>
        <item x="150"/>
        <item x="151"/>
        <item m="1" x="1888"/>
        <item x="741"/>
        <item x="859"/>
        <item x="867"/>
        <item x="868"/>
        <item x="869"/>
        <item x="892"/>
        <item x="896"/>
        <item x="899"/>
        <item x="905"/>
        <item x="907"/>
        <item x="909"/>
        <item x="911"/>
        <item x="918"/>
        <item x="919"/>
        <item x="922"/>
        <item x="924"/>
        <item x="930"/>
        <item x="932"/>
        <item x="933"/>
        <item m="1" x="1927"/>
        <item x="495"/>
        <item x="530"/>
        <item x="534"/>
        <item x="537"/>
        <item x="541"/>
        <item x="544"/>
        <item x="799"/>
        <item x="828"/>
        <item x="887"/>
        <item x="890"/>
        <item x="891"/>
        <item x="931"/>
        <item t="default"/>
      </items>
    </pivotField>
    <pivotField compact="0" outline="0" showAll="0" defaultSubtotal="0"/>
    <pivotField axis="axisPage" compact="0" outline="0" multipleItemSelectionAllowed="1" showAll="0">
      <items count="8">
        <item x="0"/>
        <item x="5"/>
        <item x="1"/>
        <item x="3"/>
        <item m="1" x="6"/>
        <item x="2"/>
        <item x="4"/>
        <item t="default"/>
      </items>
    </pivotField>
    <pivotField axis="axisCol" compact="0" outline="0" multipleItemSelectionAllowed="1" showAll="0">
      <items count="26">
        <item x="0"/>
        <item x="10"/>
        <item x="1"/>
        <item x="5"/>
        <item x="4"/>
        <item m="1" x="14"/>
        <item x="3"/>
        <item x="2"/>
        <item m="1" x="11"/>
        <item m="1" x="19"/>
        <item m="1" x="15"/>
        <item m="1" x="23"/>
        <item m="1" x="24"/>
        <item x="7"/>
        <item x="9"/>
        <item m="1" x="17"/>
        <item m="1" x="22"/>
        <item m="1" x="13"/>
        <item x="6"/>
        <item m="1" x="18"/>
        <item m="1" x="20"/>
        <item m="1" x="16"/>
        <item x="8"/>
        <item m="1" x="21"/>
        <item m="1" x="12"/>
        <item t="default"/>
      </items>
    </pivotField>
    <pivotField compact="0" outline="0" showAll="0"/>
    <pivotField axis="axisRow" compact="0" outline="0" multipleItemSelectionAllowed="1" showAll="0" sortType="ascending">
      <items count="50">
        <item h="1" m="1" x="48"/>
        <item h="1" x="2"/>
        <item h="1" x="8"/>
        <item h="1" x="3"/>
        <item h="1" x="4"/>
        <item h="1" x="5"/>
        <item h="1" x="6"/>
        <item h="1" x="7"/>
        <item h="1" x="26"/>
        <item h="1" x="22"/>
        <item h="1" x="23"/>
        <item h="1" x="24"/>
        <item h="1" x="28"/>
        <item h="1" x="27"/>
        <item h="1" x="25"/>
        <item h="1" x="9"/>
        <item h="1" x="10"/>
        <item h="1" x="11"/>
        <item h="1" x="12"/>
        <item h="1" x="13"/>
        <item x="14"/>
        <item x="15"/>
        <item x="16"/>
        <item x="17"/>
        <item x="18"/>
        <item h="1" x="19"/>
        <item h="1" x="20"/>
        <item h="1" x="29"/>
        <item h="1" x="30"/>
        <item h="1" x="31"/>
        <item h="1" x="39"/>
        <item h="1" x="37"/>
        <item h="1" x="40"/>
        <item h="1" x="1"/>
        <item h="1" x="41"/>
        <item h="1" x="42"/>
        <item h="1" x="43"/>
        <item h="1" x="44"/>
        <item h="1" x="45"/>
        <item h="1" x="46"/>
        <item h="1" x="32"/>
        <item h="1" x="33"/>
        <item h="1" x="21"/>
        <item h="1" x="34"/>
        <item h="1" x="35"/>
        <item h="1" x="36"/>
        <item h="1" x="38"/>
        <item h="1" x="0"/>
        <item h="1" x="47"/>
        <item t="default"/>
      </items>
    </pivotField>
    <pivotField dataField="1" compact="0" outline="0" showAll="0" defaultSubtotal="0"/>
    <pivotField axis="axisPage" compact="0" outline="0" showAll="0" defaultSubtotal="0">
      <items count="19">
        <item x="0"/>
        <item x="1"/>
        <item m="1" x="14"/>
        <item m="1" x="13"/>
        <item m="1" x="15"/>
        <item x="9"/>
        <item m="1" x="10"/>
        <item m="1" x="16"/>
        <item m="1" x="11"/>
        <item m="1" x="12"/>
        <item m="1" x="17"/>
        <item x="2"/>
        <item x="8"/>
        <item x="4"/>
        <item x="5"/>
        <item m="1" x="18"/>
        <item x="6"/>
        <item x="7"/>
        <item x="3"/>
      </items>
    </pivotField>
    <pivotField compact="0" outline="0" showAll="0" defaultSubtotal="0"/>
    <pivotField compact="0" outline="0" showAll="0" defaultSubtotal="0"/>
    <pivotField compact="0" outline="0" showAll="0"/>
    <pivotField axis="axisRow" compact="0" outline="0" showAll="0" sortType="ascending">
      <items count="70">
        <item m="1" x="67"/>
        <item m="1" x="45"/>
        <item x="19"/>
        <item x="27"/>
        <item m="1" x="65"/>
        <item m="1" x="39"/>
        <item m="1" x="62"/>
        <item m="1" x="56"/>
        <item m="1" x="61"/>
        <item m="1" x="52"/>
        <item x="13"/>
        <item x="20"/>
        <item x="7"/>
        <item m="1" x="38"/>
        <item x="28"/>
        <item x="8"/>
        <item m="1" x="49"/>
        <item x="1"/>
        <item m="1" x="54"/>
        <item m="1" x="40"/>
        <item m="1" x="44"/>
        <item x="3"/>
        <item x="11"/>
        <item x="22"/>
        <item x="2"/>
        <item x="34"/>
        <item m="1" x="42"/>
        <item m="1" x="47"/>
        <item m="1" x="57"/>
        <item m="1" x="59"/>
        <item m="1" x="37"/>
        <item x="12"/>
        <item m="1" x="64"/>
        <item x="33"/>
        <item x="30"/>
        <item x="32"/>
        <item x="15"/>
        <item m="1" x="43"/>
        <item m="1" x="60"/>
        <item x="16"/>
        <item x="23"/>
        <item x="10"/>
        <item x="31"/>
        <item x="29"/>
        <item m="1" x="68"/>
        <item x="25"/>
        <item m="1" x="46"/>
        <item x="17"/>
        <item x="18"/>
        <item m="1" x="36"/>
        <item m="1" x="51"/>
        <item m="1" x="63"/>
        <item m="1" x="53"/>
        <item x="9"/>
        <item m="1" x="58"/>
        <item m="1" x="66"/>
        <item m="1" x="41"/>
        <item m="1" x="50"/>
        <item x="21"/>
        <item x="26"/>
        <item m="1" x="55"/>
        <item x="24"/>
        <item x="0"/>
        <item x="6"/>
        <item x="5"/>
        <item m="1" x="48"/>
        <item x="4"/>
        <item x="14"/>
        <item x="35"/>
        <item t="default"/>
      </items>
    </pivotField>
    <pivotField axis="axisPage" compact="0" outline="0" multipleItemSelectionAllowed="1" showAll="0" defaultSubtotal="0">
      <items count="26">
        <item m="1" x="16"/>
        <item m="1" x="25"/>
        <item m="1" x="21"/>
        <item h="1" x="1"/>
        <item h="1" x="7"/>
        <item m="1" x="11"/>
        <item m="1" x="24"/>
        <item m="1" x="9"/>
        <item m="1" x="18"/>
        <item m="1" x="12"/>
        <item m="1" x="10"/>
        <item m="1" x="14"/>
        <item m="1" x="17"/>
        <item h="1" x="6"/>
        <item m="1" x="20"/>
        <item m="1" x="15"/>
        <item m="1" x="22"/>
        <item m="1" x="8"/>
        <item m="1" x="19"/>
        <item m="1" x="13"/>
        <item m="1" x="23"/>
        <item h="1" x="3"/>
        <item x="0"/>
        <item h="1" x="2"/>
        <item h="1" x="4"/>
        <item h="1" x="5"/>
      </items>
    </pivotField>
    <pivotField compact="0" outline="0" showAll="0" defaultSubtotal="0"/>
    <pivotField axis="axisPage" compact="0" outline="0" showAll="0" defaultSubtotal="0">
      <items count="71">
        <item x="0"/>
        <item x="25"/>
        <item x="20"/>
        <item m="1" x="35"/>
        <item m="1" x="65"/>
        <item x="2"/>
        <item m="1" x="55"/>
        <item x="3"/>
        <item m="1" x="62"/>
        <item x="4"/>
        <item m="1" x="33"/>
        <item m="1" x="48"/>
        <item m="1" x="53"/>
        <item m="1" x="57"/>
        <item m="1" x="49"/>
        <item m="1" x="32"/>
        <item m="1" x="30"/>
        <item x="21"/>
        <item m="1" x="47"/>
        <item m="1" x="26"/>
        <item m="1" x="41"/>
        <item x="1"/>
        <item m="1" x="58"/>
        <item m="1" x="46"/>
        <item m="1" x="40"/>
        <item m="1" x="28"/>
        <item m="1" x="69"/>
        <item m="1" x="66"/>
        <item m="1" x="44"/>
        <item m="1" x="51"/>
        <item m="1" x="36"/>
        <item x="24"/>
        <item m="1" x="54"/>
        <item x="15"/>
        <item x="23"/>
        <item m="1" x="64"/>
        <item m="1" x="29"/>
        <item x="7"/>
        <item m="1" x="60"/>
        <item m="1" x="45"/>
        <item x="5"/>
        <item x="10"/>
        <item m="1" x="50"/>
        <item m="1" x="27"/>
        <item x="12"/>
        <item m="1" x="39"/>
        <item x="11"/>
        <item x="14"/>
        <item x="16"/>
        <item m="1" x="68"/>
        <item m="1" x="56"/>
        <item m="1" x="34"/>
        <item m="1" x="59"/>
        <item m="1" x="37"/>
        <item x="22"/>
        <item x="6"/>
        <item m="1" x="61"/>
        <item m="1" x="52"/>
        <item m="1" x="43"/>
        <item m="1" x="38"/>
        <item m="1" x="42"/>
        <item m="1" x="70"/>
        <item x="18"/>
        <item x="17"/>
        <item x="19"/>
        <item x="8"/>
        <item x="13"/>
        <item m="1" x="67"/>
        <item m="1" x="63"/>
        <item m="1" x="31"/>
        <item x="9"/>
      </items>
    </pivotField>
    <pivotField axis="axisPage" compact="0" outline="0" showAll="0" defaultSubtotal="0">
      <items count="9">
        <item x="0"/>
        <item x="3"/>
        <item x="2"/>
        <item m="1" x="8"/>
        <item m="1" x="7"/>
        <item m="1" x="4"/>
        <item m="1" x="6"/>
        <item x="1"/>
        <item m="1" x="5"/>
      </items>
    </pivotField>
    <pivotField axis="axisPage" compact="0" outline="0" showAll="0" defaultSubtotal="0">
      <items count="15">
        <item x="11"/>
        <item x="13"/>
        <item x="10"/>
        <item x="0"/>
        <item x="1"/>
        <item x="2"/>
        <item x="3"/>
        <item m="1" x="14"/>
        <item x="4"/>
        <item x="5"/>
        <item x="6"/>
        <item x="7"/>
        <item x="12"/>
        <item x="9"/>
        <item x="8"/>
      </items>
    </pivotField>
    <pivotField axis="axisPage" compact="0" outline="0" multipleItemSelectionAllowed="1" showAll="0" sortType="ascending" defaultSubtotal="0">
      <items count="236">
        <item x="32"/>
        <item x="52"/>
        <item m="1" x="228"/>
        <item m="1" x="218"/>
        <item m="1" x="191"/>
        <item m="1" x="200"/>
        <item m="1" x="221"/>
        <item m="1" x="183"/>
        <item m="1" x="194"/>
        <item m="1" x="186"/>
        <item m="1" x="216"/>
        <item m="1" x="158"/>
        <item m="1" x="182"/>
        <item m="1" x="223"/>
        <item m="1" x="233"/>
        <item m="1" x="177"/>
        <item m="1" x="187"/>
        <item m="1" x="168"/>
        <item m="1" x="174"/>
        <item m="1" x="180"/>
        <item m="1" x="219"/>
        <item m="1" x="205"/>
        <item m="1" x="231"/>
        <item m="1" x="196"/>
        <item m="1" x="204"/>
        <item m="1" x="169"/>
        <item m="1" x="161"/>
        <item m="1" x="225"/>
        <item m="1" x="171"/>
        <item m="1" x="206"/>
        <item m="1" x="172"/>
        <item m="1" x="207"/>
        <item m="1" x="170"/>
        <item m="1" x="190"/>
        <item m="1" x="222"/>
        <item m="1" x="195"/>
        <item m="1" x="197"/>
        <item m="1" x="202"/>
        <item m="1" x="203"/>
        <item m="1" x="210"/>
        <item m="1" x="212"/>
        <item x="53"/>
        <item m="1" x="175"/>
        <item m="1" x="179"/>
        <item m="1" x="199"/>
        <item m="1" x="164"/>
        <item m="1" x="189"/>
        <item x="154"/>
        <item m="1" x="163"/>
        <item x="155"/>
        <item m="1" x="209"/>
        <item m="1" x="173"/>
        <item m="1" x="185"/>
        <item x="0"/>
        <item m="1" x="220"/>
        <item x="54"/>
        <item m="1" x="165"/>
        <item m="1" x="178"/>
        <item m="1" x="235"/>
        <item m="1" x="215"/>
        <item m="1" x="234"/>
        <item m="1" x="213"/>
        <item x="1"/>
        <item x="2"/>
        <item x="3"/>
        <item x="55"/>
        <item x="56"/>
        <item x="57"/>
        <item x="58"/>
        <item x="59"/>
        <item x="13"/>
        <item x="60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"/>
        <item x="5"/>
        <item x="61"/>
        <item x="62"/>
        <item m="1" x="167"/>
        <item x="63"/>
        <item x="64"/>
        <item m="1" x="184"/>
        <item m="1" x="201"/>
        <item x="65"/>
        <item x="66"/>
        <item m="1" x="217"/>
        <item x="67"/>
        <item x="14"/>
        <item x="68"/>
        <item x="69"/>
        <item x="70"/>
        <item x="71"/>
        <item x="10"/>
        <item x="12"/>
        <item x="72"/>
        <item x="73"/>
        <item x="74"/>
        <item m="1" x="211"/>
        <item m="1" x="227"/>
        <item x="75"/>
        <item x="76"/>
        <item x="77"/>
        <item x="78"/>
        <item x="79"/>
        <item x="80"/>
        <item x="81"/>
        <item x="82"/>
        <item x="83"/>
        <item x="84"/>
        <item x="85"/>
        <item x="15"/>
        <item x="86"/>
        <item x="87"/>
        <item x="16"/>
        <item x="88"/>
        <item x="17"/>
        <item x="89"/>
        <item x="6"/>
        <item x="7"/>
        <item x="156"/>
        <item x="90"/>
        <item x="91"/>
        <item x="92"/>
        <item m="1" x="214"/>
        <item x="93"/>
        <item x="18"/>
        <item x="19"/>
        <item x="20"/>
        <item x="94"/>
        <item x="95"/>
        <item m="1" x="232"/>
        <item x="96"/>
        <item x="97"/>
        <item m="1" x="176"/>
        <item x="98"/>
        <item x="99"/>
        <item x="100"/>
        <item x="101"/>
        <item x="102"/>
        <item m="1" x="188"/>
        <item x="103"/>
        <item x="11"/>
        <item x="104"/>
        <item m="1" x="226"/>
        <item x="47"/>
        <item x="105"/>
        <item x="8"/>
        <item x="106"/>
        <item x="107"/>
        <item m="1" x="192"/>
        <item x="108"/>
        <item x="109"/>
        <item x="110"/>
        <item x="9"/>
        <item x="21"/>
        <item m="1" x="181"/>
        <item x="111"/>
        <item m="1" x="208"/>
        <item x="112"/>
        <item x="22"/>
        <item x="113"/>
        <item x="23"/>
        <item x="24"/>
        <item x="25"/>
        <item m="1" x="162"/>
        <item x="26"/>
        <item x="114"/>
        <item x="115"/>
        <item x="116"/>
        <item x="27"/>
        <item m="1" x="230"/>
        <item x="117"/>
        <item m="1" x="224"/>
        <item x="118"/>
        <item x="119"/>
        <item x="120"/>
        <item x="121"/>
        <item x="122"/>
        <item m="1" x="159"/>
        <item m="1" x="166"/>
        <item x="123"/>
        <item m="1" x="160"/>
        <item x="124"/>
        <item x="125"/>
        <item x="126"/>
        <item x="28"/>
        <item x="127"/>
        <item x="128"/>
        <item x="129"/>
        <item x="130"/>
        <item x="131"/>
        <item m="1" x="198"/>
        <item x="132"/>
        <item x="133"/>
        <item x="134"/>
        <item x="135"/>
        <item x="136"/>
        <item x="137"/>
        <item x="138"/>
        <item x="29"/>
        <item x="139"/>
        <item x="140"/>
        <item m="1" x="229"/>
        <item x="141"/>
        <item x="142"/>
        <item x="143"/>
        <item x="144"/>
        <item x="30"/>
        <item x="31"/>
        <item x="145"/>
        <item x="146"/>
        <item x="147"/>
        <item x="148"/>
        <item x="49"/>
        <item x="149"/>
        <item x="150"/>
        <item x="48"/>
        <item x="50"/>
        <item x="51"/>
        <item x="151"/>
        <item x="152"/>
        <item x="153"/>
        <item m="1" x="193"/>
        <item x="157"/>
      </items>
    </pivotField>
    <pivotField compact="0" outline="0" showAll="0" defaultSubtotal="0"/>
  </pivotFields>
  <rowFields count="2">
    <field x="5"/>
    <field x="11"/>
  </rowFields>
  <rowItems count="46">
    <i>
      <x v="20"/>
      <x v="12"/>
    </i>
    <i r="1">
      <x v="21"/>
    </i>
    <i r="1">
      <x v="22"/>
    </i>
    <i r="1">
      <x v="31"/>
    </i>
    <i r="1">
      <x v="36"/>
    </i>
    <i r="1">
      <x v="39"/>
    </i>
    <i r="1">
      <x v="40"/>
    </i>
    <i r="1">
      <x v="53"/>
    </i>
    <i t="default">
      <x v="20"/>
    </i>
    <i>
      <x v="21"/>
      <x v="12"/>
    </i>
    <i r="1">
      <x v="21"/>
    </i>
    <i r="1">
      <x v="22"/>
    </i>
    <i r="1">
      <x v="31"/>
    </i>
    <i r="1">
      <x v="36"/>
    </i>
    <i r="1">
      <x v="39"/>
    </i>
    <i r="1">
      <x v="40"/>
    </i>
    <i r="1">
      <x v="53"/>
    </i>
    <i t="default">
      <x v="21"/>
    </i>
    <i>
      <x v="22"/>
      <x v="12"/>
    </i>
    <i r="1">
      <x v="21"/>
    </i>
    <i r="1">
      <x v="22"/>
    </i>
    <i r="1">
      <x v="31"/>
    </i>
    <i r="1">
      <x v="36"/>
    </i>
    <i r="1">
      <x v="39"/>
    </i>
    <i r="1">
      <x v="40"/>
    </i>
    <i r="1">
      <x v="53"/>
    </i>
    <i t="default">
      <x v="22"/>
    </i>
    <i>
      <x v="23"/>
      <x v="12"/>
    </i>
    <i r="1">
      <x v="21"/>
    </i>
    <i r="1">
      <x v="22"/>
    </i>
    <i r="1">
      <x v="31"/>
    </i>
    <i r="1">
      <x v="36"/>
    </i>
    <i r="1">
      <x v="39"/>
    </i>
    <i r="1">
      <x v="40"/>
    </i>
    <i r="1">
      <x v="53"/>
    </i>
    <i t="default">
      <x v="23"/>
    </i>
    <i>
      <x v="24"/>
      <x v="12"/>
    </i>
    <i r="1">
      <x v="21"/>
    </i>
    <i r="1">
      <x v="22"/>
    </i>
    <i r="1">
      <x v="31"/>
    </i>
    <i r="1">
      <x v="36"/>
    </i>
    <i r="1">
      <x v="39"/>
    </i>
    <i r="1">
      <x v="40"/>
    </i>
    <i r="1">
      <x v="53"/>
    </i>
    <i t="default">
      <x v="24"/>
    </i>
    <i t="grand">
      <x/>
    </i>
  </rowItems>
  <colFields count="1">
    <field x="3"/>
  </colFields>
  <colItems count="4">
    <i>
      <x/>
    </i>
    <i>
      <x v="6"/>
    </i>
    <i>
      <x v="7"/>
    </i>
    <i t="grand">
      <x/>
    </i>
  </colItems>
  <pageFields count="8">
    <pageField fld="2" hier="-1"/>
    <pageField fld="0" hier="-1"/>
    <pageField fld="16" hier="-1"/>
    <pageField fld="15" hier="-1"/>
    <pageField fld="14" hier="-1"/>
    <pageField fld="17" hier="-1"/>
    <pageField fld="7" hier="-1"/>
    <pageField fld="12" hier="-1"/>
  </pageFields>
  <dataFields count="1">
    <dataField name="Sum of Story Points (numeric)" fld="6" baseField="17" baseItem="1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eamLookup" displayName="TeamLookup" ref="L1:M22" totalsRowShown="0" headerRowDxfId="12" headerRowBorderDxfId="11" tableBorderDxfId="10">
  <autoFilter ref="L1:M22"/>
  <sortState ref="L2:M22">
    <sortCondition ref="L4"/>
  </sortState>
  <tableColumns count="2">
    <tableColumn id="1" name="Filed Against" dataDxfId="9"/>
    <tableColumn id="2" name="Team" dataDxfId="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A1:F12" totalsRowShown="0">
  <autoFilter ref="A1:F12"/>
  <tableColumns count="6">
    <tableColumn id="1" name="Sprint (EA x.x)"/>
    <tableColumn id="2" name="Name"/>
    <tableColumn id="3" name="Activity" dataDxfId="1"/>
    <tableColumn id="4" name="Planned SP"/>
    <tableColumn id="5" name="Actual SP"/>
    <tableColumn id="6" name="Results" dataDxfId="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1296"/>
  <sheetViews>
    <sheetView zoomScale="90" zoomScaleNormal="90" workbookViewId="0">
      <pane ySplit="1" topLeftCell="A203" activePane="bottomLeft" state="frozen"/>
      <selection pane="bottomLeft" activeCell="F226" sqref="F226"/>
    </sheetView>
  </sheetViews>
  <sheetFormatPr defaultColWidth="8.88671875" defaultRowHeight="14.4" x14ac:dyDescent="0.3"/>
  <cols>
    <col min="1" max="1" width="10.33203125" style="47" customWidth="1"/>
    <col min="2" max="2" width="9.44140625" style="90" customWidth="1"/>
    <col min="3" max="3" width="9.44140625" style="99" customWidth="1"/>
    <col min="4" max="4" width="6.6640625" style="90" customWidth="1"/>
    <col min="5" max="5" width="8.6640625" style="90" customWidth="1"/>
    <col min="6" max="6" width="68.44140625" style="100" customWidth="1"/>
    <col min="7" max="7" width="10.109375" style="101" customWidth="1"/>
    <col min="8" max="8" width="7" style="101" customWidth="1"/>
    <col min="9" max="10" width="2" style="102" customWidth="1"/>
    <col min="11" max="11" width="5.33203125" style="102" customWidth="1"/>
    <col min="12" max="12" width="11.88671875" style="90" customWidth="1"/>
    <col min="13" max="13" width="9.33203125" style="90" customWidth="1"/>
    <col min="14" max="14" width="14.33203125" style="102" customWidth="1"/>
    <col min="15" max="15" width="11.88671875" style="90" customWidth="1"/>
    <col min="16" max="16" width="8" style="90" customWidth="1"/>
    <col min="17" max="17" width="4.33203125" style="90" customWidth="1"/>
    <col min="18" max="18" width="12.33203125" style="90" customWidth="1"/>
    <col min="19" max="19" width="11" style="90" customWidth="1"/>
    <col min="20" max="20" width="2.6640625" style="90" customWidth="1"/>
    <col min="21" max="21" width="3.44140625" style="90" customWidth="1"/>
    <col min="22" max="22" width="3.5546875" style="90" customWidth="1"/>
    <col min="23" max="25" width="5" style="90" customWidth="1"/>
    <col min="26" max="26" width="12" style="90" customWidth="1"/>
    <col min="27" max="28" width="5" style="90" customWidth="1"/>
    <col min="29" max="29" width="4.88671875" style="90" customWidth="1"/>
    <col min="30" max="16384" width="8.88671875" style="90"/>
  </cols>
  <sheetData>
    <row r="1" spans="1:20" s="83" customFormat="1" ht="26.4" customHeight="1" x14ac:dyDescent="0.3">
      <c r="A1" s="76"/>
      <c r="B1" s="77" t="s">
        <v>1</v>
      </c>
      <c r="C1" s="78" t="s">
        <v>28</v>
      </c>
      <c r="D1" s="77" t="s">
        <v>0</v>
      </c>
      <c r="E1" s="77" t="s">
        <v>2</v>
      </c>
      <c r="F1" s="79" t="s">
        <v>3</v>
      </c>
      <c r="G1" s="108" t="s">
        <v>4</v>
      </c>
      <c r="H1" s="77" t="s">
        <v>23</v>
      </c>
      <c r="I1" s="77" t="s">
        <v>41</v>
      </c>
      <c r="J1" s="77" t="s">
        <v>49</v>
      </c>
      <c r="K1" s="77" t="s">
        <v>61</v>
      </c>
      <c r="L1" s="77" t="s">
        <v>5</v>
      </c>
      <c r="M1" s="80" t="s">
        <v>20</v>
      </c>
      <c r="N1" s="81" t="s">
        <v>60</v>
      </c>
      <c r="O1" s="80" t="s">
        <v>1453</v>
      </c>
      <c r="P1" s="80" t="s">
        <v>174</v>
      </c>
      <c r="Q1" s="80" t="s">
        <v>30</v>
      </c>
      <c r="R1" s="81" t="s">
        <v>14</v>
      </c>
      <c r="S1" s="80" t="s">
        <v>24</v>
      </c>
      <c r="T1" s="82" t="s">
        <v>6</v>
      </c>
    </row>
    <row r="2" spans="1:20" ht="15" thickBot="1" x14ac:dyDescent="0.35">
      <c r="B2" s="84">
        <v>352877</v>
      </c>
      <c r="C2" s="85">
        <v>325227</v>
      </c>
      <c r="D2" s="84" t="s">
        <v>6</v>
      </c>
      <c r="E2" s="84" t="s">
        <v>7</v>
      </c>
      <c r="F2" s="86" t="s">
        <v>700</v>
      </c>
      <c r="G2" s="109" t="s">
        <v>8</v>
      </c>
      <c r="H2" s="87">
        <v>13</v>
      </c>
      <c r="I2" s="89"/>
      <c r="J2" s="89"/>
      <c r="K2" s="89" t="s">
        <v>1614</v>
      </c>
      <c r="L2" s="84" t="s">
        <v>8</v>
      </c>
      <c r="M2" s="88" t="str">
        <f>VLOOKUP(L2,lookups!B:C,2,FALSE)</f>
        <v>TBD</v>
      </c>
      <c r="N2" s="89" t="str">
        <f>VLOOKUP(K2,TeamLookup[],2,0)</f>
        <v>Cyber</v>
      </c>
      <c r="O2" s="84" t="e">
        <f>VLOOKUP(VALUE($S2),lookups!I:J,2,FALSE)</f>
        <v>#N/A</v>
      </c>
      <c r="P2" s="84" t="e">
        <f>VLOOKUP(VALUE($S2),lookups!F:G,2,FALSE)</f>
        <v>#N/A</v>
      </c>
      <c r="Q2" s="84" t="str">
        <f t="shared" ref="Q2:Q65" si="0">IF($B2="","ZeroEntry",
IF($D2="Program Epic","",
IF(OR($D2="Feature",$D2="Story",$D2="Task"),
  IF($C2="","Missing_ParentEntry",
IF(ISERROR(MATCH(VALUE($C2),$B:$B,0)),"ParentNotInCyberQuery",
IF(AND($D2="Story",VLOOKUP(VALUE($C2),$B:$D,3,FALSE)&lt;&gt;"Feature"),"Warning: StoryParentIs_"&amp;VLOOKUP(VALUE($C2),$B:$D,3,FALSE)&amp;"_NotFeature",
IF(AND(OR($D2="Story",$D2="Task"),VLOOKUP(VALUE($C2),$B:$C,2,FALSE)=""),"MissingGrandparent",
IF(AND($D2="Feature",ISERROR(MATCH("#"&amp;$B2,$C:$C,0))),"FeatureHasNoStories",
IF(AND($D2="Feature",VLOOKUP(VALUE($C2),$B:$D,3,FALSE)&lt;&gt;"Program Epic"),"FeatureParentIs_"&amp;VLOOKUP(VALUE($C2),$B:$D,3,FALSE)&amp;"_NotEpic","")))))),"")))</f>
        <v/>
      </c>
      <c r="R2" s="84">
        <f t="shared" ref="R2:R65" si="1">IF(AND($Q2&lt;&gt;"FeatureHasNoStories","Warning: StoryParentIs_Program Epic_NotFeature"&lt;&gt;$Q2,$Q2&lt;&gt;"ParentNotInCyberQuery",$Q2&lt;&gt;""),$Q2,
IF($D2="Program Epic",B2,
IF($D2="Feature",VALUE($C2),
IF("Warning: StoryParentIs_Program Epic_NotFeature"=$Q2,VALUE($C2),
IF(AND($D2="Story",$Q2="ParentNotInCyberQuery"),"MT",
IF($C2=0,"N/A",
IF(OR($D2="Story",$D2="Task"),VALUE(VLOOKUP(VALUE($C2),$B:$C,2,FALSE)),"N/A")))))))</f>
        <v>216552</v>
      </c>
      <c r="S2" s="84">
        <f t="shared" ref="S2:S65" si="2">IF($D2="Program Epic",0,
IF($D2="Feature",$B2,
IF($C2=0,"NoParentFeature",VALUE($C2))))</f>
        <v>325227</v>
      </c>
      <c r="T2" s="84">
        <f t="shared" ref="T2:T65" si="3">IF(OR($D2="Story",$D2="Task"),$B2,0)</f>
        <v>352877</v>
      </c>
    </row>
    <row r="3" spans="1:20" ht="30.75" customHeight="1" thickBot="1" x14ac:dyDescent="0.35">
      <c r="A3" s="125"/>
      <c r="B3" s="84">
        <v>335885</v>
      </c>
      <c r="C3" s="85">
        <v>216552</v>
      </c>
      <c r="D3" s="84" t="s">
        <v>24</v>
      </c>
      <c r="E3" s="84" t="s">
        <v>653</v>
      </c>
      <c r="F3" s="86" t="s">
        <v>863</v>
      </c>
      <c r="G3" s="109" t="s">
        <v>442</v>
      </c>
      <c r="H3" s="87"/>
      <c r="I3" s="84"/>
      <c r="J3" s="84"/>
      <c r="K3" s="84" t="s">
        <v>1614</v>
      </c>
      <c r="L3" s="84" t="s">
        <v>8</v>
      </c>
      <c r="M3" s="88" t="str">
        <f>VLOOKUP(L3,lookups!B:C,2,FALSE)</f>
        <v>TBD</v>
      </c>
      <c r="N3" s="89" t="str">
        <f>VLOOKUP(K3,TeamLookup[],2,0)</f>
        <v>Cyber</v>
      </c>
      <c r="O3" s="84" t="e">
        <f>VLOOKUP(VALUE($S3),lookups!I:J,2,FALSE)</f>
        <v>#N/A</v>
      </c>
      <c r="P3" s="84" t="e">
        <f>VLOOKUP(VALUE($S3),lookups!F:G,2,FALSE)</f>
        <v>#N/A</v>
      </c>
      <c r="Q3" s="84" t="str">
        <f t="shared" si="0"/>
        <v>ParentNotInCyberQuery</v>
      </c>
      <c r="R3" s="84">
        <f t="shared" si="1"/>
        <v>216552</v>
      </c>
      <c r="S3" s="84">
        <f t="shared" si="2"/>
        <v>335885</v>
      </c>
      <c r="T3" s="84">
        <f t="shared" si="3"/>
        <v>0</v>
      </c>
    </row>
    <row r="4" spans="1:20" ht="43.95" customHeight="1" thickBot="1" x14ac:dyDescent="0.35">
      <c r="A4" s="126"/>
      <c r="B4" s="84">
        <v>335966</v>
      </c>
      <c r="C4" s="85">
        <v>335885</v>
      </c>
      <c r="D4" s="84" t="s">
        <v>6</v>
      </c>
      <c r="E4" s="84" t="s">
        <v>7</v>
      </c>
      <c r="F4" s="86" t="s">
        <v>826</v>
      </c>
      <c r="G4" s="109" t="s">
        <v>8</v>
      </c>
      <c r="H4" s="87">
        <v>1</v>
      </c>
      <c r="I4" s="89"/>
      <c r="J4" s="89"/>
      <c r="K4" s="89" t="s">
        <v>1614</v>
      </c>
      <c r="L4" s="84" t="s">
        <v>8</v>
      </c>
      <c r="M4" s="88" t="str">
        <f>VLOOKUP(L4,lookups!B:C,2,FALSE)</f>
        <v>TBD</v>
      </c>
      <c r="N4" s="89" t="str">
        <f>VLOOKUP(K4,TeamLookup[],2,0)</f>
        <v>Cyber</v>
      </c>
      <c r="O4" s="84" t="e">
        <f>VLOOKUP(VALUE($S4),lookups!I:J,2,FALSE)</f>
        <v>#N/A</v>
      </c>
      <c r="P4" s="84" t="e">
        <f>VLOOKUP(VALUE($S4),lookups!F:G,2,FALSE)</f>
        <v>#N/A</v>
      </c>
      <c r="Q4" s="84" t="str">
        <f t="shared" si="0"/>
        <v/>
      </c>
      <c r="R4" s="84">
        <f t="shared" si="1"/>
        <v>216552</v>
      </c>
      <c r="S4" s="84">
        <f t="shared" si="2"/>
        <v>335885</v>
      </c>
      <c r="T4" s="84">
        <f t="shared" si="3"/>
        <v>335966</v>
      </c>
    </row>
    <row r="5" spans="1:20" x14ac:dyDescent="0.3">
      <c r="A5" s="127"/>
      <c r="B5" s="84">
        <v>335965</v>
      </c>
      <c r="C5" s="85">
        <v>335885</v>
      </c>
      <c r="D5" s="84" t="s">
        <v>6</v>
      </c>
      <c r="E5" s="84" t="s">
        <v>7</v>
      </c>
      <c r="F5" s="86" t="s">
        <v>827</v>
      </c>
      <c r="G5" s="109" t="s">
        <v>8</v>
      </c>
      <c r="H5" s="87">
        <v>1</v>
      </c>
      <c r="I5" s="89"/>
      <c r="J5" s="89"/>
      <c r="K5" s="89" t="s">
        <v>1614</v>
      </c>
      <c r="L5" s="84" t="s">
        <v>8</v>
      </c>
      <c r="M5" s="88" t="str">
        <f>VLOOKUP(L5,lookups!B:C,2,FALSE)</f>
        <v>TBD</v>
      </c>
      <c r="N5" s="89" t="str">
        <f>VLOOKUP(K5,TeamLookup[],2,0)</f>
        <v>Cyber</v>
      </c>
      <c r="O5" s="84" t="e">
        <f>VLOOKUP(VALUE($S5),lookups!I:J,2,FALSE)</f>
        <v>#N/A</v>
      </c>
      <c r="P5" s="84" t="e">
        <f>VLOOKUP(VALUE($S5),lookups!F:G,2,FALSE)</f>
        <v>#N/A</v>
      </c>
      <c r="Q5" s="84" t="str">
        <f t="shared" si="0"/>
        <v/>
      </c>
      <c r="R5" s="84">
        <f t="shared" si="1"/>
        <v>216552</v>
      </c>
      <c r="S5" s="84">
        <f t="shared" si="2"/>
        <v>335885</v>
      </c>
      <c r="T5" s="84">
        <f t="shared" si="3"/>
        <v>335965</v>
      </c>
    </row>
    <row r="6" spans="1:20" ht="30.6" customHeight="1" thickBot="1" x14ac:dyDescent="0.35">
      <c r="A6" s="128"/>
      <c r="B6" s="84">
        <v>335964</v>
      </c>
      <c r="C6" s="85">
        <v>335885</v>
      </c>
      <c r="D6" s="84" t="s">
        <v>6</v>
      </c>
      <c r="E6" s="84" t="s">
        <v>7</v>
      </c>
      <c r="F6" s="86" t="s">
        <v>828</v>
      </c>
      <c r="G6" s="87" t="s">
        <v>8</v>
      </c>
      <c r="H6" s="87">
        <v>1</v>
      </c>
      <c r="I6" s="89"/>
      <c r="J6" s="89"/>
      <c r="K6" s="106" t="s">
        <v>1614</v>
      </c>
      <c r="L6" s="84" t="s">
        <v>8</v>
      </c>
      <c r="M6" s="88" t="str">
        <f>VLOOKUP(L6,lookups!B:C,2,FALSE)</f>
        <v>TBD</v>
      </c>
      <c r="N6" s="89" t="str">
        <f>VLOOKUP(K6,TeamLookup[],2,0)</f>
        <v>Cyber</v>
      </c>
      <c r="O6" s="84" t="e">
        <f>VLOOKUP(VALUE($S6),lookups!I:J,2,FALSE)</f>
        <v>#N/A</v>
      </c>
      <c r="P6" s="84" t="e">
        <f>VLOOKUP(VALUE($S6),lookups!F:G,2,FALSE)</f>
        <v>#N/A</v>
      </c>
      <c r="Q6" s="84" t="str">
        <f t="shared" si="0"/>
        <v/>
      </c>
      <c r="R6" s="84">
        <f t="shared" si="1"/>
        <v>216552</v>
      </c>
      <c r="S6" s="84">
        <f t="shared" si="2"/>
        <v>335885</v>
      </c>
      <c r="T6" s="84">
        <f t="shared" si="3"/>
        <v>335964</v>
      </c>
    </row>
    <row r="7" spans="1:20" ht="15" thickBot="1" x14ac:dyDescent="0.35">
      <c r="A7" s="126"/>
      <c r="B7" s="84">
        <v>335963</v>
      </c>
      <c r="C7" s="85">
        <v>335885</v>
      </c>
      <c r="D7" s="84" t="s">
        <v>6</v>
      </c>
      <c r="E7" s="84" t="s">
        <v>7</v>
      </c>
      <c r="F7" s="86" t="s">
        <v>829</v>
      </c>
      <c r="G7" s="109" t="s">
        <v>8</v>
      </c>
      <c r="H7" s="87">
        <v>1</v>
      </c>
      <c r="I7" s="89"/>
      <c r="J7" s="89"/>
      <c r="K7" s="89" t="s">
        <v>1614</v>
      </c>
      <c r="L7" s="84" t="s">
        <v>8</v>
      </c>
      <c r="M7" s="88" t="str">
        <f>VLOOKUP(L7,lookups!B:C,2,FALSE)</f>
        <v>TBD</v>
      </c>
      <c r="N7" s="89" t="str">
        <f>VLOOKUP(K7,TeamLookup[],2,0)</f>
        <v>Cyber</v>
      </c>
      <c r="O7" s="84" t="e">
        <f>VLOOKUP(VALUE($S7),lookups!I:J,2,FALSE)</f>
        <v>#N/A</v>
      </c>
      <c r="P7" s="84" t="e">
        <f>VLOOKUP(VALUE($S7),lookups!F:G,2,FALSE)</f>
        <v>#N/A</v>
      </c>
      <c r="Q7" s="84" t="str">
        <f t="shared" si="0"/>
        <v/>
      </c>
      <c r="R7" s="84">
        <f t="shared" si="1"/>
        <v>216552</v>
      </c>
      <c r="S7" s="84">
        <f t="shared" si="2"/>
        <v>335885</v>
      </c>
      <c r="T7" s="84">
        <f t="shared" si="3"/>
        <v>335963</v>
      </c>
    </row>
    <row r="8" spans="1:20" ht="15" thickBot="1" x14ac:dyDescent="0.35">
      <c r="A8" s="126"/>
      <c r="B8" s="84">
        <v>335961</v>
      </c>
      <c r="C8" s="85">
        <v>335885</v>
      </c>
      <c r="D8" s="84" t="s">
        <v>6</v>
      </c>
      <c r="E8" s="84" t="s">
        <v>7</v>
      </c>
      <c r="F8" s="86" t="s">
        <v>830</v>
      </c>
      <c r="G8" s="87" t="s">
        <v>8</v>
      </c>
      <c r="H8" s="87">
        <v>1</v>
      </c>
      <c r="I8" s="89"/>
      <c r="J8" s="89"/>
      <c r="K8" s="89" t="s">
        <v>1614</v>
      </c>
      <c r="L8" s="84" t="s">
        <v>8</v>
      </c>
      <c r="M8" s="88" t="str">
        <f>VLOOKUP(L8,lookups!B:C,2,FALSE)</f>
        <v>TBD</v>
      </c>
      <c r="N8" s="89" t="str">
        <f>VLOOKUP(K8,TeamLookup[],2,0)</f>
        <v>Cyber</v>
      </c>
      <c r="O8" s="84" t="e">
        <f>VLOOKUP(VALUE($S8),lookups!I:J,2,FALSE)</f>
        <v>#N/A</v>
      </c>
      <c r="P8" s="84" t="e">
        <f>VLOOKUP(VALUE($S8),lookups!F:G,2,FALSE)</f>
        <v>#N/A</v>
      </c>
      <c r="Q8" s="84" t="str">
        <f t="shared" si="0"/>
        <v/>
      </c>
      <c r="R8" s="84">
        <f t="shared" si="1"/>
        <v>216552</v>
      </c>
      <c r="S8" s="84">
        <f t="shared" si="2"/>
        <v>335885</v>
      </c>
      <c r="T8" s="84">
        <f t="shared" si="3"/>
        <v>335961</v>
      </c>
    </row>
    <row r="9" spans="1:20" ht="29.4" thickBot="1" x14ac:dyDescent="0.35">
      <c r="A9" s="129"/>
      <c r="B9" s="88">
        <v>335960</v>
      </c>
      <c r="C9" s="85">
        <v>335885</v>
      </c>
      <c r="D9" s="84" t="s">
        <v>6</v>
      </c>
      <c r="E9" s="88" t="s">
        <v>7</v>
      </c>
      <c r="F9" s="91" t="s">
        <v>831</v>
      </c>
      <c r="G9" s="87" t="s">
        <v>8</v>
      </c>
      <c r="H9" s="87">
        <v>1</v>
      </c>
      <c r="I9" s="89"/>
      <c r="J9" s="89"/>
      <c r="K9" s="89" t="s">
        <v>1614</v>
      </c>
      <c r="L9" s="84" t="s">
        <v>8</v>
      </c>
      <c r="M9" s="88" t="str">
        <f>VLOOKUP(L9,lookups!B:C,2,FALSE)</f>
        <v>TBD</v>
      </c>
      <c r="N9" s="89" t="str">
        <f>VLOOKUP(K9,TeamLookup[],2,0)</f>
        <v>Cyber</v>
      </c>
      <c r="O9" s="84" t="e">
        <f>VLOOKUP(VALUE($S9),lookups!I:J,2,FALSE)</f>
        <v>#N/A</v>
      </c>
      <c r="P9" s="84" t="e">
        <f>VLOOKUP(VALUE($S9),lookups!F:G,2,FALSE)</f>
        <v>#N/A</v>
      </c>
      <c r="Q9" s="84" t="str">
        <f t="shared" si="0"/>
        <v/>
      </c>
      <c r="R9" s="84">
        <f t="shared" si="1"/>
        <v>216552</v>
      </c>
      <c r="S9" s="84">
        <f t="shared" si="2"/>
        <v>335885</v>
      </c>
      <c r="T9" s="84">
        <f t="shared" si="3"/>
        <v>335960</v>
      </c>
    </row>
    <row r="10" spans="1:20" ht="28.8" x14ac:dyDescent="0.3">
      <c r="A10" s="96"/>
      <c r="B10" s="84">
        <v>335959</v>
      </c>
      <c r="C10" s="85">
        <v>335885</v>
      </c>
      <c r="D10" s="84" t="s">
        <v>6</v>
      </c>
      <c r="E10" s="84" t="s">
        <v>7</v>
      </c>
      <c r="F10" s="86" t="s">
        <v>832</v>
      </c>
      <c r="G10" s="87" t="s">
        <v>8</v>
      </c>
      <c r="H10" s="87">
        <v>1</v>
      </c>
      <c r="I10" s="89"/>
      <c r="J10" s="89"/>
      <c r="K10" s="89" t="s">
        <v>1614</v>
      </c>
      <c r="L10" s="84" t="s">
        <v>8</v>
      </c>
      <c r="M10" s="88" t="str">
        <f>VLOOKUP(L10,lookups!B:C,2,FALSE)</f>
        <v>TBD</v>
      </c>
      <c r="N10" s="89" t="str">
        <f>VLOOKUP(K10,TeamLookup[],2,0)</f>
        <v>Cyber</v>
      </c>
      <c r="O10" s="84" t="e">
        <f>VLOOKUP(VALUE($S10),lookups!I:J,2,FALSE)</f>
        <v>#N/A</v>
      </c>
      <c r="P10" s="84" t="e">
        <f>VLOOKUP(VALUE($S10),lookups!F:G,2,FALSE)</f>
        <v>#N/A</v>
      </c>
      <c r="Q10" s="84" t="str">
        <f t="shared" si="0"/>
        <v/>
      </c>
      <c r="R10" s="84">
        <f t="shared" si="1"/>
        <v>216552</v>
      </c>
      <c r="S10" s="84">
        <f t="shared" si="2"/>
        <v>335885</v>
      </c>
      <c r="T10" s="84">
        <f t="shared" si="3"/>
        <v>335959</v>
      </c>
    </row>
    <row r="11" spans="1:20" x14ac:dyDescent="0.3">
      <c r="A11" s="96"/>
      <c r="B11" s="84">
        <v>335958</v>
      </c>
      <c r="C11" s="85">
        <v>335885</v>
      </c>
      <c r="D11" s="84" t="s">
        <v>6</v>
      </c>
      <c r="E11" s="84" t="s">
        <v>7</v>
      </c>
      <c r="F11" s="86" t="s">
        <v>833</v>
      </c>
      <c r="G11" s="109" t="s">
        <v>8</v>
      </c>
      <c r="H11" s="87">
        <v>1</v>
      </c>
      <c r="I11" s="89"/>
      <c r="J11" s="89"/>
      <c r="K11" s="89" t="s">
        <v>1614</v>
      </c>
      <c r="L11" s="84" t="s">
        <v>8</v>
      </c>
      <c r="M11" s="88" t="str">
        <f>VLOOKUP(L11,lookups!B:C,2,FALSE)</f>
        <v>TBD</v>
      </c>
      <c r="N11" s="89" t="str">
        <f>VLOOKUP(K11,TeamLookup[],2,0)</f>
        <v>Cyber</v>
      </c>
      <c r="O11" s="84" t="e">
        <f>VLOOKUP(VALUE($S11),lookups!I:J,2,FALSE)</f>
        <v>#N/A</v>
      </c>
      <c r="P11" s="84" t="e">
        <f>VLOOKUP(VALUE($S11),lookups!F:G,2,FALSE)</f>
        <v>#N/A</v>
      </c>
      <c r="Q11" s="84" t="str">
        <f t="shared" si="0"/>
        <v/>
      </c>
      <c r="R11" s="84">
        <f t="shared" si="1"/>
        <v>216552</v>
      </c>
      <c r="S11" s="84">
        <f t="shared" si="2"/>
        <v>335885</v>
      </c>
      <c r="T11" s="84">
        <f t="shared" si="3"/>
        <v>335958</v>
      </c>
    </row>
    <row r="12" spans="1:20" x14ac:dyDescent="0.3">
      <c r="A12" s="96"/>
      <c r="B12" s="84">
        <v>335957</v>
      </c>
      <c r="C12" s="85">
        <v>335885</v>
      </c>
      <c r="D12" s="84" t="s">
        <v>6</v>
      </c>
      <c r="E12" s="84" t="s">
        <v>7</v>
      </c>
      <c r="F12" s="86" t="s">
        <v>834</v>
      </c>
      <c r="G12" s="109" t="s">
        <v>8</v>
      </c>
      <c r="H12" s="87">
        <v>1</v>
      </c>
      <c r="I12" s="84"/>
      <c r="J12" s="84"/>
      <c r="K12" s="84" t="s">
        <v>1614</v>
      </c>
      <c r="L12" s="84" t="s">
        <v>8</v>
      </c>
      <c r="M12" s="88" t="str">
        <f>VLOOKUP(L12,lookups!B:C,2,FALSE)</f>
        <v>TBD</v>
      </c>
      <c r="N12" s="89" t="str">
        <f>VLOOKUP(K12,TeamLookup[],2,0)</f>
        <v>Cyber</v>
      </c>
      <c r="O12" s="84" t="e">
        <f>VLOOKUP(VALUE($S12),lookups!I:J,2,FALSE)</f>
        <v>#N/A</v>
      </c>
      <c r="P12" s="84" t="e">
        <f>VLOOKUP(VALUE($S12),lookups!F:G,2,FALSE)</f>
        <v>#N/A</v>
      </c>
      <c r="Q12" s="84" t="str">
        <f t="shared" si="0"/>
        <v/>
      </c>
      <c r="R12" s="84">
        <f t="shared" si="1"/>
        <v>216552</v>
      </c>
      <c r="S12" s="84">
        <f t="shared" si="2"/>
        <v>335885</v>
      </c>
      <c r="T12" s="84">
        <f t="shared" si="3"/>
        <v>335957</v>
      </c>
    </row>
    <row r="13" spans="1:20" x14ac:dyDescent="0.3">
      <c r="A13" s="96"/>
      <c r="B13" s="84">
        <v>335955</v>
      </c>
      <c r="C13" s="85">
        <v>335885</v>
      </c>
      <c r="D13" s="84" t="s">
        <v>6</v>
      </c>
      <c r="E13" s="84" t="s">
        <v>7</v>
      </c>
      <c r="F13" s="86" t="s">
        <v>835</v>
      </c>
      <c r="G13" s="87" t="s">
        <v>8</v>
      </c>
      <c r="H13" s="87">
        <v>1</v>
      </c>
      <c r="I13" s="89"/>
      <c r="J13" s="89"/>
      <c r="K13" s="89" t="s">
        <v>1614</v>
      </c>
      <c r="L13" s="84" t="s">
        <v>8</v>
      </c>
      <c r="M13" s="88" t="str">
        <f>VLOOKUP(L13,lookups!B:C,2,FALSE)</f>
        <v>TBD</v>
      </c>
      <c r="N13" s="89" t="str">
        <f>VLOOKUP(K13,TeamLookup[],2,0)</f>
        <v>Cyber</v>
      </c>
      <c r="O13" s="84" t="e">
        <f>VLOOKUP(VALUE($S13),lookups!I:J,2,FALSE)</f>
        <v>#N/A</v>
      </c>
      <c r="P13" s="84" t="e">
        <f>VLOOKUP(VALUE($S13),lookups!F:G,2,FALSE)</f>
        <v>#N/A</v>
      </c>
      <c r="Q13" s="84" t="str">
        <f t="shared" si="0"/>
        <v/>
      </c>
      <c r="R13" s="84">
        <f t="shared" si="1"/>
        <v>216552</v>
      </c>
      <c r="S13" s="84">
        <f t="shared" si="2"/>
        <v>335885</v>
      </c>
      <c r="T13" s="84">
        <f t="shared" si="3"/>
        <v>335955</v>
      </c>
    </row>
    <row r="14" spans="1:20" x14ac:dyDescent="0.3">
      <c r="A14" s="96"/>
      <c r="B14" s="84">
        <v>335954</v>
      </c>
      <c r="C14" s="85">
        <v>335885</v>
      </c>
      <c r="D14" s="84" t="s">
        <v>6</v>
      </c>
      <c r="E14" s="84" t="s">
        <v>7</v>
      </c>
      <c r="F14" s="86" t="s">
        <v>836</v>
      </c>
      <c r="G14" s="109" t="s">
        <v>8</v>
      </c>
      <c r="H14" s="87">
        <v>1</v>
      </c>
      <c r="I14" s="89"/>
      <c r="J14" s="89"/>
      <c r="K14" s="89" t="s">
        <v>1614</v>
      </c>
      <c r="L14" s="84" t="s">
        <v>8</v>
      </c>
      <c r="M14" s="88" t="str">
        <f>VLOOKUP(L14,lookups!B:C,2,FALSE)</f>
        <v>TBD</v>
      </c>
      <c r="N14" s="89" t="str">
        <f>VLOOKUP(K14,TeamLookup[],2,0)</f>
        <v>Cyber</v>
      </c>
      <c r="O14" s="84" t="e">
        <f>VLOOKUP(VALUE($S14),lookups!I:J,2,FALSE)</f>
        <v>#N/A</v>
      </c>
      <c r="P14" s="84" t="e">
        <f>VLOOKUP(VALUE($S14),lookups!F:G,2,FALSE)</f>
        <v>#N/A</v>
      </c>
      <c r="Q14" s="84" t="str">
        <f t="shared" si="0"/>
        <v/>
      </c>
      <c r="R14" s="84">
        <f t="shared" si="1"/>
        <v>216552</v>
      </c>
      <c r="S14" s="84">
        <f t="shared" si="2"/>
        <v>335885</v>
      </c>
      <c r="T14" s="84">
        <f t="shared" si="3"/>
        <v>335954</v>
      </c>
    </row>
    <row r="15" spans="1:20" x14ac:dyDescent="0.3">
      <c r="B15" s="84">
        <v>335952</v>
      </c>
      <c r="C15" s="85">
        <v>335885</v>
      </c>
      <c r="D15" s="84" t="s">
        <v>6</v>
      </c>
      <c r="E15" s="84" t="s">
        <v>7</v>
      </c>
      <c r="F15" s="86" t="s">
        <v>837</v>
      </c>
      <c r="G15" s="87" t="s">
        <v>8</v>
      </c>
      <c r="H15" s="87">
        <v>1</v>
      </c>
      <c r="I15" s="89"/>
      <c r="J15" s="89"/>
      <c r="K15" s="89" t="s">
        <v>1614</v>
      </c>
      <c r="L15" s="84" t="s">
        <v>8</v>
      </c>
      <c r="M15" s="88" t="str">
        <f>VLOOKUP(L15,lookups!B:C,2,FALSE)</f>
        <v>TBD</v>
      </c>
      <c r="N15" s="89" t="str">
        <f>VLOOKUP(K15,TeamLookup[],2,0)</f>
        <v>Cyber</v>
      </c>
      <c r="O15" s="84" t="e">
        <f>VLOOKUP(VALUE($S15),lookups!I:J,2,FALSE)</f>
        <v>#N/A</v>
      </c>
      <c r="P15" s="84" t="e">
        <f>VLOOKUP(VALUE($S15),lookups!F:G,2,FALSE)</f>
        <v>#N/A</v>
      </c>
      <c r="Q15" s="84" t="str">
        <f t="shared" si="0"/>
        <v/>
      </c>
      <c r="R15" s="84">
        <f t="shared" si="1"/>
        <v>216552</v>
      </c>
      <c r="S15" s="84">
        <f t="shared" si="2"/>
        <v>335885</v>
      </c>
      <c r="T15" s="84">
        <f t="shared" si="3"/>
        <v>335952</v>
      </c>
    </row>
    <row r="16" spans="1:20" x14ac:dyDescent="0.3">
      <c r="A16" s="96"/>
      <c r="B16" s="84">
        <v>335949</v>
      </c>
      <c r="C16" s="85">
        <v>335885</v>
      </c>
      <c r="D16" s="84" t="s">
        <v>6</v>
      </c>
      <c r="E16" s="84" t="s">
        <v>7</v>
      </c>
      <c r="F16" s="86" t="s">
        <v>838</v>
      </c>
      <c r="G16" s="87" t="s">
        <v>8</v>
      </c>
      <c r="H16" s="87">
        <v>1</v>
      </c>
      <c r="I16" s="89"/>
      <c r="J16" s="89"/>
      <c r="K16" s="89" t="s">
        <v>1614</v>
      </c>
      <c r="L16" s="84" t="s">
        <v>8</v>
      </c>
      <c r="M16" s="88" t="str">
        <f>VLOOKUP(L16,lookups!B:C,2,FALSE)</f>
        <v>TBD</v>
      </c>
      <c r="N16" s="89" t="str">
        <f>VLOOKUP(K16,TeamLookup[],2,0)</f>
        <v>Cyber</v>
      </c>
      <c r="O16" s="84" t="e">
        <f>VLOOKUP(VALUE($S16),lookups!I:J,2,FALSE)</f>
        <v>#N/A</v>
      </c>
      <c r="P16" s="84" t="e">
        <f>VLOOKUP(VALUE($S16),lookups!F:G,2,FALSE)</f>
        <v>#N/A</v>
      </c>
      <c r="Q16" s="84" t="str">
        <f t="shared" si="0"/>
        <v/>
      </c>
      <c r="R16" s="84">
        <f t="shared" si="1"/>
        <v>216552</v>
      </c>
      <c r="S16" s="84">
        <f t="shared" si="2"/>
        <v>335885</v>
      </c>
      <c r="T16" s="84">
        <f t="shared" si="3"/>
        <v>335949</v>
      </c>
    </row>
    <row r="17" spans="1:20" x14ac:dyDescent="0.3">
      <c r="B17" s="84">
        <v>335946</v>
      </c>
      <c r="C17" s="85">
        <v>335885</v>
      </c>
      <c r="D17" s="84" t="s">
        <v>6</v>
      </c>
      <c r="E17" s="84" t="s">
        <v>7</v>
      </c>
      <c r="F17" s="86" t="s">
        <v>839</v>
      </c>
      <c r="G17" s="87" t="s">
        <v>8</v>
      </c>
      <c r="H17" s="87">
        <v>1</v>
      </c>
      <c r="I17" s="104"/>
      <c r="J17" s="104"/>
      <c r="K17" s="116" t="s">
        <v>1614</v>
      </c>
      <c r="L17" s="84" t="s">
        <v>8</v>
      </c>
      <c r="M17" s="88" t="str">
        <f>VLOOKUP(L17,lookups!B:C,2,FALSE)</f>
        <v>TBD</v>
      </c>
      <c r="N17" s="89" t="str">
        <f>VLOOKUP(K17,TeamLookup[],2,0)</f>
        <v>Cyber</v>
      </c>
      <c r="O17" s="84" t="e">
        <f>VLOOKUP(VALUE($S17),lookups!I:J,2,FALSE)</f>
        <v>#N/A</v>
      </c>
      <c r="P17" s="84" t="e">
        <f>VLOOKUP(VALUE($S17),lookups!F:G,2,FALSE)</f>
        <v>#N/A</v>
      </c>
      <c r="Q17" s="84" t="str">
        <f t="shared" si="0"/>
        <v/>
      </c>
      <c r="R17" s="84">
        <f t="shared" si="1"/>
        <v>216552</v>
      </c>
      <c r="S17" s="84">
        <f t="shared" si="2"/>
        <v>335885</v>
      </c>
      <c r="T17" s="84">
        <f t="shared" si="3"/>
        <v>335946</v>
      </c>
    </row>
    <row r="18" spans="1:20" ht="51" customHeight="1" x14ac:dyDescent="0.3">
      <c r="B18" s="84">
        <v>335944</v>
      </c>
      <c r="C18" s="85">
        <v>335885</v>
      </c>
      <c r="D18" s="84" t="s">
        <v>6</v>
      </c>
      <c r="E18" s="84" t="s">
        <v>7</v>
      </c>
      <c r="F18" s="86" t="s">
        <v>840</v>
      </c>
      <c r="G18" s="87" t="s">
        <v>8</v>
      </c>
      <c r="H18" s="103">
        <v>1</v>
      </c>
      <c r="I18" s="84"/>
      <c r="J18" s="84"/>
      <c r="K18" s="84" t="s">
        <v>1614</v>
      </c>
      <c r="L18" s="107" t="s">
        <v>8</v>
      </c>
      <c r="M18" s="88" t="str">
        <f>VLOOKUP(L18,lookups!B:C,2,FALSE)</f>
        <v>TBD</v>
      </c>
      <c r="N18" s="89" t="str">
        <f>VLOOKUP(K18,TeamLookup[],2,0)</f>
        <v>Cyber</v>
      </c>
      <c r="O18" s="84" t="e">
        <f>VLOOKUP(VALUE($S18),lookups!I:J,2,FALSE)</f>
        <v>#N/A</v>
      </c>
      <c r="P18" s="84" t="e">
        <f>VLOOKUP(VALUE($S18),lookups!F:G,2,FALSE)</f>
        <v>#N/A</v>
      </c>
      <c r="Q18" s="84" t="str">
        <f t="shared" si="0"/>
        <v/>
      </c>
      <c r="R18" s="84">
        <f t="shared" si="1"/>
        <v>216552</v>
      </c>
      <c r="S18" s="84">
        <f t="shared" si="2"/>
        <v>335885</v>
      </c>
      <c r="T18" s="84">
        <f t="shared" si="3"/>
        <v>335944</v>
      </c>
    </row>
    <row r="19" spans="1:20" x14ac:dyDescent="0.3">
      <c r="B19" s="84">
        <v>335942</v>
      </c>
      <c r="C19" s="85">
        <v>335885</v>
      </c>
      <c r="D19" s="84" t="s">
        <v>6</v>
      </c>
      <c r="E19" s="84" t="s">
        <v>7</v>
      </c>
      <c r="F19" s="86" t="s">
        <v>841</v>
      </c>
      <c r="G19" s="87" t="s">
        <v>8</v>
      </c>
      <c r="H19" s="103">
        <v>1</v>
      </c>
      <c r="I19" s="89"/>
      <c r="J19" s="89"/>
      <c r="K19" s="89" t="s">
        <v>1614</v>
      </c>
      <c r="L19" s="107" t="s">
        <v>8</v>
      </c>
      <c r="M19" s="88" t="str">
        <f>VLOOKUP(L19,lookups!B:C,2,FALSE)</f>
        <v>TBD</v>
      </c>
      <c r="N19" s="89" t="str">
        <f>VLOOKUP(K19,TeamLookup[],2,0)</f>
        <v>Cyber</v>
      </c>
      <c r="O19" s="84" t="e">
        <f>VLOOKUP(VALUE($S19),lookups!I:J,2,FALSE)</f>
        <v>#N/A</v>
      </c>
      <c r="P19" s="84" t="e">
        <f>VLOOKUP(VALUE($S19),lookups!F:G,2,FALSE)</f>
        <v>#N/A</v>
      </c>
      <c r="Q19" s="84" t="str">
        <f t="shared" si="0"/>
        <v/>
      </c>
      <c r="R19" s="84">
        <f t="shared" si="1"/>
        <v>216552</v>
      </c>
      <c r="S19" s="84">
        <f t="shared" si="2"/>
        <v>335885</v>
      </c>
      <c r="T19" s="84">
        <f t="shared" si="3"/>
        <v>335942</v>
      </c>
    </row>
    <row r="20" spans="1:20" x14ac:dyDescent="0.3">
      <c r="A20" s="96"/>
      <c r="B20" s="84">
        <v>335941</v>
      </c>
      <c r="C20" s="85">
        <v>335885</v>
      </c>
      <c r="D20" s="84" t="s">
        <v>6</v>
      </c>
      <c r="E20" s="84" t="s">
        <v>7</v>
      </c>
      <c r="F20" s="86" t="s">
        <v>842</v>
      </c>
      <c r="G20" s="87" t="s">
        <v>8</v>
      </c>
      <c r="H20" s="87">
        <v>1</v>
      </c>
      <c r="I20" s="89"/>
      <c r="J20" s="89"/>
      <c r="K20" s="89" t="s">
        <v>1614</v>
      </c>
      <c r="L20" s="84" t="s">
        <v>8</v>
      </c>
      <c r="M20" s="88" t="str">
        <f>VLOOKUP(L20,lookups!B:C,2,FALSE)</f>
        <v>TBD</v>
      </c>
      <c r="N20" s="89" t="str">
        <f>VLOOKUP(K20,TeamLookup[],2,0)</f>
        <v>Cyber</v>
      </c>
      <c r="O20" s="84" t="e">
        <f>VLOOKUP(VALUE($S20),lookups!I:J,2,FALSE)</f>
        <v>#N/A</v>
      </c>
      <c r="P20" s="84" t="e">
        <f>VLOOKUP(VALUE($S20),lookups!F:G,2,FALSE)</f>
        <v>#N/A</v>
      </c>
      <c r="Q20" s="84" t="str">
        <f t="shared" si="0"/>
        <v/>
      </c>
      <c r="R20" s="84">
        <f t="shared" si="1"/>
        <v>216552</v>
      </c>
      <c r="S20" s="84">
        <f t="shared" si="2"/>
        <v>335885</v>
      </c>
      <c r="T20" s="84">
        <f t="shared" si="3"/>
        <v>335941</v>
      </c>
    </row>
    <row r="21" spans="1:20" x14ac:dyDescent="0.3">
      <c r="A21" s="96"/>
      <c r="B21" s="84">
        <v>335934</v>
      </c>
      <c r="C21" s="85">
        <v>335885</v>
      </c>
      <c r="D21" s="84" t="s">
        <v>6</v>
      </c>
      <c r="E21" s="84" t="s">
        <v>7</v>
      </c>
      <c r="F21" s="86" t="s">
        <v>843</v>
      </c>
      <c r="G21" s="109" t="s">
        <v>8</v>
      </c>
      <c r="H21" s="87">
        <v>1</v>
      </c>
      <c r="I21" s="89"/>
      <c r="J21" s="89"/>
      <c r="K21" s="89" t="s">
        <v>1614</v>
      </c>
      <c r="L21" s="84" t="s">
        <v>8</v>
      </c>
      <c r="M21" s="88" t="str">
        <f>VLOOKUP(L21,lookups!B:C,2,FALSE)</f>
        <v>TBD</v>
      </c>
      <c r="N21" s="89" t="str">
        <f>VLOOKUP(K21,TeamLookup[],2,0)</f>
        <v>Cyber</v>
      </c>
      <c r="O21" s="84" t="e">
        <f>VLOOKUP(VALUE($S21),lookups!I:J,2,FALSE)</f>
        <v>#N/A</v>
      </c>
      <c r="P21" s="84" t="e">
        <f>VLOOKUP(VALUE($S21),lookups!F:G,2,FALSE)</f>
        <v>#N/A</v>
      </c>
      <c r="Q21" s="84" t="str">
        <f t="shared" si="0"/>
        <v/>
      </c>
      <c r="R21" s="84">
        <f t="shared" si="1"/>
        <v>216552</v>
      </c>
      <c r="S21" s="84">
        <f t="shared" si="2"/>
        <v>335885</v>
      </c>
      <c r="T21" s="84">
        <f t="shared" si="3"/>
        <v>335934</v>
      </c>
    </row>
    <row r="22" spans="1:20" x14ac:dyDescent="0.3">
      <c r="B22" s="84">
        <v>335932</v>
      </c>
      <c r="C22" s="85">
        <v>335885</v>
      </c>
      <c r="D22" s="84" t="s">
        <v>6</v>
      </c>
      <c r="E22" s="84" t="s">
        <v>7</v>
      </c>
      <c r="F22" s="86" t="s">
        <v>844</v>
      </c>
      <c r="G22" s="93" t="s">
        <v>8</v>
      </c>
      <c r="H22" s="87">
        <v>1</v>
      </c>
      <c r="I22" s="89"/>
      <c r="J22" s="89"/>
      <c r="K22" s="89" t="s">
        <v>1614</v>
      </c>
      <c r="L22" s="84" t="s">
        <v>8</v>
      </c>
      <c r="M22" s="88" t="str">
        <f>VLOOKUP(L22,lookups!B:C,2,FALSE)</f>
        <v>TBD</v>
      </c>
      <c r="N22" s="89" t="str">
        <f>VLOOKUP(K22,TeamLookup[],2,0)</f>
        <v>Cyber</v>
      </c>
      <c r="O22" s="84" t="e">
        <f>VLOOKUP(VALUE($S22),lookups!I:J,2,FALSE)</f>
        <v>#N/A</v>
      </c>
      <c r="P22" s="84" t="e">
        <f>VLOOKUP(VALUE($S22),lookups!F:G,2,FALSE)</f>
        <v>#N/A</v>
      </c>
      <c r="Q22" s="84" t="str">
        <f t="shared" si="0"/>
        <v/>
      </c>
      <c r="R22" s="84">
        <f t="shared" si="1"/>
        <v>216552</v>
      </c>
      <c r="S22" s="84">
        <f t="shared" si="2"/>
        <v>335885</v>
      </c>
      <c r="T22" s="84">
        <f t="shared" si="3"/>
        <v>335932</v>
      </c>
    </row>
    <row r="23" spans="1:20" x14ac:dyDescent="0.3">
      <c r="B23" s="84">
        <v>335899</v>
      </c>
      <c r="C23" s="85">
        <v>335885</v>
      </c>
      <c r="D23" s="84" t="s">
        <v>344</v>
      </c>
      <c r="E23" s="84" t="s">
        <v>7</v>
      </c>
      <c r="F23" s="86" t="s">
        <v>845</v>
      </c>
      <c r="G23" s="87" t="s">
        <v>8</v>
      </c>
      <c r="H23" s="87"/>
      <c r="I23" s="89"/>
      <c r="J23" s="89"/>
      <c r="K23" s="89" t="s">
        <v>8</v>
      </c>
      <c r="L23" s="84" t="s">
        <v>8</v>
      </c>
      <c r="M23" s="88" t="str">
        <f>VLOOKUP(L23,lookups!B:C,2,FALSE)</f>
        <v>TBD</v>
      </c>
      <c r="N23" s="89" t="e">
        <f>VLOOKUP(K23,TeamLookup[],2,0)</f>
        <v>#N/A</v>
      </c>
      <c r="O23" s="84" t="e">
        <f>VLOOKUP(VALUE($S23),lookups!I:J,2,FALSE)</f>
        <v>#N/A</v>
      </c>
      <c r="P23" s="84" t="e">
        <f>VLOOKUP(VALUE($S23),lookups!F:G,2,FALSE)</f>
        <v>#N/A</v>
      </c>
      <c r="Q23" s="84" t="str">
        <f t="shared" si="0"/>
        <v/>
      </c>
      <c r="R23" s="84">
        <f t="shared" si="1"/>
        <v>216552</v>
      </c>
      <c r="S23" s="84">
        <f t="shared" si="2"/>
        <v>335885</v>
      </c>
      <c r="T23" s="84">
        <f t="shared" si="3"/>
        <v>335899</v>
      </c>
    </row>
    <row r="24" spans="1:20" x14ac:dyDescent="0.3">
      <c r="B24" s="84">
        <v>335898</v>
      </c>
      <c r="C24" s="85">
        <v>335885</v>
      </c>
      <c r="D24" s="84" t="s">
        <v>6</v>
      </c>
      <c r="E24" s="84" t="s">
        <v>7</v>
      </c>
      <c r="F24" s="86" t="s">
        <v>846</v>
      </c>
      <c r="G24" s="109" t="s">
        <v>8</v>
      </c>
      <c r="H24" s="87">
        <v>5</v>
      </c>
      <c r="I24" s="89"/>
      <c r="J24" s="89"/>
      <c r="K24" s="89" t="s">
        <v>1614</v>
      </c>
      <c r="L24" s="84" t="s">
        <v>8</v>
      </c>
      <c r="M24" s="88" t="str">
        <f>VLOOKUP(L24,lookups!B:C,2,FALSE)</f>
        <v>TBD</v>
      </c>
      <c r="N24" s="89" t="str">
        <f>VLOOKUP(K24,TeamLookup[],2,0)</f>
        <v>Cyber</v>
      </c>
      <c r="O24" s="84" t="e">
        <f>VLOOKUP(VALUE($S24),lookups!I:J,2,FALSE)</f>
        <v>#N/A</v>
      </c>
      <c r="P24" s="84" t="e">
        <f>VLOOKUP(VALUE($S24),lookups!F:G,2,FALSE)</f>
        <v>#N/A</v>
      </c>
      <c r="Q24" s="84" t="str">
        <f t="shared" si="0"/>
        <v/>
      </c>
      <c r="R24" s="84">
        <f t="shared" si="1"/>
        <v>216552</v>
      </c>
      <c r="S24" s="84">
        <f t="shared" si="2"/>
        <v>335885</v>
      </c>
      <c r="T24" s="84">
        <f t="shared" si="3"/>
        <v>335898</v>
      </c>
    </row>
    <row r="25" spans="1:20" x14ac:dyDescent="0.3">
      <c r="B25" s="84">
        <v>335897</v>
      </c>
      <c r="C25" s="85">
        <v>335885</v>
      </c>
      <c r="D25" s="84" t="s">
        <v>6</v>
      </c>
      <c r="E25" s="84" t="s">
        <v>7</v>
      </c>
      <c r="F25" s="86" t="s">
        <v>847</v>
      </c>
      <c r="G25" s="109" t="s">
        <v>8</v>
      </c>
      <c r="H25" s="87">
        <v>5</v>
      </c>
      <c r="I25" s="89"/>
      <c r="J25" s="89"/>
      <c r="K25" s="89" t="s">
        <v>1614</v>
      </c>
      <c r="L25" s="84" t="s">
        <v>8</v>
      </c>
      <c r="M25" s="88" t="str">
        <f>VLOOKUP(L25,lookups!B:C,2,FALSE)</f>
        <v>TBD</v>
      </c>
      <c r="N25" s="89" t="str">
        <f>VLOOKUP(K25,TeamLookup[],2,0)</f>
        <v>Cyber</v>
      </c>
      <c r="O25" s="84" t="e">
        <f>VLOOKUP(VALUE($S25),lookups!I:J,2,FALSE)</f>
        <v>#N/A</v>
      </c>
      <c r="P25" s="84" t="e">
        <f>VLOOKUP(VALUE($S25),lookups!F:G,2,FALSE)</f>
        <v>#N/A</v>
      </c>
      <c r="Q25" s="84" t="str">
        <f t="shared" si="0"/>
        <v/>
      </c>
      <c r="R25" s="84">
        <f t="shared" si="1"/>
        <v>216552</v>
      </c>
      <c r="S25" s="84">
        <f t="shared" si="2"/>
        <v>335885</v>
      </c>
      <c r="T25" s="84">
        <f t="shared" si="3"/>
        <v>335897</v>
      </c>
    </row>
    <row r="26" spans="1:20" x14ac:dyDescent="0.3">
      <c r="B26" s="84">
        <v>335896</v>
      </c>
      <c r="C26" s="85">
        <v>335885</v>
      </c>
      <c r="D26" s="84" t="s">
        <v>6</v>
      </c>
      <c r="E26" s="84" t="s">
        <v>7</v>
      </c>
      <c r="F26" s="86" t="s">
        <v>848</v>
      </c>
      <c r="G26" s="109" t="s">
        <v>8</v>
      </c>
      <c r="H26" s="87">
        <v>1</v>
      </c>
      <c r="I26" s="89"/>
      <c r="J26" s="89" t="s">
        <v>849</v>
      </c>
      <c r="K26" s="89" t="s">
        <v>1614</v>
      </c>
      <c r="L26" s="84" t="s">
        <v>8</v>
      </c>
      <c r="M26" s="88" t="str">
        <f>VLOOKUP(L26,lookups!B:C,2,FALSE)</f>
        <v>TBD</v>
      </c>
      <c r="N26" s="89" t="str">
        <f>VLOOKUP(K26,TeamLookup[],2,0)</f>
        <v>Cyber</v>
      </c>
      <c r="O26" s="84" t="e">
        <f>VLOOKUP(VALUE($S26),lookups!I:J,2,FALSE)</f>
        <v>#N/A</v>
      </c>
      <c r="P26" s="84" t="e">
        <f>VLOOKUP(VALUE($S26),lookups!F:G,2,FALSE)</f>
        <v>#N/A</v>
      </c>
      <c r="Q26" s="84" t="str">
        <f t="shared" si="0"/>
        <v/>
      </c>
      <c r="R26" s="84">
        <f t="shared" si="1"/>
        <v>216552</v>
      </c>
      <c r="S26" s="84">
        <f t="shared" si="2"/>
        <v>335885</v>
      </c>
      <c r="T26" s="84">
        <f t="shared" si="3"/>
        <v>335896</v>
      </c>
    </row>
    <row r="27" spans="1:20" x14ac:dyDescent="0.3">
      <c r="B27" s="84">
        <v>335894</v>
      </c>
      <c r="C27" s="85">
        <v>335885</v>
      </c>
      <c r="D27" s="84" t="s">
        <v>6</v>
      </c>
      <c r="E27" s="84" t="s">
        <v>7</v>
      </c>
      <c r="F27" s="86" t="s">
        <v>850</v>
      </c>
      <c r="G27" s="109" t="s">
        <v>8</v>
      </c>
      <c r="H27" s="87">
        <v>1</v>
      </c>
      <c r="I27" s="84"/>
      <c r="J27" s="84"/>
      <c r="K27" s="84" t="s">
        <v>1614</v>
      </c>
      <c r="L27" s="84" t="s">
        <v>8</v>
      </c>
      <c r="M27" s="88" t="str">
        <f>VLOOKUP(L27,lookups!B:C,2,FALSE)</f>
        <v>TBD</v>
      </c>
      <c r="N27" s="89" t="str">
        <f>VLOOKUP(K27,TeamLookup[],2,0)</f>
        <v>Cyber</v>
      </c>
      <c r="O27" s="84" t="e">
        <f>VLOOKUP(VALUE($S27),lookups!I:J,2,FALSE)</f>
        <v>#N/A</v>
      </c>
      <c r="P27" s="84" t="e">
        <f>VLOOKUP(VALUE($S27),lookups!F:G,2,FALSE)</f>
        <v>#N/A</v>
      </c>
      <c r="Q27" s="84" t="str">
        <f t="shared" si="0"/>
        <v/>
      </c>
      <c r="R27" s="84">
        <f t="shared" si="1"/>
        <v>216552</v>
      </c>
      <c r="S27" s="84">
        <f t="shared" si="2"/>
        <v>335885</v>
      </c>
      <c r="T27" s="84">
        <f t="shared" si="3"/>
        <v>335894</v>
      </c>
    </row>
    <row r="28" spans="1:20" x14ac:dyDescent="0.3">
      <c r="B28" s="84">
        <v>335893</v>
      </c>
      <c r="C28" s="85">
        <v>335885</v>
      </c>
      <c r="D28" s="84" t="s">
        <v>6</v>
      </c>
      <c r="E28" s="84" t="s">
        <v>7</v>
      </c>
      <c r="F28" s="86" t="s">
        <v>851</v>
      </c>
      <c r="G28" s="109" t="s">
        <v>8</v>
      </c>
      <c r="H28" s="87">
        <v>3</v>
      </c>
      <c r="I28" s="104"/>
      <c r="J28" s="104" t="s">
        <v>852</v>
      </c>
      <c r="K28" s="116" t="s">
        <v>780</v>
      </c>
      <c r="L28" s="84" t="s">
        <v>134</v>
      </c>
      <c r="M28" s="88" t="str">
        <f>VLOOKUP(L28,lookups!B:C,2,FALSE)</f>
        <v>Craig D</v>
      </c>
      <c r="N28" s="89" t="e">
        <f>VLOOKUP(K28,TeamLookup[],2,0)</f>
        <v>#N/A</v>
      </c>
      <c r="O28" s="84" t="e">
        <f>VLOOKUP(VALUE($S28),lookups!I:J,2,FALSE)</f>
        <v>#N/A</v>
      </c>
      <c r="P28" s="84" t="e">
        <f>VLOOKUP(VALUE($S28),lookups!F:G,2,FALSE)</f>
        <v>#N/A</v>
      </c>
      <c r="Q28" s="84" t="str">
        <f t="shared" si="0"/>
        <v/>
      </c>
      <c r="R28" s="84">
        <f t="shared" si="1"/>
        <v>216552</v>
      </c>
      <c r="S28" s="84">
        <f t="shared" si="2"/>
        <v>335885</v>
      </c>
      <c r="T28" s="84">
        <f t="shared" si="3"/>
        <v>335893</v>
      </c>
    </row>
    <row r="29" spans="1:20" x14ac:dyDescent="0.3">
      <c r="B29" s="88">
        <v>335892</v>
      </c>
      <c r="C29" s="85">
        <v>335885</v>
      </c>
      <c r="D29" s="84" t="s">
        <v>6</v>
      </c>
      <c r="E29" s="84" t="s">
        <v>7</v>
      </c>
      <c r="F29" s="91" t="s">
        <v>853</v>
      </c>
      <c r="G29" s="109" t="s">
        <v>8</v>
      </c>
      <c r="H29" s="87">
        <v>2</v>
      </c>
      <c r="I29" s="89"/>
      <c r="J29" s="89"/>
      <c r="K29" s="89" t="s">
        <v>1614</v>
      </c>
      <c r="L29" s="84" t="s">
        <v>8</v>
      </c>
      <c r="M29" s="88" t="str">
        <f>VLOOKUP(L29,lookups!B:C,2,FALSE)</f>
        <v>TBD</v>
      </c>
      <c r="N29" s="89" t="str">
        <f>VLOOKUP(K29,TeamLookup[],2,0)</f>
        <v>Cyber</v>
      </c>
      <c r="O29" s="84" t="e">
        <f>VLOOKUP(VALUE($S29),lookups!I:J,2,FALSE)</f>
        <v>#N/A</v>
      </c>
      <c r="P29" s="84" t="e">
        <f>VLOOKUP(VALUE($S29),lookups!F:G,2,FALSE)</f>
        <v>#N/A</v>
      </c>
      <c r="Q29" s="84" t="str">
        <f t="shared" si="0"/>
        <v/>
      </c>
      <c r="R29" s="84">
        <f t="shared" si="1"/>
        <v>216552</v>
      </c>
      <c r="S29" s="84">
        <f t="shared" si="2"/>
        <v>335885</v>
      </c>
      <c r="T29" s="84">
        <f t="shared" si="3"/>
        <v>335892</v>
      </c>
    </row>
    <row r="30" spans="1:20" x14ac:dyDescent="0.3">
      <c r="B30" s="84">
        <v>335891</v>
      </c>
      <c r="C30" s="85">
        <v>335885</v>
      </c>
      <c r="D30" s="84" t="s">
        <v>6</v>
      </c>
      <c r="E30" s="84" t="s">
        <v>7</v>
      </c>
      <c r="F30" s="86" t="s">
        <v>854</v>
      </c>
      <c r="G30" s="87" t="s">
        <v>8</v>
      </c>
      <c r="H30" s="103">
        <v>5</v>
      </c>
      <c r="I30" s="89"/>
      <c r="J30" s="89" t="s">
        <v>855</v>
      </c>
      <c r="K30" s="89" t="s">
        <v>1614</v>
      </c>
      <c r="L30" s="84" t="s">
        <v>8</v>
      </c>
      <c r="M30" s="88" t="str">
        <f>VLOOKUP(L30,lookups!B:C,2,FALSE)</f>
        <v>TBD</v>
      </c>
      <c r="N30" s="89" t="str">
        <f>VLOOKUP(K30,TeamLookup[],2,0)</f>
        <v>Cyber</v>
      </c>
      <c r="O30" s="84" t="e">
        <f>VLOOKUP(VALUE($S30),lookups!I:J,2,FALSE)</f>
        <v>#N/A</v>
      </c>
      <c r="P30" s="84" t="e">
        <f>VLOOKUP(VALUE($S30),lookups!F:G,2,FALSE)</f>
        <v>#N/A</v>
      </c>
      <c r="Q30" s="84" t="str">
        <f t="shared" si="0"/>
        <v/>
      </c>
      <c r="R30" s="84">
        <f t="shared" si="1"/>
        <v>216552</v>
      </c>
      <c r="S30" s="84">
        <f t="shared" si="2"/>
        <v>335885</v>
      </c>
      <c r="T30" s="84">
        <f t="shared" si="3"/>
        <v>335891</v>
      </c>
    </row>
    <row r="31" spans="1:20" x14ac:dyDescent="0.3">
      <c r="B31" s="84">
        <v>335890</v>
      </c>
      <c r="C31" s="85">
        <v>335885</v>
      </c>
      <c r="D31" s="84" t="s">
        <v>6</v>
      </c>
      <c r="E31" s="84" t="s">
        <v>7</v>
      </c>
      <c r="F31" s="86" t="s">
        <v>856</v>
      </c>
      <c r="G31" s="87" t="s">
        <v>8</v>
      </c>
      <c r="H31" s="87">
        <v>2</v>
      </c>
      <c r="I31" s="89"/>
      <c r="J31" s="89"/>
      <c r="K31" s="89" t="s">
        <v>1614</v>
      </c>
      <c r="L31" s="84" t="s">
        <v>8</v>
      </c>
      <c r="M31" s="88" t="str">
        <f>VLOOKUP(L31,lookups!B:C,2,FALSE)</f>
        <v>TBD</v>
      </c>
      <c r="N31" s="89" t="str">
        <f>VLOOKUP(K31,TeamLookup[],2,0)</f>
        <v>Cyber</v>
      </c>
      <c r="O31" s="84" t="e">
        <f>VLOOKUP(VALUE($S31),lookups!I:J,2,FALSE)</f>
        <v>#N/A</v>
      </c>
      <c r="P31" s="84" t="e">
        <f>VLOOKUP(VALUE($S31),lookups!F:G,2,FALSE)</f>
        <v>#N/A</v>
      </c>
      <c r="Q31" s="84" t="str">
        <f t="shared" si="0"/>
        <v/>
      </c>
      <c r="R31" s="84">
        <f t="shared" si="1"/>
        <v>216552</v>
      </c>
      <c r="S31" s="84">
        <f t="shared" si="2"/>
        <v>335885</v>
      </c>
      <c r="T31" s="84">
        <f t="shared" si="3"/>
        <v>335890</v>
      </c>
    </row>
    <row r="32" spans="1:20" ht="31.2" customHeight="1" x14ac:dyDescent="0.3">
      <c r="B32" s="84">
        <v>335889</v>
      </c>
      <c r="C32" s="85">
        <v>335885</v>
      </c>
      <c r="D32" s="84" t="s">
        <v>6</v>
      </c>
      <c r="E32" s="84" t="s">
        <v>7</v>
      </c>
      <c r="F32" s="86" t="s">
        <v>857</v>
      </c>
      <c r="G32" s="87" t="s">
        <v>8</v>
      </c>
      <c r="H32" s="87">
        <v>3</v>
      </c>
      <c r="I32" s="84"/>
      <c r="J32" s="84"/>
      <c r="K32" s="84" t="s">
        <v>1614</v>
      </c>
      <c r="L32" s="84" t="s">
        <v>8</v>
      </c>
      <c r="M32" s="88" t="str">
        <f>VLOOKUP(L32,lookups!B:C,2,FALSE)</f>
        <v>TBD</v>
      </c>
      <c r="N32" s="89" t="str">
        <f>VLOOKUP(K32,TeamLookup[],2,0)</f>
        <v>Cyber</v>
      </c>
      <c r="O32" s="84" t="e">
        <f>VLOOKUP(VALUE($S32),lookups!I:J,2,FALSE)</f>
        <v>#N/A</v>
      </c>
      <c r="P32" s="84" t="e">
        <f>VLOOKUP(VALUE($S32),lookups!F:G,2,FALSE)</f>
        <v>#N/A</v>
      </c>
      <c r="Q32" s="84" t="str">
        <f t="shared" si="0"/>
        <v/>
      </c>
      <c r="R32" s="84">
        <f t="shared" si="1"/>
        <v>216552</v>
      </c>
      <c r="S32" s="84">
        <f t="shared" si="2"/>
        <v>335885</v>
      </c>
      <c r="T32" s="84">
        <f t="shared" si="3"/>
        <v>335889</v>
      </c>
    </row>
    <row r="33" spans="1:20" x14ac:dyDescent="0.3">
      <c r="A33" s="96"/>
      <c r="B33" s="84">
        <v>335888</v>
      </c>
      <c r="C33" s="85">
        <v>335885</v>
      </c>
      <c r="D33" s="84" t="s">
        <v>6</v>
      </c>
      <c r="E33" s="84" t="s">
        <v>7</v>
      </c>
      <c r="F33" s="86" t="s">
        <v>858</v>
      </c>
      <c r="G33" s="87" t="s">
        <v>8</v>
      </c>
      <c r="H33" s="87">
        <v>8</v>
      </c>
      <c r="I33" s="105"/>
      <c r="J33" s="105" t="s">
        <v>859</v>
      </c>
      <c r="K33" s="106" t="s">
        <v>1614</v>
      </c>
      <c r="L33" s="84" t="s">
        <v>8</v>
      </c>
      <c r="M33" s="88" t="str">
        <f>VLOOKUP(L33,lookups!B:C,2,FALSE)</f>
        <v>TBD</v>
      </c>
      <c r="N33" s="89" t="str">
        <f>VLOOKUP(K33,TeamLookup[],2,0)</f>
        <v>Cyber</v>
      </c>
      <c r="O33" s="84" t="e">
        <f>VLOOKUP(VALUE($S33),lookups!I:J,2,FALSE)</f>
        <v>#N/A</v>
      </c>
      <c r="P33" s="84" t="e">
        <f>VLOOKUP(VALUE($S33),lookups!F:G,2,FALSE)</f>
        <v>#N/A</v>
      </c>
      <c r="Q33" s="84" t="str">
        <f t="shared" si="0"/>
        <v/>
      </c>
      <c r="R33" s="84">
        <f t="shared" si="1"/>
        <v>216552</v>
      </c>
      <c r="S33" s="84">
        <f t="shared" si="2"/>
        <v>335885</v>
      </c>
      <c r="T33" s="84">
        <f t="shared" si="3"/>
        <v>335888</v>
      </c>
    </row>
    <row r="34" spans="1:20" x14ac:dyDescent="0.3">
      <c r="B34" s="88">
        <v>335887</v>
      </c>
      <c r="C34" s="85">
        <v>335885</v>
      </c>
      <c r="D34" s="84" t="s">
        <v>6</v>
      </c>
      <c r="E34" s="88" t="s">
        <v>7</v>
      </c>
      <c r="F34" s="91" t="s">
        <v>860</v>
      </c>
      <c r="G34" s="109" t="s">
        <v>8</v>
      </c>
      <c r="H34" s="87">
        <v>1</v>
      </c>
      <c r="I34" s="84"/>
      <c r="J34" s="84" t="s">
        <v>861</v>
      </c>
      <c r="K34" s="84" t="s">
        <v>1614</v>
      </c>
      <c r="L34" s="84" t="s">
        <v>8</v>
      </c>
      <c r="M34" s="88" t="str">
        <f>VLOOKUP(L34,lookups!B:C,2,FALSE)</f>
        <v>TBD</v>
      </c>
      <c r="N34" s="89" t="str">
        <f>VLOOKUP(K34,TeamLookup[],2,0)</f>
        <v>Cyber</v>
      </c>
      <c r="O34" s="84" t="e">
        <f>VLOOKUP(VALUE($S34),lookups!I:J,2,FALSE)</f>
        <v>#N/A</v>
      </c>
      <c r="P34" s="84" t="e">
        <f>VLOOKUP(VALUE($S34),lookups!F:G,2,FALSE)</f>
        <v>#N/A</v>
      </c>
      <c r="Q34" s="84" t="str">
        <f t="shared" si="0"/>
        <v/>
      </c>
      <c r="R34" s="84">
        <f t="shared" si="1"/>
        <v>216552</v>
      </c>
      <c r="S34" s="84">
        <f t="shared" si="2"/>
        <v>335885</v>
      </c>
      <c r="T34" s="84">
        <f t="shared" si="3"/>
        <v>335887</v>
      </c>
    </row>
    <row r="35" spans="1:20" x14ac:dyDescent="0.3">
      <c r="B35" s="84">
        <v>335886</v>
      </c>
      <c r="C35" s="85">
        <v>335885</v>
      </c>
      <c r="D35" s="84" t="s">
        <v>6</v>
      </c>
      <c r="E35" s="88" t="s">
        <v>7</v>
      </c>
      <c r="F35" s="86" t="s">
        <v>862</v>
      </c>
      <c r="G35" s="87" t="s">
        <v>8</v>
      </c>
      <c r="H35" s="87">
        <v>2</v>
      </c>
      <c r="I35" s="105"/>
      <c r="J35" s="105"/>
      <c r="K35" s="106" t="s">
        <v>1614</v>
      </c>
      <c r="L35" s="84" t="s">
        <v>8</v>
      </c>
      <c r="M35" s="88" t="str">
        <f>VLOOKUP(L35,lookups!B:C,2,FALSE)</f>
        <v>TBD</v>
      </c>
      <c r="N35" s="89" t="str">
        <f>VLOOKUP(K35,TeamLookup[],2,0)</f>
        <v>Cyber</v>
      </c>
      <c r="O35" s="84" t="e">
        <f>VLOOKUP(VALUE($S35),lookups!I:J,2,FALSE)</f>
        <v>#N/A</v>
      </c>
      <c r="P35" s="84" t="e">
        <f>VLOOKUP(VALUE($S35),lookups!F:G,2,FALSE)</f>
        <v>#N/A</v>
      </c>
      <c r="Q35" s="84" t="str">
        <f t="shared" si="0"/>
        <v/>
      </c>
      <c r="R35" s="84">
        <f t="shared" si="1"/>
        <v>216552</v>
      </c>
      <c r="S35" s="84">
        <f t="shared" si="2"/>
        <v>335885</v>
      </c>
      <c r="T35" s="84">
        <f t="shared" si="3"/>
        <v>335886</v>
      </c>
    </row>
    <row r="36" spans="1:20" x14ac:dyDescent="0.3">
      <c r="B36" s="84">
        <v>335969</v>
      </c>
      <c r="C36" s="92">
        <v>216552</v>
      </c>
      <c r="D36" s="88" t="s">
        <v>24</v>
      </c>
      <c r="E36" s="84" t="s">
        <v>653</v>
      </c>
      <c r="F36" s="91" t="s">
        <v>825</v>
      </c>
      <c r="G36" s="93" t="s">
        <v>442</v>
      </c>
      <c r="H36" s="93"/>
      <c r="I36" s="147"/>
      <c r="J36" s="147"/>
      <c r="K36" s="148" t="s">
        <v>1614</v>
      </c>
      <c r="L36" s="88" t="s">
        <v>8</v>
      </c>
      <c r="M36" s="88" t="str">
        <f>VLOOKUP(L36,lookups!B:C,2,FALSE)</f>
        <v>TBD</v>
      </c>
      <c r="N36" s="89" t="str">
        <f>VLOOKUP(K36,TeamLookup[],2,0)</f>
        <v>Cyber</v>
      </c>
      <c r="O36" s="84" t="e">
        <f>VLOOKUP(VALUE($S36),lookups!I:J,2,FALSE)</f>
        <v>#N/A</v>
      </c>
      <c r="P36" s="84" t="e">
        <f>VLOOKUP(VALUE($S36),lookups!F:G,2,FALSE)</f>
        <v>#N/A</v>
      </c>
      <c r="Q36" s="84" t="str">
        <f t="shared" si="0"/>
        <v>ParentNotInCyberQuery</v>
      </c>
      <c r="R36" s="84">
        <f t="shared" si="1"/>
        <v>216552</v>
      </c>
      <c r="S36" s="84">
        <f t="shared" si="2"/>
        <v>335969</v>
      </c>
      <c r="T36" s="84">
        <f t="shared" si="3"/>
        <v>0</v>
      </c>
    </row>
    <row r="37" spans="1:20" x14ac:dyDescent="0.3">
      <c r="B37" s="84">
        <v>336074</v>
      </c>
      <c r="C37" s="85">
        <v>335969</v>
      </c>
      <c r="D37" s="84" t="s">
        <v>6</v>
      </c>
      <c r="E37" s="84" t="s">
        <v>7</v>
      </c>
      <c r="F37" s="86" t="s">
        <v>792</v>
      </c>
      <c r="G37" s="109" t="s">
        <v>8</v>
      </c>
      <c r="H37" s="87">
        <v>1</v>
      </c>
      <c r="I37" s="105"/>
      <c r="J37" s="105"/>
      <c r="K37" s="106" t="s">
        <v>1614</v>
      </c>
      <c r="L37" s="84" t="s">
        <v>8</v>
      </c>
      <c r="M37" s="88" t="str">
        <f>VLOOKUP(L37,lookups!B:C,2,FALSE)</f>
        <v>TBD</v>
      </c>
      <c r="N37" s="89" t="str">
        <f>VLOOKUP(K37,TeamLookup[],2,0)</f>
        <v>Cyber</v>
      </c>
      <c r="O37" s="84" t="e">
        <f>VLOOKUP(VALUE($S37),lookups!I:J,2,FALSE)</f>
        <v>#N/A</v>
      </c>
      <c r="P37" s="84" t="e">
        <f>VLOOKUP(VALUE($S37),lookups!F:G,2,FALSE)</f>
        <v>#N/A</v>
      </c>
      <c r="Q37" s="84" t="str">
        <f t="shared" si="0"/>
        <v/>
      </c>
      <c r="R37" s="84">
        <f t="shared" si="1"/>
        <v>216552</v>
      </c>
      <c r="S37" s="84">
        <f t="shared" si="2"/>
        <v>335969</v>
      </c>
      <c r="T37" s="84">
        <f t="shared" si="3"/>
        <v>336074</v>
      </c>
    </row>
    <row r="38" spans="1:20" x14ac:dyDescent="0.3">
      <c r="B38" s="88">
        <v>336073</v>
      </c>
      <c r="C38" s="85">
        <v>335969</v>
      </c>
      <c r="D38" s="84" t="s">
        <v>6</v>
      </c>
      <c r="E38" s="84" t="s">
        <v>7</v>
      </c>
      <c r="F38" s="91" t="s">
        <v>793</v>
      </c>
      <c r="G38" s="109" t="s">
        <v>8</v>
      </c>
      <c r="H38" s="87">
        <v>1</v>
      </c>
      <c r="I38" s="89"/>
      <c r="J38" s="89"/>
      <c r="K38" s="89" t="s">
        <v>1614</v>
      </c>
      <c r="L38" s="84" t="s">
        <v>8</v>
      </c>
      <c r="M38" s="88" t="str">
        <f>VLOOKUP(L38,lookups!B:C,2,FALSE)</f>
        <v>TBD</v>
      </c>
      <c r="N38" s="89" t="str">
        <f>VLOOKUP(K38,TeamLookup[],2,0)</f>
        <v>Cyber</v>
      </c>
      <c r="O38" s="84" t="e">
        <f>VLOOKUP(VALUE($S38),lookups!I:J,2,FALSE)</f>
        <v>#N/A</v>
      </c>
      <c r="P38" s="84" t="e">
        <f>VLOOKUP(VALUE($S38),lookups!F:G,2,FALSE)</f>
        <v>#N/A</v>
      </c>
      <c r="Q38" s="84" t="str">
        <f t="shared" si="0"/>
        <v/>
      </c>
      <c r="R38" s="84">
        <f t="shared" si="1"/>
        <v>216552</v>
      </c>
      <c r="S38" s="84">
        <f t="shared" si="2"/>
        <v>335969</v>
      </c>
      <c r="T38" s="84">
        <f t="shared" si="3"/>
        <v>336073</v>
      </c>
    </row>
    <row r="39" spans="1:20" x14ac:dyDescent="0.3">
      <c r="B39" s="84">
        <v>336072</v>
      </c>
      <c r="C39" s="85">
        <v>335969</v>
      </c>
      <c r="D39" s="84" t="s">
        <v>6</v>
      </c>
      <c r="E39" s="84" t="s">
        <v>7</v>
      </c>
      <c r="F39" s="86" t="s">
        <v>794</v>
      </c>
      <c r="G39" s="109" t="s">
        <v>8</v>
      </c>
      <c r="H39" s="103">
        <v>1</v>
      </c>
      <c r="I39" s="89"/>
      <c r="J39" s="89"/>
      <c r="K39" s="89" t="s">
        <v>1614</v>
      </c>
      <c r="L39" s="107" t="s">
        <v>8</v>
      </c>
      <c r="M39" s="88" t="str">
        <f>VLOOKUP(L39,lookups!B:C,2,FALSE)</f>
        <v>TBD</v>
      </c>
      <c r="N39" s="89" t="str">
        <f>VLOOKUP(K39,TeamLookup[],2,0)</f>
        <v>Cyber</v>
      </c>
      <c r="O39" s="84" t="e">
        <f>VLOOKUP(VALUE($S39),lookups!I:J,2,FALSE)</f>
        <v>#N/A</v>
      </c>
      <c r="P39" s="84" t="e">
        <f>VLOOKUP(VALUE($S39),lookups!F:G,2,FALSE)</f>
        <v>#N/A</v>
      </c>
      <c r="Q39" s="84" t="str">
        <f t="shared" si="0"/>
        <v/>
      </c>
      <c r="R39" s="84">
        <f t="shared" si="1"/>
        <v>216552</v>
      </c>
      <c r="S39" s="84">
        <f t="shared" si="2"/>
        <v>335969</v>
      </c>
      <c r="T39" s="84">
        <f t="shared" si="3"/>
        <v>336072</v>
      </c>
    </row>
    <row r="40" spans="1:20" x14ac:dyDescent="0.3">
      <c r="B40" s="84">
        <v>336071</v>
      </c>
      <c r="C40" s="85">
        <v>335969</v>
      </c>
      <c r="D40" s="84" t="s">
        <v>6</v>
      </c>
      <c r="E40" s="84" t="s">
        <v>7</v>
      </c>
      <c r="F40" s="86" t="s">
        <v>795</v>
      </c>
      <c r="G40" s="87" t="s">
        <v>8</v>
      </c>
      <c r="H40" s="87">
        <v>1</v>
      </c>
      <c r="I40" s="84"/>
      <c r="J40" s="84"/>
      <c r="K40" s="84" t="s">
        <v>1614</v>
      </c>
      <c r="L40" s="84" t="s">
        <v>8</v>
      </c>
      <c r="M40" s="88" t="str">
        <f>VLOOKUP(L40,lookups!B:C,2,FALSE)</f>
        <v>TBD</v>
      </c>
      <c r="N40" s="89" t="str">
        <f>VLOOKUP(K40,TeamLookup[],2,0)</f>
        <v>Cyber</v>
      </c>
      <c r="O40" s="84" t="e">
        <f>VLOOKUP(VALUE($S40),lookups!I:J,2,FALSE)</f>
        <v>#N/A</v>
      </c>
      <c r="P40" s="84" t="e">
        <f>VLOOKUP(VALUE($S40),lookups!F:G,2,FALSE)</f>
        <v>#N/A</v>
      </c>
      <c r="Q40" s="84" t="str">
        <f t="shared" si="0"/>
        <v/>
      </c>
      <c r="R40" s="84">
        <f t="shared" si="1"/>
        <v>216552</v>
      </c>
      <c r="S40" s="84">
        <f t="shared" si="2"/>
        <v>335969</v>
      </c>
      <c r="T40" s="84">
        <f t="shared" si="3"/>
        <v>336071</v>
      </c>
    </row>
    <row r="41" spans="1:20" ht="29.4" customHeight="1" x14ac:dyDescent="0.3">
      <c r="B41" s="84">
        <v>336070</v>
      </c>
      <c r="C41" s="85">
        <v>335969</v>
      </c>
      <c r="D41" s="84" t="s">
        <v>6</v>
      </c>
      <c r="E41" s="84" t="s">
        <v>7</v>
      </c>
      <c r="F41" s="86" t="s">
        <v>796</v>
      </c>
      <c r="G41" s="87" t="s">
        <v>8</v>
      </c>
      <c r="H41" s="87">
        <v>1</v>
      </c>
      <c r="I41" s="105"/>
      <c r="J41" s="105"/>
      <c r="K41" s="105" t="s">
        <v>1614</v>
      </c>
      <c r="L41" s="84" t="s">
        <v>8</v>
      </c>
      <c r="M41" s="88" t="str">
        <f>VLOOKUP(L41,lookups!B:C,2,FALSE)</f>
        <v>TBD</v>
      </c>
      <c r="N41" s="89" t="str">
        <f>VLOOKUP(K41,TeamLookup[],2,0)</f>
        <v>Cyber</v>
      </c>
      <c r="O41" s="84" t="e">
        <f>VLOOKUP(VALUE($S41),lookups!I:J,2,FALSE)</f>
        <v>#N/A</v>
      </c>
      <c r="P41" s="84" t="e">
        <f>VLOOKUP(VALUE($S41),lookups!F:G,2,FALSE)</f>
        <v>#N/A</v>
      </c>
      <c r="Q41" s="84" t="str">
        <f t="shared" si="0"/>
        <v/>
      </c>
      <c r="R41" s="84">
        <f t="shared" si="1"/>
        <v>216552</v>
      </c>
      <c r="S41" s="84">
        <f t="shared" si="2"/>
        <v>335969</v>
      </c>
      <c r="T41" s="84">
        <f t="shared" si="3"/>
        <v>336070</v>
      </c>
    </row>
    <row r="42" spans="1:20" x14ac:dyDescent="0.3">
      <c r="B42" s="84">
        <v>336066</v>
      </c>
      <c r="C42" s="85">
        <v>335969</v>
      </c>
      <c r="D42" s="84" t="s">
        <v>6</v>
      </c>
      <c r="E42" s="84" t="s">
        <v>7</v>
      </c>
      <c r="F42" s="86" t="s">
        <v>797</v>
      </c>
      <c r="G42" s="87" t="s">
        <v>8</v>
      </c>
      <c r="H42" s="87">
        <v>1</v>
      </c>
      <c r="I42" s="105"/>
      <c r="J42" s="105"/>
      <c r="K42" s="89" t="s">
        <v>1614</v>
      </c>
      <c r="L42" s="84" t="s">
        <v>8</v>
      </c>
      <c r="M42" s="88" t="str">
        <f>VLOOKUP(L42,lookups!B:C,2,FALSE)</f>
        <v>TBD</v>
      </c>
      <c r="N42" s="89" t="str">
        <f>VLOOKUP(K42,TeamLookup[],2,0)</f>
        <v>Cyber</v>
      </c>
      <c r="O42" s="84" t="e">
        <f>VLOOKUP(VALUE($S42),lookups!I:J,2,FALSE)</f>
        <v>#N/A</v>
      </c>
      <c r="P42" s="84" t="e">
        <f>VLOOKUP(VALUE($S42),lookups!F:G,2,FALSE)</f>
        <v>#N/A</v>
      </c>
      <c r="Q42" s="84" t="str">
        <f t="shared" si="0"/>
        <v/>
      </c>
      <c r="R42" s="84">
        <f t="shared" si="1"/>
        <v>216552</v>
      </c>
      <c r="S42" s="84">
        <f t="shared" si="2"/>
        <v>335969</v>
      </c>
      <c r="T42" s="84">
        <f t="shared" si="3"/>
        <v>336066</v>
      </c>
    </row>
    <row r="43" spans="1:20" x14ac:dyDescent="0.3">
      <c r="A43" s="96"/>
      <c r="B43" s="84">
        <v>336063</v>
      </c>
      <c r="C43" s="85">
        <v>335969</v>
      </c>
      <c r="D43" s="84" t="s">
        <v>6</v>
      </c>
      <c r="E43" s="84" t="s">
        <v>7</v>
      </c>
      <c r="F43" s="86" t="s">
        <v>798</v>
      </c>
      <c r="G43" s="109" t="s">
        <v>8</v>
      </c>
      <c r="H43" s="87">
        <v>1</v>
      </c>
      <c r="I43" s="105"/>
      <c r="J43" s="105"/>
      <c r="K43" s="106" t="s">
        <v>1614</v>
      </c>
      <c r="L43" s="84" t="s">
        <v>8</v>
      </c>
      <c r="M43" s="88" t="str">
        <f>VLOOKUP(L43,lookups!B:C,2,FALSE)</f>
        <v>TBD</v>
      </c>
      <c r="N43" s="89" t="str">
        <f>VLOOKUP(K43,TeamLookup[],2,0)</f>
        <v>Cyber</v>
      </c>
      <c r="O43" s="84" t="e">
        <f>VLOOKUP(VALUE($S43),lookups!I:J,2,FALSE)</f>
        <v>#N/A</v>
      </c>
      <c r="P43" s="84" t="e">
        <f>VLOOKUP(VALUE($S43),lookups!F:G,2,FALSE)</f>
        <v>#N/A</v>
      </c>
      <c r="Q43" s="84" t="str">
        <f t="shared" si="0"/>
        <v/>
      </c>
      <c r="R43" s="84">
        <f t="shared" si="1"/>
        <v>216552</v>
      </c>
      <c r="S43" s="84">
        <f t="shared" si="2"/>
        <v>335969</v>
      </c>
      <c r="T43" s="84">
        <f t="shared" si="3"/>
        <v>336063</v>
      </c>
    </row>
    <row r="44" spans="1:20" x14ac:dyDescent="0.3">
      <c r="B44" s="84">
        <v>336062</v>
      </c>
      <c r="C44" s="85">
        <v>335969</v>
      </c>
      <c r="D44" s="84" t="s">
        <v>6</v>
      </c>
      <c r="E44" s="84" t="s">
        <v>7</v>
      </c>
      <c r="F44" s="86" t="s">
        <v>799</v>
      </c>
      <c r="G44" s="87" t="s">
        <v>8</v>
      </c>
      <c r="H44" s="87">
        <v>1</v>
      </c>
      <c r="I44" s="89"/>
      <c r="J44" s="89"/>
      <c r="K44" s="89" t="s">
        <v>1614</v>
      </c>
      <c r="L44" s="84" t="s">
        <v>8</v>
      </c>
      <c r="M44" s="88" t="str">
        <f>VLOOKUP(L44,lookups!B:C,2,FALSE)</f>
        <v>TBD</v>
      </c>
      <c r="N44" s="89" t="str">
        <f>VLOOKUP(K44,TeamLookup[],2,0)</f>
        <v>Cyber</v>
      </c>
      <c r="O44" s="84" t="e">
        <f>VLOOKUP(VALUE($S44),lookups!I:J,2,FALSE)</f>
        <v>#N/A</v>
      </c>
      <c r="P44" s="84" t="e">
        <f>VLOOKUP(VALUE($S44),lookups!F:G,2,FALSE)</f>
        <v>#N/A</v>
      </c>
      <c r="Q44" s="84" t="str">
        <f t="shared" si="0"/>
        <v/>
      </c>
      <c r="R44" s="84">
        <f t="shared" si="1"/>
        <v>216552</v>
      </c>
      <c r="S44" s="84">
        <f t="shared" si="2"/>
        <v>335969</v>
      </c>
      <c r="T44" s="84">
        <f t="shared" si="3"/>
        <v>336062</v>
      </c>
    </row>
    <row r="45" spans="1:20" x14ac:dyDescent="0.3">
      <c r="B45" s="84">
        <v>336061</v>
      </c>
      <c r="C45" s="85">
        <v>335969</v>
      </c>
      <c r="D45" s="84" t="s">
        <v>6</v>
      </c>
      <c r="E45" s="84" t="s">
        <v>7</v>
      </c>
      <c r="F45" s="86" t="s">
        <v>800</v>
      </c>
      <c r="G45" s="87" t="s">
        <v>8</v>
      </c>
      <c r="H45" s="87">
        <v>1</v>
      </c>
      <c r="I45" s="84"/>
      <c r="J45" s="84"/>
      <c r="K45" s="84" t="s">
        <v>1614</v>
      </c>
      <c r="L45" s="84" t="s">
        <v>8</v>
      </c>
      <c r="M45" s="88" t="str">
        <f>VLOOKUP(L45,lookups!B:C,2,FALSE)</f>
        <v>TBD</v>
      </c>
      <c r="N45" s="89" t="str">
        <f>VLOOKUP(K45,TeamLookup[],2,0)</f>
        <v>Cyber</v>
      </c>
      <c r="O45" s="84" t="e">
        <f>VLOOKUP(VALUE($S45),lookups!I:J,2,FALSE)</f>
        <v>#N/A</v>
      </c>
      <c r="P45" s="84" t="e">
        <f>VLOOKUP(VALUE($S45),lookups!F:G,2,FALSE)</f>
        <v>#N/A</v>
      </c>
      <c r="Q45" s="84" t="str">
        <f t="shared" si="0"/>
        <v/>
      </c>
      <c r="R45" s="84">
        <f t="shared" si="1"/>
        <v>216552</v>
      </c>
      <c r="S45" s="84">
        <f t="shared" si="2"/>
        <v>335969</v>
      </c>
      <c r="T45" s="84">
        <f t="shared" si="3"/>
        <v>336061</v>
      </c>
    </row>
    <row r="46" spans="1:20" x14ac:dyDescent="0.3">
      <c r="B46" s="84">
        <v>336057</v>
      </c>
      <c r="C46" s="85">
        <v>335969</v>
      </c>
      <c r="D46" s="84" t="s">
        <v>6</v>
      </c>
      <c r="E46" s="84" t="s">
        <v>7</v>
      </c>
      <c r="F46" s="86" t="s">
        <v>801</v>
      </c>
      <c r="G46" s="87" t="s">
        <v>8</v>
      </c>
      <c r="H46" s="87">
        <v>1</v>
      </c>
      <c r="I46" s="84"/>
      <c r="J46" s="84"/>
      <c r="K46" s="89" t="s">
        <v>1614</v>
      </c>
      <c r="L46" s="84" t="s">
        <v>8</v>
      </c>
      <c r="M46" s="88" t="str">
        <f>VLOOKUP(L46,lookups!B:C,2,FALSE)</f>
        <v>TBD</v>
      </c>
      <c r="N46" s="89" t="str">
        <f>VLOOKUP(K46,TeamLookup[],2,0)</f>
        <v>Cyber</v>
      </c>
      <c r="O46" s="84" t="e">
        <f>VLOOKUP(VALUE($S46),lookups!I:J,2,FALSE)</f>
        <v>#N/A</v>
      </c>
      <c r="P46" s="84" t="e">
        <f>VLOOKUP(VALUE($S46),lookups!F:G,2,FALSE)</f>
        <v>#N/A</v>
      </c>
      <c r="Q46" s="84" t="str">
        <f t="shared" si="0"/>
        <v/>
      </c>
      <c r="R46" s="84">
        <f t="shared" si="1"/>
        <v>216552</v>
      </c>
      <c r="S46" s="84">
        <f t="shared" si="2"/>
        <v>335969</v>
      </c>
      <c r="T46" s="84">
        <f t="shared" si="3"/>
        <v>336057</v>
      </c>
    </row>
    <row r="47" spans="1:20" ht="10.95" customHeight="1" x14ac:dyDescent="0.3">
      <c r="B47" s="84">
        <v>336053</v>
      </c>
      <c r="C47" s="85">
        <v>335969</v>
      </c>
      <c r="D47" s="84" t="s">
        <v>6</v>
      </c>
      <c r="E47" s="84" t="s">
        <v>7</v>
      </c>
      <c r="F47" s="86" t="s">
        <v>802</v>
      </c>
      <c r="G47" s="87" t="s">
        <v>8</v>
      </c>
      <c r="H47" s="87">
        <v>1</v>
      </c>
      <c r="I47" s="89"/>
      <c r="J47" s="89"/>
      <c r="K47" s="89" t="s">
        <v>1614</v>
      </c>
      <c r="L47" s="84" t="s">
        <v>8</v>
      </c>
      <c r="M47" s="88" t="str">
        <f>VLOOKUP(L47,lookups!B:C,2,FALSE)</f>
        <v>TBD</v>
      </c>
      <c r="N47" s="89" t="str">
        <f>VLOOKUP(K47,TeamLookup[],2,0)</f>
        <v>Cyber</v>
      </c>
      <c r="O47" s="84" t="e">
        <f>VLOOKUP(VALUE($S47),lookups!I:J,2,FALSE)</f>
        <v>#N/A</v>
      </c>
      <c r="P47" s="84" t="e">
        <f>VLOOKUP(VALUE($S47),lookups!F:G,2,FALSE)</f>
        <v>#N/A</v>
      </c>
      <c r="Q47" s="84" t="str">
        <f t="shared" si="0"/>
        <v/>
      </c>
      <c r="R47" s="84">
        <f t="shared" si="1"/>
        <v>216552</v>
      </c>
      <c r="S47" s="84">
        <f t="shared" si="2"/>
        <v>335969</v>
      </c>
      <c r="T47" s="84">
        <f t="shared" si="3"/>
        <v>336053</v>
      </c>
    </row>
    <row r="48" spans="1:20" x14ac:dyDescent="0.3">
      <c r="B48" s="84">
        <v>336052</v>
      </c>
      <c r="C48" s="85">
        <v>335969</v>
      </c>
      <c r="D48" s="84" t="s">
        <v>6</v>
      </c>
      <c r="E48" s="84" t="s">
        <v>7</v>
      </c>
      <c r="F48" s="86" t="s">
        <v>803</v>
      </c>
      <c r="G48" s="87" t="s">
        <v>8</v>
      </c>
      <c r="H48" s="103">
        <v>1</v>
      </c>
      <c r="I48" s="84"/>
      <c r="J48" s="84"/>
      <c r="K48" s="84" t="s">
        <v>1614</v>
      </c>
      <c r="L48" s="84" t="s">
        <v>8</v>
      </c>
      <c r="M48" s="88" t="str">
        <f>VLOOKUP(L48,lookups!B:C,2,FALSE)</f>
        <v>TBD</v>
      </c>
      <c r="N48" s="89" t="str">
        <f>VLOOKUP(K48,TeamLookup[],2,0)</f>
        <v>Cyber</v>
      </c>
      <c r="O48" s="84" t="e">
        <f>VLOOKUP(VALUE($S48),lookups!I:J,2,FALSE)</f>
        <v>#N/A</v>
      </c>
      <c r="P48" s="84" t="e">
        <f>VLOOKUP(VALUE($S48),lookups!F:G,2,FALSE)</f>
        <v>#N/A</v>
      </c>
      <c r="Q48" s="84" t="str">
        <f t="shared" si="0"/>
        <v/>
      </c>
      <c r="R48" s="84">
        <f t="shared" si="1"/>
        <v>216552</v>
      </c>
      <c r="S48" s="84">
        <f t="shared" si="2"/>
        <v>335969</v>
      </c>
      <c r="T48" s="84">
        <f t="shared" si="3"/>
        <v>336052</v>
      </c>
    </row>
    <row r="49" spans="1:20" ht="19.95" customHeight="1" x14ac:dyDescent="0.3">
      <c r="B49" s="84">
        <v>336049</v>
      </c>
      <c r="C49" s="85">
        <v>335969</v>
      </c>
      <c r="D49" s="84" t="s">
        <v>6</v>
      </c>
      <c r="E49" s="84" t="s">
        <v>7</v>
      </c>
      <c r="F49" s="86" t="s">
        <v>804</v>
      </c>
      <c r="G49" s="87" t="s">
        <v>8</v>
      </c>
      <c r="H49" s="87">
        <v>1</v>
      </c>
      <c r="I49" s="89"/>
      <c r="J49" s="89"/>
      <c r="K49" s="89" t="s">
        <v>1614</v>
      </c>
      <c r="L49" s="84" t="s">
        <v>8</v>
      </c>
      <c r="M49" s="88" t="str">
        <f>VLOOKUP(L49,lookups!B:C,2,FALSE)</f>
        <v>TBD</v>
      </c>
      <c r="N49" s="89" t="str">
        <f>VLOOKUP(K49,TeamLookup[],2,0)</f>
        <v>Cyber</v>
      </c>
      <c r="O49" s="84" t="e">
        <f>VLOOKUP(VALUE($S49),lookups!I:J,2,FALSE)</f>
        <v>#N/A</v>
      </c>
      <c r="P49" s="84" t="e">
        <f>VLOOKUP(VALUE($S49),lookups!F:G,2,FALSE)</f>
        <v>#N/A</v>
      </c>
      <c r="Q49" s="84" t="str">
        <f t="shared" si="0"/>
        <v/>
      </c>
      <c r="R49" s="84">
        <f t="shared" si="1"/>
        <v>216552</v>
      </c>
      <c r="S49" s="84">
        <f t="shared" si="2"/>
        <v>335969</v>
      </c>
      <c r="T49" s="84">
        <f t="shared" si="3"/>
        <v>336049</v>
      </c>
    </row>
    <row r="50" spans="1:20" ht="57.75" customHeight="1" x14ac:dyDescent="0.3">
      <c r="B50" s="84">
        <v>336048</v>
      </c>
      <c r="C50" s="85">
        <v>335969</v>
      </c>
      <c r="D50" s="84" t="s">
        <v>6</v>
      </c>
      <c r="E50" s="88" t="s">
        <v>7</v>
      </c>
      <c r="F50" s="86" t="s">
        <v>805</v>
      </c>
      <c r="G50" s="109" t="s">
        <v>8</v>
      </c>
      <c r="H50" s="87">
        <v>1</v>
      </c>
      <c r="I50" s="89"/>
      <c r="J50" s="89"/>
      <c r="K50" s="89" t="s">
        <v>1614</v>
      </c>
      <c r="L50" s="84" t="s">
        <v>8</v>
      </c>
      <c r="M50" s="88" t="str">
        <f>VLOOKUP(L50,lookups!B:C,2,FALSE)</f>
        <v>TBD</v>
      </c>
      <c r="N50" s="89" t="str">
        <f>VLOOKUP(K50,TeamLookup[],2,0)</f>
        <v>Cyber</v>
      </c>
      <c r="O50" s="84" t="e">
        <f>VLOOKUP(VALUE($S50),lookups!I:J,2,FALSE)</f>
        <v>#N/A</v>
      </c>
      <c r="P50" s="84" t="e">
        <f>VLOOKUP(VALUE($S50),lookups!F:G,2,FALSE)</f>
        <v>#N/A</v>
      </c>
      <c r="Q50" s="84" t="str">
        <f t="shared" si="0"/>
        <v/>
      </c>
      <c r="R50" s="84">
        <f t="shared" si="1"/>
        <v>216552</v>
      </c>
      <c r="S50" s="84">
        <f t="shared" si="2"/>
        <v>335969</v>
      </c>
      <c r="T50" s="84">
        <f t="shared" si="3"/>
        <v>336048</v>
      </c>
    </row>
    <row r="51" spans="1:20" ht="21" customHeight="1" x14ac:dyDescent="0.3">
      <c r="B51" s="84">
        <v>336043</v>
      </c>
      <c r="C51" s="85">
        <v>335969</v>
      </c>
      <c r="D51" s="84" t="s">
        <v>6</v>
      </c>
      <c r="E51" s="84" t="s">
        <v>7</v>
      </c>
      <c r="F51" s="86" t="s">
        <v>806</v>
      </c>
      <c r="G51" s="109" t="s">
        <v>8</v>
      </c>
      <c r="H51" s="87">
        <v>1</v>
      </c>
      <c r="I51" s="105"/>
      <c r="J51" s="105"/>
      <c r="K51" s="106" t="s">
        <v>1614</v>
      </c>
      <c r="L51" s="84" t="s">
        <v>8</v>
      </c>
      <c r="M51" s="88" t="str">
        <f>VLOOKUP(L51,lookups!B:C,2,FALSE)</f>
        <v>TBD</v>
      </c>
      <c r="N51" s="89" t="str">
        <f>VLOOKUP(K51,TeamLookup[],2,0)</f>
        <v>Cyber</v>
      </c>
      <c r="O51" s="84" t="e">
        <f>VLOOKUP(VALUE($S51),lookups!I:J,2,FALSE)</f>
        <v>#N/A</v>
      </c>
      <c r="P51" s="84" t="e">
        <f>VLOOKUP(VALUE($S51),lookups!F:G,2,FALSE)</f>
        <v>#N/A</v>
      </c>
      <c r="Q51" s="84" t="str">
        <f t="shared" si="0"/>
        <v/>
      </c>
      <c r="R51" s="84">
        <f t="shared" si="1"/>
        <v>216552</v>
      </c>
      <c r="S51" s="84">
        <f t="shared" si="2"/>
        <v>335969</v>
      </c>
      <c r="T51" s="84">
        <f t="shared" si="3"/>
        <v>336043</v>
      </c>
    </row>
    <row r="52" spans="1:20" x14ac:dyDescent="0.3">
      <c r="B52" s="84">
        <v>335983</v>
      </c>
      <c r="C52" s="85">
        <v>335969</v>
      </c>
      <c r="D52" s="84" t="s">
        <v>344</v>
      </c>
      <c r="E52" s="84" t="s">
        <v>7</v>
      </c>
      <c r="F52" s="86" t="s">
        <v>807</v>
      </c>
      <c r="G52" s="87" t="s">
        <v>8</v>
      </c>
      <c r="H52" s="87"/>
      <c r="I52" s="84"/>
      <c r="J52" s="84"/>
      <c r="K52" s="84" t="s">
        <v>8</v>
      </c>
      <c r="L52" s="84" t="s">
        <v>8</v>
      </c>
      <c r="M52" s="88" t="str">
        <f>VLOOKUP(L52,lookups!B:C,2,FALSE)</f>
        <v>TBD</v>
      </c>
      <c r="N52" s="89" t="e">
        <f>VLOOKUP(K52,TeamLookup[],2,0)</f>
        <v>#N/A</v>
      </c>
      <c r="O52" s="84" t="e">
        <f>VLOOKUP(VALUE($S52),lookups!I:J,2,FALSE)</f>
        <v>#N/A</v>
      </c>
      <c r="P52" s="84" t="e">
        <f>VLOOKUP(VALUE($S52),lookups!F:G,2,FALSE)</f>
        <v>#N/A</v>
      </c>
      <c r="Q52" s="84" t="str">
        <f t="shared" si="0"/>
        <v/>
      </c>
      <c r="R52" s="84">
        <f t="shared" si="1"/>
        <v>216552</v>
      </c>
      <c r="S52" s="84">
        <f t="shared" si="2"/>
        <v>335969</v>
      </c>
      <c r="T52" s="84">
        <f t="shared" si="3"/>
        <v>335983</v>
      </c>
    </row>
    <row r="53" spans="1:20" x14ac:dyDescent="0.3">
      <c r="B53" s="84">
        <v>335982</v>
      </c>
      <c r="C53" s="85">
        <v>335969</v>
      </c>
      <c r="D53" s="84" t="s">
        <v>6</v>
      </c>
      <c r="E53" s="84" t="s">
        <v>7</v>
      </c>
      <c r="F53" s="86" t="s">
        <v>808</v>
      </c>
      <c r="G53" s="87" t="s">
        <v>8</v>
      </c>
      <c r="H53" s="87">
        <v>5</v>
      </c>
      <c r="I53" s="89"/>
      <c r="J53" s="89"/>
      <c r="K53" s="89" t="s">
        <v>1614</v>
      </c>
      <c r="L53" s="84" t="s">
        <v>8</v>
      </c>
      <c r="M53" s="88" t="str">
        <f>VLOOKUP(L53,lookups!B:C,2,FALSE)</f>
        <v>TBD</v>
      </c>
      <c r="N53" s="89" t="str">
        <f>VLOOKUP(K53,TeamLookup[],2,0)</f>
        <v>Cyber</v>
      </c>
      <c r="O53" s="84" t="e">
        <f>VLOOKUP(VALUE($S53),lookups!I:J,2,FALSE)</f>
        <v>#N/A</v>
      </c>
      <c r="P53" s="84" t="e">
        <f>VLOOKUP(VALUE($S53),lookups!F:G,2,FALSE)</f>
        <v>#N/A</v>
      </c>
      <c r="Q53" s="84" t="str">
        <f t="shared" si="0"/>
        <v/>
      </c>
      <c r="R53" s="84">
        <f t="shared" si="1"/>
        <v>216552</v>
      </c>
      <c r="S53" s="84">
        <f t="shared" si="2"/>
        <v>335969</v>
      </c>
      <c r="T53" s="84">
        <f t="shared" si="3"/>
        <v>335982</v>
      </c>
    </row>
    <row r="54" spans="1:20" x14ac:dyDescent="0.3">
      <c r="B54" s="84">
        <v>335981</v>
      </c>
      <c r="C54" s="85">
        <v>335969</v>
      </c>
      <c r="D54" s="84" t="s">
        <v>6</v>
      </c>
      <c r="E54" s="84" t="s">
        <v>7</v>
      </c>
      <c r="F54" s="86" t="s">
        <v>809</v>
      </c>
      <c r="G54" s="87" t="s">
        <v>8</v>
      </c>
      <c r="H54" s="87">
        <v>5</v>
      </c>
      <c r="I54" s="89"/>
      <c r="J54" s="89"/>
      <c r="K54" s="89" t="s">
        <v>1614</v>
      </c>
      <c r="L54" s="84" t="s">
        <v>8</v>
      </c>
      <c r="M54" s="88" t="str">
        <f>VLOOKUP(L54,lookups!B:C,2,FALSE)</f>
        <v>TBD</v>
      </c>
      <c r="N54" s="89" t="str">
        <f>VLOOKUP(K54,TeamLookup[],2,0)</f>
        <v>Cyber</v>
      </c>
      <c r="O54" s="84" t="e">
        <f>VLOOKUP(VALUE($S54),lookups!I:J,2,FALSE)</f>
        <v>#N/A</v>
      </c>
      <c r="P54" s="84" t="e">
        <f>VLOOKUP(VALUE($S54),lookups!F:G,2,FALSE)</f>
        <v>#N/A</v>
      </c>
      <c r="Q54" s="84" t="str">
        <f t="shared" si="0"/>
        <v/>
      </c>
      <c r="R54" s="84">
        <f t="shared" si="1"/>
        <v>216552</v>
      </c>
      <c r="S54" s="84">
        <f t="shared" si="2"/>
        <v>335969</v>
      </c>
      <c r="T54" s="84">
        <f t="shared" si="3"/>
        <v>335981</v>
      </c>
    </row>
    <row r="55" spans="1:20" x14ac:dyDescent="0.3">
      <c r="B55" s="84">
        <v>335980</v>
      </c>
      <c r="C55" s="85">
        <v>335969</v>
      </c>
      <c r="D55" s="84" t="s">
        <v>6</v>
      </c>
      <c r="E55" s="84" t="s">
        <v>7</v>
      </c>
      <c r="F55" s="86" t="s">
        <v>810</v>
      </c>
      <c r="G55" s="87" t="s">
        <v>8</v>
      </c>
      <c r="H55" s="87">
        <v>1</v>
      </c>
      <c r="I55" s="89"/>
      <c r="J55" s="89" t="s">
        <v>811</v>
      </c>
      <c r="K55" s="89" t="s">
        <v>1614</v>
      </c>
      <c r="L55" s="84" t="s">
        <v>8</v>
      </c>
      <c r="M55" s="88" t="str">
        <f>VLOOKUP(L55,lookups!B:C,2,FALSE)</f>
        <v>TBD</v>
      </c>
      <c r="N55" s="89" t="str">
        <f>VLOOKUP(K55,TeamLookup[],2,0)</f>
        <v>Cyber</v>
      </c>
      <c r="O55" s="84" t="e">
        <f>VLOOKUP(VALUE($S55),lookups!I:J,2,FALSE)</f>
        <v>#N/A</v>
      </c>
      <c r="P55" s="84" t="e">
        <f>VLOOKUP(VALUE($S55),lookups!F:G,2,FALSE)</f>
        <v>#N/A</v>
      </c>
      <c r="Q55" s="84" t="str">
        <f t="shared" si="0"/>
        <v/>
      </c>
      <c r="R55" s="84">
        <f t="shared" si="1"/>
        <v>216552</v>
      </c>
      <c r="S55" s="84">
        <f t="shared" si="2"/>
        <v>335969</v>
      </c>
      <c r="T55" s="84">
        <f t="shared" si="3"/>
        <v>335980</v>
      </c>
    </row>
    <row r="56" spans="1:20" x14ac:dyDescent="0.3">
      <c r="B56" s="84">
        <v>335978</v>
      </c>
      <c r="C56" s="85">
        <v>335969</v>
      </c>
      <c r="D56" s="84" t="s">
        <v>6</v>
      </c>
      <c r="E56" s="84" t="s">
        <v>7</v>
      </c>
      <c r="F56" s="86" t="s">
        <v>812</v>
      </c>
      <c r="G56" s="87" t="s">
        <v>8</v>
      </c>
      <c r="H56" s="87">
        <v>1</v>
      </c>
      <c r="I56" s="89"/>
      <c r="J56" s="89"/>
      <c r="K56" s="89" t="s">
        <v>1614</v>
      </c>
      <c r="L56" s="84" t="s">
        <v>8</v>
      </c>
      <c r="M56" s="88" t="str">
        <f>VLOOKUP(L56,lookups!B:C,2,FALSE)</f>
        <v>TBD</v>
      </c>
      <c r="N56" s="89" t="str">
        <f>VLOOKUP(K56,TeamLookup[],2,0)</f>
        <v>Cyber</v>
      </c>
      <c r="O56" s="84" t="e">
        <f>VLOOKUP(VALUE($S56),lookups!I:J,2,FALSE)</f>
        <v>#N/A</v>
      </c>
      <c r="P56" s="84" t="e">
        <f>VLOOKUP(VALUE($S56),lookups!F:G,2,FALSE)</f>
        <v>#N/A</v>
      </c>
      <c r="Q56" s="84" t="str">
        <f t="shared" si="0"/>
        <v/>
      </c>
      <c r="R56" s="84">
        <f t="shared" si="1"/>
        <v>216552</v>
      </c>
      <c r="S56" s="84">
        <f t="shared" si="2"/>
        <v>335969</v>
      </c>
      <c r="T56" s="84">
        <f t="shared" si="3"/>
        <v>335978</v>
      </c>
    </row>
    <row r="57" spans="1:20" x14ac:dyDescent="0.3">
      <c r="B57" s="84">
        <v>335977</v>
      </c>
      <c r="C57" s="85">
        <v>335969</v>
      </c>
      <c r="D57" s="84" t="s">
        <v>6</v>
      </c>
      <c r="E57" s="84" t="s">
        <v>7</v>
      </c>
      <c r="F57" s="86" t="s">
        <v>813</v>
      </c>
      <c r="G57" s="87" t="s">
        <v>8</v>
      </c>
      <c r="H57" s="87">
        <v>3</v>
      </c>
      <c r="I57" s="89"/>
      <c r="J57" s="89" t="s">
        <v>814</v>
      </c>
      <c r="K57" s="89" t="s">
        <v>780</v>
      </c>
      <c r="L57" s="84" t="s">
        <v>134</v>
      </c>
      <c r="M57" s="88" t="str">
        <f>VLOOKUP(L57,lookups!B:C,2,FALSE)</f>
        <v>Craig D</v>
      </c>
      <c r="N57" s="89" t="e">
        <f>VLOOKUP(K57,TeamLookup[],2,0)</f>
        <v>#N/A</v>
      </c>
      <c r="O57" s="84" t="e">
        <f>VLOOKUP(VALUE($S57),lookups!I:J,2,FALSE)</f>
        <v>#N/A</v>
      </c>
      <c r="P57" s="84" t="e">
        <f>VLOOKUP(VALUE($S57),lookups!F:G,2,FALSE)</f>
        <v>#N/A</v>
      </c>
      <c r="Q57" s="84" t="str">
        <f t="shared" si="0"/>
        <v/>
      </c>
      <c r="R57" s="84">
        <f t="shared" si="1"/>
        <v>216552</v>
      </c>
      <c r="S57" s="84">
        <f t="shared" si="2"/>
        <v>335969</v>
      </c>
      <c r="T57" s="84">
        <f t="shared" si="3"/>
        <v>335977</v>
      </c>
    </row>
    <row r="58" spans="1:20" x14ac:dyDescent="0.3">
      <c r="B58" s="84">
        <v>335976</v>
      </c>
      <c r="C58" s="85">
        <v>335969</v>
      </c>
      <c r="D58" s="84" t="s">
        <v>6</v>
      </c>
      <c r="E58" s="84" t="s">
        <v>7</v>
      </c>
      <c r="F58" s="86" t="s">
        <v>815</v>
      </c>
      <c r="G58" s="87" t="s">
        <v>8</v>
      </c>
      <c r="H58" s="87">
        <v>2</v>
      </c>
      <c r="I58" s="84"/>
      <c r="J58" s="84"/>
      <c r="K58" s="84" t="s">
        <v>1614</v>
      </c>
      <c r="L58" s="84" t="s">
        <v>8</v>
      </c>
      <c r="M58" s="88" t="str">
        <f>VLOOKUP(L58,lookups!B:C,2,FALSE)</f>
        <v>TBD</v>
      </c>
      <c r="N58" s="89" t="str">
        <f>VLOOKUP(K58,TeamLookup[],2,0)</f>
        <v>Cyber</v>
      </c>
      <c r="O58" s="84" t="e">
        <f>VLOOKUP(VALUE($S58),lookups!I:J,2,FALSE)</f>
        <v>#N/A</v>
      </c>
      <c r="P58" s="84" t="e">
        <f>VLOOKUP(VALUE($S58),lookups!F:G,2,FALSE)</f>
        <v>#N/A</v>
      </c>
      <c r="Q58" s="84" t="str">
        <f t="shared" si="0"/>
        <v/>
      </c>
      <c r="R58" s="84">
        <f t="shared" si="1"/>
        <v>216552</v>
      </c>
      <c r="S58" s="84">
        <f t="shared" si="2"/>
        <v>335969</v>
      </c>
      <c r="T58" s="84">
        <f t="shared" si="3"/>
        <v>335976</v>
      </c>
    </row>
    <row r="59" spans="1:20" ht="15" customHeight="1" x14ac:dyDescent="0.3">
      <c r="A59" s="96"/>
      <c r="B59" s="84">
        <v>335975</v>
      </c>
      <c r="C59" s="85">
        <v>335969</v>
      </c>
      <c r="D59" s="84" t="s">
        <v>6</v>
      </c>
      <c r="E59" s="84" t="s">
        <v>7</v>
      </c>
      <c r="F59" s="86" t="s">
        <v>816</v>
      </c>
      <c r="G59" s="87" t="s">
        <v>8</v>
      </c>
      <c r="H59" s="87">
        <v>5</v>
      </c>
      <c r="I59" s="89"/>
      <c r="J59" s="89" t="s">
        <v>817</v>
      </c>
      <c r="K59" s="89" t="s">
        <v>1614</v>
      </c>
      <c r="L59" s="84" t="s">
        <v>8</v>
      </c>
      <c r="M59" s="88" t="str">
        <f>VLOOKUP(L59,lookups!B:C,2,FALSE)</f>
        <v>TBD</v>
      </c>
      <c r="N59" s="89" t="str">
        <f>VLOOKUP(K59,TeamLookup[],2,0)</f>
        <v>Cyber</v>
      </c>
      <c r="O59" s="84" t="e">
        <f>VLOOKUP(VALUE($S59),lookups!I:J,2,FALSE)</f>
        <v>#N/A</v>
      </c>
      <c r="P59" s="84" t="e">
        <f>VLOOKUP(VALUE($S59),lookups!F:G,2,FALSE)</f>
        <v>#N/A</v>
      </c>
      <c r="Q59" s="84" t="str">
        <f t="shared" si="0"/>
        <v/>
      </c>
      <c r="R59" s="84">
        <f t="shared" si="1"/>
        <v>216552</v>
      </c>
      <c r="S59" s="84">
        <f t="shared" si="2"/>
        <v>335969</v>
      </c>
      <c r="T59" s="84">
        <f t="shared" si="3"/>
        <v>335975</v>
      </c>
    </row>
    <row r="60" spans="1:20" x14ac:dyDescent="0.3">
      <c r="B60" s="84">
        <v>335974</v>
      </c>
      <c r="C60" s="85">
        <v>335969</v>
      </c>
      <c r="D60" s="84" t="s">
        <v>6</v>
      </c>
      <c r="E60" s="84" t="s">
        <v>7</v>
      </c>
      <c r="F60" s="86" t="s">
        <v>818</v>
      </c>
      <c r="G60" s="87" t="s">
        <v>8</v>
      </c>
      <c r="H60" s="87">
        <v>2</v>
      </c>
      <c r="I60" s="89"/>
      <c r="J60" s="89"/>
      <c r="K60" s="105" t="s">
        <v>1614</v>
      </c>
      <c r="L60" s="84" t="s">
        <v>8</v>
      </c>
      <c r="M60" s="88" t="str">
        <f>VLOOKUP(L60,lookups!B:C,2,FALSE)</f>
        <v>TBD</v>
      </c>
      <c r="N60" s="89" t="str">
        <f>VLOOKUP(K60,TeamLookup[],2,0)</f>
        <v>Cyber</v>
      </c>
      <c r="O60" s="84" t="e">
        <f>VLOOKUP(VALUE($S60),lookups!I:J,2,FALSE)</f>
        <v>#N/A</v>
      </c>
      <c r="P60" s="84" t="e">
        <f>VLOOKUP(VALUE($S60),lookups!F:G,2,FALSE)</f>
        <v>#N/A</v>
      </c>
      <c r="Q60" s="84" t="str">
        <f t="shared" si="0"/>
        <v/>
      </c>
      <c r="R60" s="84">
        <f t="shared" si="1"/>
        <v>216552</v>
      </c>
      <c r="S60" s="84">
        <f t="shared" si="2"/>
        <v>335969</v>
      </c>
      <c r="T60" s="84">
        <f t="shared" si="3"/>
        <v>335974</v>
      </c>
    </row>
    <row r="61" spans="1:20" x14ac:dyDescent="0.3">
      <c r="B61" s="84">
        <v>335973</v>
      </c>
      <c r="C61" s="85">
        <v>335969</v>
      </c>
      <c r="D61" s="84" t="s">
        <v>6</v>
      </c>
      <c r="E61" s="84" t="s">
        <v>7</v>
      </c>
      <c r="F61" s="86" t="s">
        <v>819</v>
      </c>
      <c r="G61" s="109" t="s">
        <v>8</v>
      </c>
      <c r="H61" s="87">
        <v>3</v>
      </c>
      <c r="I61" s="104"/>
      <c r="J61" s="104"/>
      <c r="K61" s="116" t="s">
        <v>1614</v>
      </c>
      <c r="L61" s="84" t="s">
        <v>8</v>
      </c>
      <c r="M61" s="88" t="str">
        <f>VLOOKUP(L61,lookups!B:C,2,FALSE)</f>
        <v>TBD</v>
      </c>
      <c r="N61" s="89" t="str">
        <f>VLOOKUP(K61,TeamLookup[],2,0)</f>
        <v>Cyber</v>
      </c>
      <c r="O61" s="84" t="e">
        <f>VLOOKUP(VALUE($S61),lookups!I:J,2,FALSE)</f>
        <v>#N/A</v>
      </c>
      <c r="P61" s="84" t="e">
        <f>VLOOKUP(VALUE($S61),lookups!F:G,2,FALSE)</f>
        <v>#N/A</v>
      </c>
      <c r="Q61" s="84" t="str">
        <f t="shared" si="0"/>
        <v/>
      </c>
      <c r="R61" s="84">
        <f t="shared" si="1"/>
        <v>216552</v>
      </c>
      <c r="S61" s="84">
        <f t="shared" si="2"/>
        <v>335969</v>
      </c>
      <c r="T61" s="84">
        <f t="shared" si="3"/>
        <v>335973</v>
      </c>
    </row>
    <row r="62" spans="1:20" ht="30.75" customHeight="1" x14ac:dyDescent="0.3">
      <c r="B62" s="84">
        <v>335972</v>
      </c>
      <c r="C62" s="85">
        <v>335969</v>
      </c>
      <c r="D62" s="84" t="s">
        <v>6</v>
      </c>
      <c r="E62" s="84" t="s">
        <v>7</v>
      </c>
      <c r="F62" s="86" t="s">
        <v>820</v>
      </c>
      <c r="G62" s="87" t="s">
        <v>8</v>
      </c>
      <c r="H62" s="87">
        <v>8</v>
      </c>
      <c r="I62" s="105"/>
      <c r="J62" s="105" t="s">
        <v>821</v>
      </c>
      <c r="K62" s="106" t="s">
        <v>1614</v>
      </c>
      <c r="L62" s="84" t="s">
        <v>8</v>
      </c>
      <c r="M62" s="88" t="str">
        <f>VLOOKUP(L62,lookups!B:C,2,FALSE)</f>
        <v>TBD</v>
      </c>
      <c r="N62" s="89" t="str">
        <f>VLOOKUP(K62,TeamLookup[],2,0)</f>
        <v>Cyber</v>
      </c>
      <c r="O62" s="84" t="e">
        <f>VLOOKUP(VALUE($S62),lookups!I:J,2,FALSE)</f>
        <v>#N/A</v>
      </c>
      <c r="P62" s="84" t="e">
        <f>VLOOKUP(VALUE($S62),lookups!F:G,2,FALSE)</f>
        <v>#N/A</v>
      </c>
      <c r="Q62" s="84" t="str">
        <f t="shared" si="0"/>
        <v/>
      </c>
      <c r="R62" s="84">
        <f t="shared" si="1"/>
        <v>216552</v>
      </c>
      <c r="S62" s="84">
        <f t="shared" si="2"/>
        <v>335969</v>
      </c>
      <c r="T62" s="84">
        <f t="shared" si="3"/>
        <v>335972</v>
      </c>
    </row>
    <row r="63" spans="1:20" x14ac:dyDescent="0.3">
      <c r="B63" s="84">
        <v>335971</v>
      </c>
      <c r="C63" s="85">
        <v>335969</v>
      </c>
      <c r="D63" s="84" t="s">
        <v>6</v>
      </c>
      <c r="E63" s="84" t="s">
        <v>7</v>
      </c>
      <c r="F63" s="86" t="s">
        <v>822</v>
      </c>
      <c r="G63" s="87" t="s">
        <v>8</v>
      </c>
      <c r="H63" s="87">
        <v>1</v>
      </c>
      <c r="I63" s="105"/>
      <c r="J63" s="105" t="s">
        <v>823</v>
      </c>
      <c r="K63" s="106" t="s">
        <v>1614</v>
      </c>
      <c r="L63" s="84" t="s">
        <v>8</v>
      </c>
      <c r="M63" s="88" t="str">
        <f>VLOOKUP(L63,lookups!B:C,2,FALSE)</f>
        <v>TBD</v>
      </c>
      <c r="N63" s="89" t="str">
        <f>VLOOKUP(K63,TeamLookup[],2,0)</f>
        <v>Cyber</v>
      </c>
      <c r="O63" s="84" t="e">
        <f>VLOOKUP(VALUE($S63),lookups!I:J,2,FALSE)</f>
        <v>#N/A</v>
      </c>
      <c r="P63" s="84" t="e">
        <f>VLOOKUP(VALUE($S63),lookups!F:G,2,FALSE)</f>
        <v>#N/A</v>
      </c>
      <c r="Q63" s="84" t="str">
        <f t="shared" si="0"/>
        <v/>
      </c>
      <c r="R63" s="84">
        <f t="shared" si="1"/>
        <v>216552</v>
      </c>
      <c r="S63" s="84">
        <f t="shared" si="2"/>
        <v>335969</v>
      </c>
      <c r="T63" s="84">
        <f t="shared" si="3"/>
        <v>335971</v>
      </c>
    </row>
    <row r="64" spans="1:20" x14ac:dyDescent="0.3">
      <c r="A64" s="96"/>
      <c r="B64" s="84">
        <v>335970</v>
      </c>
      <c r="C64" s="85">
        <v>335969</v>
      </c>
      <c r="D64" s="84" t="s">
        <v>6</v>
      </c>
      <c r="E64" s="84" t="s">
        <v>7</v>
      </c>
      <c r="F64" s="86" t="s">
        <v>824</v>
      </c>
      <c r="G64" s="87" t="s">
        <v>8</v>
      </c>
      <c r="H64" s="87">
        <v>2</v>
      </c>
      <c r="I64" s="89"/>
      <c r="J64" s="89"/>
      <c r="K64" s="89" t="s">
        <v>1614</v>
      </c>
      <c r="L64" s="84" t="s">
        <v>8</v>
      </c>
      <c r="M64" s="88" t="str">
        <f>VLOOKUP(L64,lookups!B:C,2,FALSE)</f>
        <v>TBD</v>
      </c>
      <c r="N64" s="89" t="str">
        <f>VLOOKUP(K64,TeamLookup[],2,0)</f>
        <v>Cyber</v>
      </c>
      <c r="O64" s="84" t="e">
        <f>VLOOKUP(VALUE($S64),lookups!I:J,2,FALSE)</f>
        <v>#N/A</v>
      </c>
      <c r="P64" s="84" t="e">
        <f>VLOOKUP(VALUE($S64),lookups!F:G,2,FALSE)</f>
        <v>#N/A</v>
      </c>
      <c r="Q64" s="84" t="str">
        <f t="shared" si="0"/>
        <v/>
      </c>
      <c r="R64" s="84">
        <f t="shared" si="1"/>
        <v>216552</v>
      </c>
      <c r="S64" s="84">
        <f t="shared" si="2"/>
        <v>335969</v>
      </c>
      <c r="T64" s="84">
        <f t="shared" si="3"/>
        <v>335970</v>
      </c>
    </row>
    <row r="65" spans="1:20" x14ac:dyDescent="0.3">
      <c r="B65" s="84">
        <v>336108</v>
      </c>
      <c r="C65" s="85">
        <v>216552</v>
      </c>
      <c r="D65" s="84" t="s">
        <v>24</v>
      </c>
      <c r="E65" s="84" t="s">
        <v>653</v>
      </c>
      <c r="F65" s="86" t="s">
        <v>791</v>
      </c>
      <c r="G65" s="109" t="s">
        <v>442</v>
      </c>
      <c r="H65" s="87"/>
      <c r="I65" s="89"/>
      <c r="J65" s="89"/>
      <c r="K65" s="89" t="s">
        <v>1614</v>
      </c>
      <c r="L65" s="84" t="s">
        <v>129</v>
      </c>
      <c r="M65" s="88" t="str">
        <f>VLOOKUP(L65,lookups!B:C,2,FALSE)</f>
        <v>Derek</v>
      </c>
      <c r="N65" s="89" t="str">
        <f>VLOOKUP(K65,TeamLookup[],2,0)</f>
        <v>Cyber</v>
      </c>
      <c r="O65" s="84" t="e">
        <f>VLOOKUP(VALUE($S65),lookups!I:J,2,FALSE)</f>
        <v>#N/A</v>
      </c>
      <c r="P65" s="84" t="e">
        <f>VLOOKUP(VALUE($S65),lookups!F:G,2,FALSE)</f>
        <v>#N/A</v>
      </c>
      <c r="Q65" s="84" t="str">
        <f t="shared" si="0"/>
        <v>ParentNotInCyberQuery</v>
      </c>
      <c r="R65" s="84">
        <f t="shared" si="1"/>
        <v>216552</v>
      </c>
      <c r="S65" s="84">
        <f t="shared" si="2"/>
        <v>336108</v>
      </c>
      <c r="T65" s="84">
        <f t="shared" si="3"/>
        <v>0</v>
      </c>
    </row>
    <row r="66" spans="1:20" x14ac:dyDescent="0.3">
      <c r="B66" s="84">
        <v>336200</v>
      </c>
      <c r="C66" s="85">
        <v>336108</v>
      </c>
      <c r="D66" s="84" t="s">
        <v>6</v>
      </c>
      <c r="E66" s="84" t="s">
        <v>7</v>
      </c>
      <c r="F66" s="86" t="s">
        <v>762</v>
      </c>
      <c r="G66" s="87" t="s">
        <v>8</v>
      </c>
      <c r="H66" s="87">
        <v>5</v>
      </c>
      <c r="I66" s="89"/>
      <c r="J66" s="89"/>
      <c r="K66" s="89" t="s">
        <v>1614</v>
      </c>
      <c r="L66" s="84" t="s">
        <v>8</v>
      </c>
      <c r="M66" s="88" t="str">
        <f>VLOOKUP(L66,lookups!B:C,2,FALSE)</f>
        <v>TBD</v>
      </c>
      <c r="N66" s="89" t="str">
        <f>VLOOKUP(K66,TeamLookup[],2,0)</f>
        <v>Cyber</v>
      </c>
      <c r="O66" s="84" t="e">
        <f>VLOOKUP(VALUE($S66),lookups!I:J,2,FALSE)</f>
        <v>#N/A</v>
      </c>
      <c r="P66" s="84" t="e">
        <f>VLOOKUP(VALUE($S66),lookups!F:G,2,FALSE)</f>
        <v>#N/A</v>
      </c>
      <c r="Q66" s="84" t="str">
        <f t="shared" ref="Q66:Q129" si="4">IF($B66="","ZeroEntry",
IF($D66="Program Epic","",
IF(OR($D66="Feature",$D66="Story",$D66="Task"),
  IF($C66="","Missing_ParentEntry",
IF(ISERROR(MATCH(VALUE($C66),$B:$B,0)),"ParentNotInCyberQuery",
IF(AND($D66="Story",VLOOKUP(VALUE($C66),$B:$D,3,FALSE)&lt;&gt;"Feature"),"Warning: StoryParentIs_"&amp;VLOOKUP(VALUE($C66),$B:$D,3,FALSE)&amp;"_NotFeature",
IF(AND(OR($D66="Story",$D66="Task"),VLOOKUP(VALUE($C66),$B:$C,2,FALSE)=""),"MissingGrandparent",
IF(AND($D66="Feature",ISERROR(MATCH("#"&amp;$B66,$C:$C,0))),"FeatureHasNoStories",
IF(AND($D66="Feature",VLOOKUP(VALUE($C66),$B:$D,3,FALSE)&lt;&gt;"Program Epic"),"FeatureParentIs_"&amp;VLOOKUP(VALUE($C66),$B:$D,3,FALSE)&amp;"_NotEpic","")))))),"")))</f>
        <v/>
      </c>
      <c r="R66" s="84">
        <f t="shared" ref="R66:R129" si="5">IF(AND($Q66&lt;&gt;"FeatureHasNoStories","Warning: StoryParentIs_Program Epic_NotFeature"&lt;&gt;$Q66,$Q66&lt;&gt;"ParentNotInCyberQuery",$Q66&lt;&gt;""),$Q66,
IF($D66="Program Epic",B66,
IF($D66="Feature",VALUE($C66),
IF("Warning: StoryParentIs_Program Epic_NotFeature"=$Q66,VALUE($C66),
IF(AND($D66="Story",$Q66="ParentNotInCyberQuery"),"MT",
IF($C66=0,"N/A",
IF(OR($D66="Story",$D66="Task"),VALUE(VLOOKUP(VALUE($C66),$B:$C,2,FALSE)),"N/A")))))))</f>
        <v>216552</v>
      </c>
      <c r="S66" s="84">
        <f t="shared" ref="S66:S129" si="6">IF($D66="Program Epic",0,
IF($D66="Feature",$B66,
IF($C66=0,"NoParentFeature",VALUE($C66))))</f>
        <v>336108</v>
      </c>
      <c r="T66" s="84">
        <f t="shared" ref="T66:T129" si="7">IF(OR($D66="Story",$D66="Task"),$B66,0)</f>
        <v>336200</v>
      </c>
    </row>
    <row r="67" spans="1:20" x14ac:dyDescent="0.3">
      <c r="B67" s="84">
        <v>336199</v>
      </c>
      <c r="C67" s="85">
        <v>336108</v>
      </c>
      <c r="D67" s="84" t="s">
        <v>6</v>
      </c>
      <c r="E67" s="84" t="s">
        <v>7</v>
      </c>
      <c r="F67" s="86" t="s">
        <v>762</v>
      </c>
      <c r="G67" s="109" t="s">
        <v>8</v>
      </c>
      <c r="H67" s="87">
        <v>1</v>
      </c>
      <c r="I67" s="84"/>
      <c r="J67" s="84"/>
      <c r="K67" s="84" t="s">
        <v>1614</v>
      </c>
      <c r="L67" s="84" t="s">
        <v>8</v>
      </c>
      <c r="M67" s="88" t="str">
        <f>VLOOKUP(L67,lookups!B:C,2,FALSE)</f>
        <v>TBD</v>
      </c>
      <c r="N67" s="89" t="str">
        <f>VLOOKUP(K67,TeamLookup[],2,0)</f>
        <v>Cyber</v>
      </c>
      <c r="O67" s="84" t="e">
        <f>VLOOKUP(VALUE($S67),lookups!I:J,2,FALSE)</f>
        <v>#N/A</v>
      </c>
      <c r="P67" s="84" t="e">
        <f>VLOOKUP(VALUE($S67),lookups!F:G,2,FALSE)</f>
        <v>#N/A</v>
      </c>
      <c r="Q67" s="84" t="str">
        <f t="shared" si="4"/>
        <v/>
      </c>
      <c r="R67" s="84">
        <f t="shared" si="5"/>
        <v>216552</v>
      </c>
      <c r="S67" s="84">
        <f t="shared" si="6"/>
        <v>336108</v>
      </c>
      <c r="T67" s="84">
        <f t="shared" si="7"/>
        <v>336199</v>
      </c>
    </row>
    <row r="68" spans="1:20" ht="28.8" x14ac:dyDescent="0.3">
      <c r="B68" s="84">
        <v>336197</v>
      </c>
      <c r="C68" s="85">
        <v>336108</v>
      </c>
      <c r="D68" s="84" t="s">
        <v>6</v>
      </c>
      <c r="E68" s="84" t="s">
        <v>7</v>
      </c>
      <c r="F68" s="137" t="s">
        <v>763</v>
      </c>
      <c r="G68" s="109" t="s">
        <v>8</v>
      </c>
      <c r="H68" s="87">
        <v>1</v>
      </c>
      <c r="I68" s="89"/>
      <c r="J68" s="89"/>
      <c r="K68" s="89" t="s">
        <v>1614</v>
      </c>
      <c r="L68" s="84" t="s">
        <v>8</v>
      </c>
      <c r="M68" s="88" t="str">
        <f>VLOOKUP(L68,lookups!B:C,2,FALSE)</f>
        <v>TBD</v>
      </c>
      <c r="N68" s="89" t="str">
        <f>VLOOKUP(K68,TeamLookup[],2,0)</f>
        <v>Cyber</v>
      </c>
      <c r="O68" s="84" t="e">
        <f>VLOOKUP(VALUE($S68),lookups!I:J,2,FALSE)</f>
        <v>#N/A</v>
      </c>
      <c r="P68" s="84" t="e">
        <f>VLOOKUP(VALUE($S68),lookups!F:G,2,FALSE)</f>
        <v>#N/A</v>
      </c>
      <c r="Q68" s="84" t="str">
        <f t="shared" si="4"/>
        <v/>
      </c>
      <c r="R68" s="84">
        <f t="shared" si="5"/>
        <v>216552</v>
      </c>
      <c r="S68" s="84">
        <f t="shared" si="6"/>
        <v>336108</v>
      </c>
      <c r="T68" s="84">
        <f t="shared" si="7"/>
        <v>336197</v>
      </c>
    </row>
    <row r="69" spans="1:20" x14ac:dyDescent="0.3">
      <c r="B69" s="84">
        <v>336194</v>
      </c>
      <c r="C69" s="85">
        <v>336108</v>
      </c>
      <c r="D69" s="84" t="s">
        <v>6</v>
      </c>
      <c r="E69" s="84" t="s">
        <v>7</v>
      </c>
      <c r="F69" s="86" t="s">
        <v>764</v>
      </c>
      <c r="G69" s="109" t="s">
        <v>8</v>
      </c>
      <c r="H69" s="87">
        <v>1</v>
      </c>
      <c r="I69" s="89"/>
      <c r="J69" s="89"/>
      <c r="K69" s="89" t="s">
        <v>1614</v>
      </c>
      <c r="L69" s="84" t="s">
        <v>8</v>
      </c>
      <c r="M69" s="88" t="str">
        <f>VLOOKUP(L69,lookups!B:C,2,FALSE)</f>
        <v>TBD</v>
      </c>
      <c r="N69" s="89" t="str">
        <f>VLOOKUP(K69,TeamLookup[],2,0)</f>
        <v>Cyber</v>
      </c>
      <c r="O69" s="84" t="e">
        <f>VLOOKUP(VALUE($S69),lookups!I:J,2,FALSE)</f>
        <v>#N/A</v>
      </c>
      <c r="P69" s="84" t="e">
        <f>VLOOKUP(VALUE($S69),lookups!F:G,2,FALSE)</f>
        <v>#N/A</v>
      </c>
      <c r="Q69" s="84" t="str">
        <f t="shared" si="4"/>
        <v/>
      </c>
      <c r="R69" s="84">
        <f t="shared" si="5"/>
        <v>216552</v>
      </c>
      <c r="S69" s="84">
        <f t="shared" si="6"/>
        <v>336108</v>
      </c>
      <c r="T69" s="84">
        <f t="shared" si="7"/>
        <v>336194</v>
      </c>
    </row>
    <row r="70" spans="1:20" x14ac:dyDescent="0.3">
      <c r="B70" s="84">
        <v>336190</v>
      </c>
      <c r="C70" s="85">
        <v>336108</v>
      </c>
      <c r="D70" s="84" t="s">
        <v>6</v>
      </c>
      <c r="E70" s="84" t="s">
        <v>7</v>
      </c>
      <c r="F70" s="86" t="s">
        <v>765</v>
      </c>
      <c r="G70" s="109" t="s">
        <v>8</v>
      </c>
      <c r="H70" s="87">
        <v>1</v>
      </c>
      <c r="I70" s="84"/>
      <c r="J70" s="84"/>
      <c r="K70" s="84" t="s">
        <v>1614</v>
      </c>
      <c r="L70" s="84" t="s">
        <v>8</v>
      </c>
      <c r="M70" s="88" t="str">
        <f>VLOOKUP(L70,lookups!B:C,2,FALSE)</f>
        <v>TBD</v>
      </c>
      <c r="N70" s="89" t="str">
        <f>VLOOKUP(K70,TeamLookup[],2,0)</f>
        <v>Cyber</v>
      </c>
      <c r="O70" s="84" t="e">
        <f>VLOOKUP(VALUE($S70),lookups!I:J,2,FALSE)</f>
        <v>#N/A</v>
      </c>
      <c r="P70" s="84" t="e">
        <f>VLOOKUP(VALUE($S70),lookups!F:G,2,FALSE)</f>
        <v>#N/A</v>
      </c>
      <c r="Q70" s="84" t="str">
        <f t="shared" si="4"/>
        <v/>
      </c>
      <c r="R70" s="84">
        <f t="shared" si="5"/>
        <v>216552</v>
      </c>
      <c r="S70" s="84">
        <f t="shared" si="6"/>
        <v>336108</v>
      </c>
      <c r="T70" s="84">
        <f t="shared" si="7"/>
        <v>336190</v>
      </c>
    </row>
    <row r="71" spans="1:20" x14ac:dyDescent="0.3">
      <c r="B71" s="84">
        <v>336189</v>
      </c>
      <c r="C71" s="85">
        <v>336108</v>
      </c>
      <c r="D71" s="84" t="s">
        <v>6</v>
      </c>
      <c r="E71" s="84" t="s">
        <v>7</v>
      </c>
      <c r="F71" s="86" t="s">
        <v>766</v>
      </c>
      <c r="G71" s="109" t="s">
        <v>8</v>
      </c>
      <c r="H71" s="87">
        <v>1</v>
      </c>
      <c r="I71" s="89"/>
      <c r="J71" s="89"/>
      <c r="K71" s="89" t="s">
        <v>1614</v>
      </c>
      <c r="L71" s="84" t="s">
        <v>8</v>
      </c>
      <c r="M71" s="88" t="str">
        <f>VLOOKUP(L71,lookups!B:C,2,FALSE)</f>
        <v>TBD</v>
      </c>
      <c r="N71" s="89" t="str">
        <f>VLOOKUP(K71,TeamLookup[],2,0)</f>
        <v>Cyber</v>
      </c>
      <c r="O71" s="84" t="e">
        <f>VLOOKUP(VALUE($S71),lookups!I:J,2,FALSE)</f>
        <v>#N/A</v>
      </c>
      <c r="P71" s="84" t="e">
        <f>VLOOKUP(VALUE($S71),lookups!F:G,2,FALSE)</f>
        <v>#N/A</v>
      </c>
      <c r="Q71" s="84" t="str">
        <f t="shared" si="4"/>
        <v/>
      </c>
      <c r="R71" s="84">
        <f t="shared" si="5"/>
        <v>216552</v>
      </c>
      <c r="S71" s="84">
        <f t="shared" si="6"/>
        <v>336108</v>
      </c>
      <c r="T71" s="84">
        <f t="shared" si="7"/>
        <v>336189</v>
      </c>
    </row>
    <row r="72" spans="1:20" x14ac:dyDescent="0.3">
      <c r="B72" s="84">
        <v>336186</v>
      </c>
      <c r="C72" s="85">
        <v>336108</v>
      </c>
      <c r="D72" s="84" t="s">
        <v>6</v>
      </c>
      <c r="E72" s="84" t="s">
        <v>7</v>
      </c>
      <c r="F72" s="86" t="s">
        <v>767</v>
      </c>
      <c r="G72" s="109" t="s">
        <v>8</v>
      </c>
      <c r="H72" s="87">
        <v>1</v>
      </c>
      <c r="I72" s="89"/>
      <c r="J72" s="89"/>
      <c r="K72" s="89" t="s">
        <v>1614</v>
      </c>
      <c r="L72" s="84" t="s">
        <v>8</v>
      </c>
      <c r="M72" s="88" t="str">
        <f>VLOOKUP(L72,lookups!B:C,2,FALSE)</f>
        <v>TBD</v>
      </c>
      <c r="N72" s="89" t="str">
        <f>VLOOKUP(K72,TeamLookup[],2,0)</f>
        <v>Cyber</v>
      </c>
      <c r="O72" s="84" t="e">
        <f>VLOOKUP(VALUE($S72),lookups!I:J,2,FALSE)</f>
        <v>#N/A</v>
      </c>
      <c r="P72" s="84" t="e">
        <f>VLOOKUP(VALUE($S72),lookups!F:G,2,FALSE)</f>
        <v>#N/A</v>
      </c>
      <c r="Q72" s="84" t="str">
        <f t="shared" si="4"/>
        <v/>
      </c>
      <c r="R72" s="84">
        <f t="shared" si="5"/>
        <v>216552</v>
      </c>
      <c r="S72" s="84">
        <f t="shared" si="6"/>
        <v>336108</v>
      </c>
      <c r="T72" s="84">
        <f t="shared" si="7"/>
        <v>336186</v>
      </c>
    </row>
    <row r="73" spans="1:20" x14ac:dyDescent="0.3">
      <c r="A73" s="96"/>
      <c r="B73" s="84">
        <v>336184</v>
      </c>
      <c r="C73" s="85">
        <v>336108</v>
      </c>
      <c r="D73" s="84" t="s">
        <v>6</v>
      </c>
      <c r="E73" s="84" t="s">
        <v>7</v>
      </c>
      <c r="F73" s="86" t="s">
        <v>768</v>
      </c>
      <c r="G73" s="87" t="s">
        <v>8</v>
      </c>
      <c r="H73" s="87">
        <v>5</v>
      </c>
      <c r="I73" s="89"/>
      <c r="J73" s="89"/>
      <c r="K73" s="89" t="s">
        <v>1614</v>
      </c>
      <c r="L73" s="84" t="s">
        <v>8</v>
      </c>
      <c r="M73" s="88" t="str">
        <f>VLOOKUP(L73,lookups!B:C,2,FALSE)</f>
        <v>TBD</v>
      </c>
      <c r="N73" s="89" t="str">
        <f>VLOOKUP(K73,TeamLookup[],2,0)</f>
        <v>Cyber</v>
      </c>
      <c r="O73" s="84" t="e">
        <f>VLOOKUP(VALUE($S73),lookups!I:J,2,FALSE)</f>
        <v>#N/A</v>
      </c>
      <c r="P73" s="84" t="e">
        <f>VLOOKUP(VALUE($S73),lookups!F:G,2,FALSE)</f>
        <v>#N/A</v>
      </c>
      <c r="Q73" s="84" t="str">
        <f t="shared" si="4"/>
        <v/>
      </c>
      <c r="R73" s="84">
        <f t="shared" si="5"/>
        <v>216552</v>
      </c>
      <c r="S73" s="84">
        <f t="shared" si="6"/>
        <v>336108</v>
      </c>
      <c r="T73" s="84">
        <f t="shared" si="7"/>
        <v>336184</v>
      </c>
    </row>
    <row r="74" spans="1:20" ht="30" customHeight="1" x14ac:dyDescent="0.3">
      <c r="B74" s="84">
        <v>336177</v>
      </c>
      <c r="C74" s="85">
        <v>336108</v>
      </c>
      <c r="D74" s="84" t="s">
        <v>6</v>
      </c>
      <c r="E74" s="84" t="s">
        <v>7</v>
      </c>
      <c r="F74" s="86" t="s">
        <v>769</v>
      </c>
      <c r="G74" s="109" t="s">
        <v>8</v>
      </c>
      <c r="H74" s="87">
        <v>5</v>
      </c>
      <c r="I74" s="89"/>
      <c r="J74" s="89"/>
      <c r="K74" s="89" t="s">
        <v>1614</v>
      </c>
      <c r="L74" s="84" t="s">
        <v>8</v>
      </c>
      <c r="M74" s="88" t="str">
        <f>VLOOKUP(L74,lookups!B:C,2,FALSE)</f>
        <v>TBD</v>
      </c>
      <c r="N74" s="89" t="str">
        <f>VLOOKUP(K74,TeamLookup[],2,0)</f>
        <v>Cyber</v>
      </c>
      <c r="O74" s="84" t="e">
        <f>VLOOKUP(VALUE($S74),lookups!I:J,2,FALSE)</f>
        <v>#N/A</v>
      </c>
      <c r="P74" s="84" t="e">
        <f>VLOOKUP(VALUE($S74),lookups!F:G,2,FALSE)</f>
        <v>#N/A</v>
      </c>
      <c r="Q74" s="84" t="str">
        <f t="shared" si="4"/>
        <v/>
      </c>
      <c r="R74" s="84">
        <f t="shared" si="5"/>
        <v>216552</v>
      </c>
      <c r="S74" s="84">
        <f t="shared" si="6"/>
        <v>336108</v>
      </c>
      <c r="T74" s="84">
        <f t="shared" si="7"/>
        <v>336177</v>
      </c>
    </row>
    <row r="75" spans="1:20" x14ac:dyDescent="0.3">
      <c r="B75" s="84">
        <v>336176</v>
      </c>
      <c r="C75" s="85">
        <v>336108</v>
      </c>
      <c r="D75" s="84" t="s">
        <v>6</v>
      </c>
      <c r="E75" s="84" t="s">
        <v>7</v>
      </c>
      <c r="F75" s="86" t="s">
        <v>769</v>
      </c>
      <c r="G75" s="87" t="s">
        <v>8</v>
      </c>
      <c r="H75" s="87">
        <v>1</v>
      </c>
      <c r="I75" s="89"/>
      <c r="J75" s="89"/>
      <c r="K75" s="89" t="s">
        <v>1614</v>
      </c>
      <c r="L75" s="84" t="s">
        <v>8</v>
      </c>
      <c r="M75" s="88" t="str">
        <f>VLOOKUP(L75,lookups!B:C,2,FALSE)</f>
        <v>TBD</v>
      </c>
      <c r="N75" s="89" t="str">
        <f>VLOOKUP(K75,TeamLookup[],2,0)</f>
        <v>Cyber</v>
      </c>
      <c r="O75" s="84" t="e">
        <f>VLOOKUP(VALUE($S75),lookups!I:J,2,FALSE)</f>
        <v>#N/A</v>
      </c>
      <c r="P75" s="84" t="e">
        <f>VLOOKUP(VALUE($S75),lookups!F:G,2,FALSE)</f>
        <v>#N/A</v>
      </c>
      <c r="Q75" s="84" t="str">
        <f t="shared" si="4"/>
        <v/>
      </c>
      <c r="R75" s="84">
        <f t="shared" si="5"/>
        <v>216552</v>
      </c>
      <c r="S75" s="84">
        <f t="shared" si="6"/>
        <v>336108</v>
      </c>
      <c r="T75" s="84">
        <f t="shared" si="7"/>
        <v>336176</v>
      </c>
    </row>
    <row r="76" spans="1:20" ht="13.2" customHeight="1" x14ac:dyDescent="0.3">
      <c r="B76" s="84">
        <v>336171</v>
      </c>
      <c r="C76" s="85">
        <v>336108</v>
      </c>
      <c r="D76" s="84" t="s">
        <v>6</v>
      </c>
      <c r="E76" s="84" t="s">
        <v>7</v>
      </c>
      <c r="F76" s="86" t="s">
        <v>770</v>
      </c>
      <c r="G76" s="109" t="s">
        <v>8</v>
      </c>
      <c r="H76" s="87">
        <v>1</v>
      </c>
      <c r="I76" s="89"/>
      <c r="J76" s="89"/>
      <c r="K76" s="89" t="s">
        <v>1614</v>
      </c>
      <c r="L76" s="84" t="s">
        <v>8</v>
      </c>
      <c r="M76" s="88" t="str">
        <f>VLOOKUP(L76,lookups!B:C,2,FALSE)</f>
        <v>TBD</v>
      </c>
      <c r="N76" s="89" t="str">
        <f>VLOOKUP(K76,TeamLookup[],2,0)</f>
        <v>Cyber</v>
      </c>
      <c r="O76" s="84" t="e">
        <f>VLOOKUP(VALUE($S76),lookups!I:J,2,FALSE)</f>
        <v>#N/A</v>
      </c>
      <c r="P76" s="84" t="e">
        <f>VLOOKUP(VALUE($S76),lookups!F:G,2,FALSE)</f>
        <v>#N/A</v>
      </c>
      <c r="Q76" s="84" t="str">
        <f t="shared" si="4"/>
        <v/>
      </c>
      <c r="R76" s="84">
        <f t="shared" si="5"/>
        <v>216552</v>
      </c>
      <c r="S76" s="84">
        <f t="shared" si="6"/>
        <v>336108</v>
      </c>
      <c r="T76" s="84">
        <f t="shared" si="7"/>
        <v>336171</v>
      </c>
    </row>
    <row r="77" spans="1:20" ht="16.95" customHeight="1" x14ac:dyDescent="0.3">
      <c r="B77" s="84">
        <v>336155</v>
      </c>
      <c r="C77" s="85">
        <v>336108</v>
      </c>
      <c r="D77" s="84" t="s">
        <v>6</v>
      </c>
      <c r="E77" s="84" t="s">
        <v>7</v>
      </c>
      <c r="F77" s="86" t="s">
        <v>770</v>
      </c>
      <c r="G77" s="109" t="s">
        <v>8</v>
      </c>
      <c r="H77" s="87">
        <v>5</v>
      </c>
      <c r="I77" s="89"/>
      <c r="J77" s="89"/>
      <c r="K77" s="89" t="s">
        <v>1614</v>
      </c>
      <c r="L77" s="84" t="s">
        <v>8</v>
      </c>
      <c r="M77" s="88" t="str">
        <f>VLOOKUP(L77,lookups!B:C,2,FALSE)</f>
        <v>TBD</v>
      </c>
      <c r="N77" s="89" t="str">
        <f>VLOOKUP(K77,TeamLookup[],2,0)</f>
        <v>Cyber</v>
      </c>
      <c r="O77" s="84" t="e">
        <f>VLOOKUP(VALUE($S77),lookups!I:J,2,FALSE)</f>
        <v>#N/A</v>
      </c>
      <c r="P77" s="84" t="e">
        <f>VLOOKUP(VALUE($S77),lookups!F:G,2,FALSE)</f>
        <v>#N/A</v>
      </c>
      <c r="Q77" s="84" t="str">
        <f t="shared" si="4"/>
        <v/>
      </c>
      <c r="R77" s="84">
        <f t="shared" si="5"/>
        <v>216552</v>
      </c>
      <c r="S77" s="84">
        <f t="shared" si="6"/>
        <v>336108</v>
      </c>
      <c r="T77" s="84">
        <f t="shared" si="7"/>
        <v>336155</v>
      </c>
    </row>
    <row r="78" spans="1:20" ht="16.2" customHeight="1" x14ac:dyDescent="0.3">
      <c r="B78" s="84">
        <v>336148</v>
      </c>
      <c r="C78" s="85">
        <v>336108</v>
      </c>
      <c r="D78" s="84" t="s">
        <v>6</v>
      </c>
      <c r="E78" s="84" t="s">
        <v>7</v>
      </c>
      <c r="F78" s="86" t="s">
        <v>771</v>
      </c>
      <c r="G78" s="109" t="s">
        <v>8</v>
      </c>
      <c r="H78" s="87">
        <v>1</v>
      </c>
      <c r="I78" s="89"/>
      <c r="J78" s="89"/>
      <c r="K78" s="89" t="s">
        <v>1614</v>
      </c>
      <c r="L78" s="84" t="s">
        <v>8</v>
      </c>
      <c r="M78" s="88" t="str">
        <f>VLOOKUP(L78,lookups!B:C,2,FALSE)</f>
        <v>TBD</v>
      </c>
      <c r="N78" s="89" t="str">
        <f>VLOOKUP(K78,TeamLookup[],2,0)</f>
        <v>Cyber</v>
      </c>
      <c r="O78" s="84" t="e">
        <f>VLOOKUP(VALUE($S78),lookups!I:J,2,FALSE)</f>
        <v>#N/A</v>
      </c>
      <c r="P78" s="84" t="e">
        <f>VLOOKUP(VALUE($S78),lookups!F:G,2,FALSE)</f>
        <v>#N/A</v>
      </c>
      <c r="Q78" s="84" t="str">
        <f t="shared" si="4"/>
        <v/>
      </c>
      <c r="R78" s="84">
        <f t="shared" si="5"/>
        <v>216552</v>
      </c>
      <c r="S78" s="84">
        <f t="shared" si="6"/>
        <v>336108</v>
      </c>
      <c r="T78" s="84">
        <f t="shared" si="7"/>
        <v>336148</v>
      </c>
    </row>
    <row r="79" spans="1:20" ht="21" customHeight="1" x14ac:dyDescent="0.3">
      <c r="B79" s="84">
        <v>336122</v>
      </c>
      <c r="C79" s="85">
        <v>336108</v>
      </c>
      <c r="D79" s="84" t="s">
        <v>344</v>
      </c>
      <c r="E79" s="84" t="s">
        <v>7</v>
      </c>
      <c r="F79" s="86" t="s">
        <v>772</v>
      </c>
      <c r="G79" s="109" t="s">
        <v>8</v>
      </c>
      <c r="H79" s="87"/>
      <c r="I79" s="89"/>
      <c r="J79" s="89"/>
      <c r="K79" s="89" t="s">
        <v>8</v>
      </c>
      <c r="L79" s="84" t="s">
        <v>8</v>
      </c>
      <c r="M79" s="88" t="str">
        <f>VLOOKUP(L79,lookups!B:C,2,FALSE)</f>
        <v>TBD</v>
      </c>
      <c r="N79" s="89" t="e">
        <f>VLOOKUP(K79,TeamLookup[],2,0)</f>
        <v>#N/A</v>
      </c>
      <c r="O79" s="84" t="e">
        <f>VLOOKUP(VALUE($S79),lookups!I:J,2,FALSE)</f>
        <v>#N/A</v>
      </c>
      <c r="P79" s="84" t="e">
        <f>VLOOKUP(VALUE($S79),lookups!F:G,2,FALSE)</f>
        <v>#N/A</v>
      </c>
      <c r="Q79" s="84" t="str">
        <f t="shared" si="4"/>
        <v/>
      </c>
      <c r="R79" s="84">
        <f t="shared" si="5"/>
        <v>216552</v>
      </c>
      <c r="S79" s="84">
        <f t="shared" si="6"/>
        <v>336108</v>
      </c>
      <c r="T79" s="84">
        <f t="shared" si="7"/>
        <v>336122</v>
      </c>
    </row>
    <row r="80" spans="1:20" x14ac:dyDescent="0.3">
      <c r="B80" s="84">
        <v>336121</v>
      </c>
      <c r="C80" s="85">
        <v>336108</v>
      </c>
      <c r="D80" s="84" t="s">
        <v>6</v>
      </c>
      <c r="E80" s="84" t="s">
        <v>7</v>
      </c>
      <c r="F80" s="86" t="s">
        <v>773</v>
      </c>
      <c r="G80" s="109" t="s">
        <v>8</v>
      </c>
      <c r="H80" s="87">
        <v>5</v>
      </c>
      <c r="I80" s="84"/>
      <c r="J80" s="84"/>
      <c r="K80" s="84" t="s">
        <v>1614</v>
      </c>
      <c r="L80" s="84" t="s">
        <v>8</v>
      </c>
      <c r="M80" s="88" t="str">
        <f>VLOOKUP(L80,lookups!B:C,2,FALSE)</f>
        <v>TBD</v>
      </c>
      <c r="N80" s="89" t="str">
        <f>VLOOKUP(K80,TeamLookup[],2,0)</f>
        <v>Cyber</v>
      </c>
      <c r="O80" s="84" t="e">
        <f>VLOOKUP(VALUE($S80),lookups!I:J,2,FALSE)</f>
        <v>#N/A</v>
      </c>
      <c r="P80" s="84" t="e">
        <f>VLOOKUP(VALUE($S80),lookups!F:G,2,FALSE)</f>
        <v>#N/A</v>
      </c>
      <c r="Q80" s="84" t="str">
        <f t="shared" si="4"/>
        <v/>
      </c>
      <c r="R80" s="84">
        <f t="shared" si="5"/>
        <v>216552</v>
      </c>
      <c r="S80" s="84">
        <f t="shared" si="6"/>
        <v>336108</v>
      </c>
      <c r="T80" s="84">
        <f t="shared" si="7"/>
        <v>336121</v>
      </c>
    </row>
    <row r="81" spans="1:22" x14ac:dyDescent="0.3">
      <c r="A81" s="96"/>
      <c r="B81" s="84">
        <v>336120</v>
      </c>
      <c r="C81" s="85">
        <v>336108</v>
      </c>
      <c r="D81" s="84" t="s">
        <v>6</v>
      </c>
      <c r="E81" s="84" t="s">
        <v>7</v>
      </c>
      <c r="F81" s="86" t="s">
        <v>774</v>
      </c>
      <c r="G81" s="109" t="s">
        <v>8</v>
      </c>
      <c r="H81" s="87">
        <v>5</v>
      </c>
      <c r="I81" s="89"/>
      <c r="J81" s="89"/>
      <c r="K81" s="89" t="s">
        <v>1614</v>
      </c>
      <c r="L81" s="84" t="s">
        <v>8</v>
      </c>
      <c r="M81" s="88" t="str">
        <f>VLOOKUP(L81,lookups!B:C,2,FALSE)</f>
        <v>TBD</v>
      </c>
      <c r="N81" s="89" t="str">
        <f>VLOOKUP(K81,TeamLookup[],2,0)</f>
        <v>Cyber</v>
      </c>
      <c r="O81" s="84" t="e">
        <f>VLOOKUP(VALUE($S81),lookups!I:J,2,FALSE)</f>
        <v>#N/A</v>
      </c>
      <c r="P81" s="84" t="e">
        <f>VLOOKUP(VALUE($S81),lookups!F:G,2,FALSE)</f>
        <v>#N/A</v>
      </c>
      <c r="Q81" s="84" t="str">
        <f t="shared" si="4"/>
        <v/>
      </c>
      <c r="R81" s="84">
        <f t="shared" si="5"/>
        <v>216552</v>
      </c>
      <c r="S81" s="84">
        <f t="shared" si="6"/>
        <v>336108</v>
      </c>
      <c r="T81" s="84">
        <f t="shared" si="7"/>
        <v>336120</v>
      </c>
    </row>
    <row r="82" spans="1:22" x14ac:dyDescent="0.3">
      <c r="B82" s="84">
        <v>336119</v>
      </c>
      <c r="C82" s="85">
        <v>336108</v>
      </c>
      <c r="D82" s="84" t="s">
        <v>6</v>
      </c>
      <c r="E82" s="84" t="s">
        <v>7</v>
      </c>
      <c r="F82" s="86" t="s">
        <v>775</v>
      </c>
      <c r="G82" s="87" t="s">
        <v>8</v>
      </c>
      <c r="H82" s="87">
        <v>1</v>
      </c>
      <c r="I82" s="84"/>
      <c r="J82" s="84" t="s">
        <v>776</v>
      </c>
      <c r="K82" s="84" t="s">
        <v>1614</v>
      </c>
      <c r="L82" s="84" t="s">
        <v>8</v>
      </c>
      <c r="M82" s="88" t="str">
        <f>VLOOKUP(L82,lookups!B:C,2,FALSE)</f>
        <v>TBD</v>
      </c>
      <c r="N82" s="89" t="str">
        <f>VLOOKUP(K82,TeamLookup[],2,0)</f>
        <v>Cyber</v>
      </c>
      <c r="O82" s="84" t="e">
        <f>VLOOKUP(VALUE($S82),lookups!I:J,2,FALSE)</f>
        <v>#N/A</v>
      </c>
      <c r="P82" s="84" t="e">
        <f>VLOOKUP(VALUE($S82),lookups!F:G,2,FALSE)</f>
        <v>#N/A</v>
      </c>
      <c r="Q82" s="84" t="str">
        <f t="shared" si="4"/>
        <v/>
      </c>
      <c r="R82" s="84">
        <f t="shared" si="5"/>
        <v>216552</v>
      </c>
      <c r="S82" s="84">
        <f t="shared" si="6"/>
        <v>336108</v>
      </c>
      <c r="T82" s="84">
        <f t="shared" si="7"/>
        <v>336119</v>
      </c>
    </row>
    <row r="83" spans="1:22" x14ac:dyDescent="0.3">
      <c r="B83" s="84">
        <v>336117</v>
      </c>
      <c r="C83" s="85">
        <v>336108</v>
      </c>
      <c r="D83" s="84" t="s">
        <v>6</v>
      </c>
      <c r="E83" s="84" t="s">
        <v>7</v>
      </c>
      <c r="F83" s="86" t="s">
        <v>777</v>
      </c>
      <c r="G83" s="109" t="s">
        <v>8</v>
      </c>
      <c r="H83" s="87">
        <v>1</v>
      </c>
      <c r="I83" s="89"/>
      <c r="J83" s="89"/>
      <c r="K83" s="89" t="s">
        <v>1614</v>
      </c>
      <c r="L83" s="84" t="s">
        <v>8</v>
      </c>
      <c r="M83" s="88" t="str">
        <f>VLOOKUP(L83,lookups!B:C,2,FALSE)</f>
        <v>TBD</v>
      </c>
      <c r="N83" s="89" t="str">
        <f>VLOOKUP(K83,TeamLookup[],2,0)</f>
        <v>Cyber</v>
      </c>
      <c r="O83" s="84" t="e">
        <f>VLOOKUP(VALUE($S83),lookups!I:J,2,FALSE)</f>
        <v>#N/A</v>
      </c>
      <c r="P83" s="84" t="e">
        <f>VLOOKUP(VALUE($S83),lookups!F:G,2,FALSE)</f>
        <v>#N/A</v>
      </c>
      <c r="Q83" s="84" t="str">
        <f t="shared" si="4"/>
        <v/>
      </c>
      <c r="R83" s="84">
        <f t="shared" si="5"/>
        <v>216552</v>
      </c>
      <c r="S83" s="84">
        <f t="shared" si="6"/>
        <v>336108</v>
      </c>
      <c r="T83" s="84">
        <f t="shared" si="7"/>
        <v>336117</v>
      </c>
    </row>
    <row r="84" spans="1:22" x14ac:dyDescent="0.3">
      <c r="B84" s="88">
        <v>336116</v>
      </c>
      <c r="C84" s="92">
        <v>336108</v>
      </c>
      <c r="D84" s="88" t="s">
        <v>6</v>
      </c>
      <c r="E84" s="84" t="s">
        <v>7</v>
      </c>
      <c r="F84" s="91" t="s">
        <v>778</v>
      </c>
      <c r="G84" s="119" t="s">
        <v>8</v>
      </c>
      <c r="H84" s="93">
        <v>3</v>
      </c>
      <c r="I84" s="84"/>
      <c r="J84" s="84" t="s">
        <v>779</v>
      </c>
      <c r="K84" s="84" t="s">
        <v>780</v>
      </c>
      <c r="L84" s="88" t="s">
        <v>134</v>
      </c>
      <c r="M84" s="88" t="str">
        <f>VLOOKUP(L84,lookups!B:C,2,FALSE)</f>
        <v>Craig D</v>
      </c>
      <c r="N84" s="89" t="e">
        <f>VLOOKUP(K84,TeamLookup[],2,0)</f>
        <v>#N/A</v>
      </c>
      <c r="O84" s="84" t="e">
        <f>VLOOKUP(VALUE($S84),lookups!I:J,2,FALSE)</f>
        <v>#N/A</v>
      </c>
      <c r="P84" s="84" t="e">
        <f>VLOOKUP(VALUE($S84),lookups!F:G,2,FALSE)</f>
        <v>#N/A</v>
      </c>
      <c r="Q84" s="84" t="str">
        <f t="shared" si="4"/>
        <v/>
      </c>
      <c r="R84" s="84">
        <f t="shared" si="5"/>
        <v>216552</v>
      </c>
      <c r="S84" s="84">
        <f t="shared" si="6"/>
        <v>336108</v>
      </c>
      <c r="T84" s="84">
        <f t="shared" si="7"/>
        <v>336116</v>
      </c>
    </row>
    <row r="85" spans="1:22" x14ac:dyDescent="0.3">
      <c r="B85" s="84">
        <v>336115</v>
      </c>
      <c r="C85" s="85">
        <v>336108</v>
      </c>
      <c r="D85" s="84" t="s">
        <v>6</v>
      </c>
      <c r="E85" s="84" t="s">
        <v>7</v>
      </c>
      <c r="F85" s="86" t="s">
        <v>781</v>
      </c>
      <c r="G85" s="109" t="s">
        <v>8</v>
      </c>
      <c r="H85" s="87">
        <v>2</v>
      </c>
      <c r="I85" s="89"/>
      <c r="J85" s="89"/>
      <c r="K85" s="105" t="s">
        <v>1614</v>
      </c>
      <c r="L85" s="84" t="s">
        <v>8</v>
      </c>
      <c r="M85" s="88" t="str">
        <f>VLOOKUP(L85,lookups!B:C,2,FALSE)</f>
        <v>TBD</v>
      </c>
      <c r="N85" s="89" t="str">
        <f>VLOOKUP(K85,TeamLookup[],2,0)</f>
        <v>Cyber</v>
      </c>
      <c r="O85" s="84" t="e">
        <f>VLOOKUP(VALUE($S85),lookups!I:J,2,FALSE)</f>
        <v>#N/A</v>
      </c>
      <c r="P85" s="84" t="e">
        <f>VLOOKUP(VALUE($S85),lookups!F:G,2,FALSE)</f>
        <v>#N/A</v>
      </c>
      <c r="Q85" s="84" t="str">
        <f t="shared" si="4"/>
        <v/>
      </c>
      <c r="R85" s="84">
        <f t="shared" si="5"/>
        <v>216552</v>
      </c>
      <c r="S85" s="84">
        <f t="shared" si="6"/>
        <v>336108</v>
      </c>
      <c r="T85" s="84">
        <f t="shared" si="7"/>
        <v>336115</v>
      </c>
    </row>
    <row r="86" spans="1:22" x14ac:dyDescent="0.3">
      <c r="A86" s="96"/>
      <c r="B86" s="84">
        <v>336114</v>
      </c>
      <c r="C86" s="85">
        <v>336108</v>
      </c>
      <c r="D86" s="84" t="s">
        <v>6</v>
      </c>
      <c r="E86" s="84" t="s">
        <v>7</v>
      </c>
      <c r="F86" s="86" t="s">
        <v>782</v>
      </c>
      <c r="G86" s="87" t="s">
        <v>8</v>
      </c>
      <c r="H86" s="87">
        <v>5</v>
      </c>
      <c r="I86" s="89"/>
      <c r="J86" s="89" t="s">
        <v>783</v>
      </c>
      <c r="K86" s="106" t="s">
        <v>1614</v>
      </c>
      <c r="L86" s="84" t="s">
        <v>8</v>
      </c>
      <c r="M86" s="88" t="str">
        <f>VLOOKUP(L86,lookups!B:C,2,FALSE)</f>
        <v>TBD</v>
      </c>
      <c r="N86" s="89" t="str">
        <f>VLOOKUP(K86,TeamLookup[],2,0)</f>
        <v>Cyber</v>
      </c>
      <c r="O86" s="84" t="e">
        <f>VLOOKUP(VALUE($S86),lookups!I:J,2,FALSE)</f>
        <v>#N/A</v>
      </c>
      <c r="P86" s="84" t="e">
        <f>VLOOKUP(VALUE($S86),lookups!F:G,2,FALSE)</f>
        <v>#N/A</v>
      </c>
      <c r="Q86" s="84" t="str">
        <f t="shared" si="4"/>
        <v/>
      </c>
      <c r="R86" s="84">
        <f t="shared" si="5"/>
        <v>216552</v>
      </c>
      <c r="S86" s="84">
        <f t="shared" si="6"/>
        <v>336108</v>
      </c>
      <c r="T86" s="84">
        <f t="shared" si="7"/>
        <v>336114</v>
      </c>
    </row>
    <row r="87" spans="1:22" x14ac:dyDescent="0.3">
      <c r="A87" s="96"/>
      <c r="B87" s="84">
        <v>336113</v>
      </c>
      <c r="C87" s="85">
        <v>336108</v>
      </c>
      <c r="D87" s="84" t="s">
        <v>6</v>
      </c>
      <c r="E87" s="84" t="s">
        <v>7</v>
      </c>
      <c r="F87" s="86" t="s">
        <v>784</v>
      </c>
      <c r="G87" s="87" t="s">
        <v>8</v>
      </c>
      <c r="H87" s="87">
        <v>2</v>
      </c>
      <c r="I87" s="89"/>
      <c r="J87" s="89"/>
      <c r="K87" s="89" t="s">
        <v>1614</v>
      </c>
      <c r="L87" s="84" t="s">
        <v>8</v>
      </c>
      <c r="M87" s="88" t="str">
        <f>VLOOKUP(L87,lookups!B:C,2,FALSE)</f>
        <v>TBD</v>
      </c>
      <c r="N87" s="89" t="str">
        <f>VLOOKUP(K87,TeamLookup[],2,0)</f>
        <v>Cyber</v>
      </c>
      <c r="O87" s="84" t="e">
        <f>VLOOKUP(VALUE($S87),lookups!I:J,2,FALSE)</f>
        <v>#N/A</v>
      </c>
      <c r="P87" s="84" t="e">
        <f>VLOOKUP(VALUE($S87),lookups!F:G,2,FALSE)</f>
        <v>#N/A</v>
      </c>
      <c r="Q87" s="84" t="str">
        <f t="shared" si="4"/>
        <v/>
      </c>
      <c r="R87" s="84">
        <f t="shared" si="5"/>
        <v>216552</v>
      </c>
      <c r="S87" s="84">
        <f t="shared" si="6"/>
        <v>336108</v>
      </c>
      <c r="T87" s="84">
        <f t="shared" si="7"/>
        <v>336113</v>
      </c>
      <c r="V87" s="134"/>
    </row>
    <row r="88" spans="1:22" x14ac:dyDescent="0.3">
      <c r="A88" s="96"/>
      <c r="B88" s="84">
        <v>336112</v>
      </c>
      <c r="C88" s="85">
        <v>336108</v>
      </c>
      <c r="D88" s="84" t="s">
        <v>6</v>
      </c>
      <c r="E88" s="84" t="s">
        <v>7</v>
      </c>
      <c r="F88" s="86" t="s">
        <v>785</v>
      </c>
      <c r="G88" s="87" t="s">
        <v>8</v>
      </c>
      <c r="H88" s="87">
        <v>3</v>
      </c>
      <c r="I88" s="89"/>
      <c r="J88" s="89"/>
      <c r="K88" s="89" t="s">
        <v>1614</v>
      </c>
      <c r="L88" s="84" t="s">
        <v>8</v>
      </c>
      <c r="M88" s="88" t="str">
        <f>VLOOKUP(L88,lookups!B:C,2,FALSE)</f>
        <v>TBD</v>
      </c>
      <c r="N88" s="89" t="str">
        <f>VLOOKUP(K88,TeamLookup[],2,0)</f>
        <v>Cyber</v>
      </c>
      <c r="O88" s="84" t="e">
        <f>VLOOKUP(VALUE($S88),lookups!I:J,2,FALSE)</f>
        <v>#N/A</v>
      </c>
      <c r="P88" s="84" t="e">
        <f>VLOOKUP(VALUE($S88),lookups!F:G,2,FALSE)</f>
        <v>#N/A</v>
      </c>
      <c r="Q88" s="84" t="str">
        <f t="shared" si="4"/>
        <v/>
      </c>
      <c r="R88" s="84">
        <f t="shared" si="5"/>
        <v>216552</v>
      </c>
      <c r="S88" s="84">
        <f t="shared" si="6"/>
        <v>336108</v>
      </c>
      <c r="T88" s="84">
        <f t="shared" si="7"/>
        <v>336112</v>
      </c>
    </row>
    <row r="89" spans="1:22" x14ac:dyDescent="0.3">
      <c r="A89" s="96"/>
      <c r="B89" s="84">
        <v>336111</v>
      </c>
      <c r="C89" s="85">
        <v>336108</v>
      </c>
      <c r="D89" s="84" t="s">
        <v>6</v>
      </c>
      <c r="E89" s="84" t="s">
        <v>7</v>
      </c>
      <c r="F89" s="86" t="s">
        <v>786</v>
      </c>
      <c r="G89" s="87" t="s">
        <v>8</v>
      </c>
      <c r="H89" s="87">
        <v>8</v>
      </c>
      <c r="I89" s="105"/>
      <c r="J89" s="105" t="s">
        <v>787</v>
      </c>
      <c r="K89" s="105" t="s">
        <v>1614</v>
      </c>
      <c r="L89" s="84" t="s">
        <v>8</v>
      </c>
      <c r="M89" s="88" t="str">
        <f>VLOOKUP(L89,lookups!B:C,2,FALSE)</f>
        <v>TBD</v>
      </c>
      <c r="N89" s="89" t="str">
        <f>VLOOKUP(K89,TeamLookup[],2,0)</f>
        <v>Cyber</v>
      </c>
      <c r="O89" s="84" t="e">
        <f>VLOOKUP(VALUE($S89),lookups!I:J,2,FALSE)</f>
        <v>#N/A</v>
      </c>
      <c r="P89" s="84" t="e">
        <f>VLOOKUP(VALUE($S89),lookups!F:G,2,FALSE)</f>
        <v>#N/A</v>
      </c>
      <c r="Q89" s="84" t="str">
        <f t="shared" si="4"/>
        <v/>
      </c>
      <c r="R89" s="84">
        <f t="shared" si="5"/>
        <v>216552</v>
      </c>
      <c r="S89" s="84">
        <f t="shared" si="6"/>
        <v>336108</v>
      </c>
      <c r="T89" s="84">
        <f t="shared" si="7"/>
        <v>336111</v>
      </c>
    </row>
    <row r="90" spans="1:22" x14ac:dyDescent="0.3">
      <c r="A90" s="96"/>
      <c r="B90" s="84">
        <v>336110</v>
      </c>
      <c r="C90" s="85">
        <v>336108</v>
      </c>
      <c r="D90" s="84" t="s">
        <v>6</v>
      </c>
      <c r="E90" s="84" t="s">
        <v>7</v>
      </c>
      <c r="F90" s="86" t="s">
        <v>788</v>
      </c>
      <c r="G90" s="109" t="s">
        <v>8</v>
      </c>
      <c r="H90" s="87">
        <v>1</v>
      </c>
      <c r="I90" s="105"/>
      <c r="J90" s="105" t="s">
        <v>789</v>
      </c>
      <c r="K90" s="105" t="s">
        <v>1614</v>
      </c>
      <c r="L90" s="84" t="s">
        <v>8</v>
      </c>
      <c r="M90" s="88" t="str">
        <f>VLOOKUP(L90,lookups!B:C,2,FALSE)</f>
        <v>TBD</v>
      </c>
      <c r="N90" s="89" t="str">
        <f>VLOOKUP(K90,TeamLookup[],2,0)</f>
        <v>Cyber</v>
      </c>
      <c r="O90" s="84" t="e">
        <f>VLOOKUP(VALUE($S90),lookups!I:J,2,FALSE)</f>
        <v>#N/A</v>
      </c>
      <c r="P90" s="84" t="e">
        <f>VLOOKUP(VALUE($S90),lookups!F:G,2,FALSE)</f>
        <v>#N/A</v>
      </c>
      <c r="Q90" s="84" t="str">
        <f t="shared" si="4"/>
        <v/>
      </c>
      <c r="R90" s="84">
        <f t="shared" si="5"/>
        <v>216552</v>
      </c>
      <c r="S90" s="84">
        <f t="shared" si="6"/>
        <v>336108</v>
      </c>
      <c r="T90" s="84">
        <f t="shared" si="7"/>
        <v>336110</v>
      </c>
    </row>
    <row r="91" spans="1:22" x14ac:dyDescent="0.3">
      <c r="A91" s="96"/>
      <c r="B91" s="84">
        <v>336109</v>
      </c>
      <c r="C91" s="85">
        <v>336108</v>
      </c>
      <c r="D91" s="84" t="s">
        <v>6</v>
      </c>
      <c r="E91" s="84" t="s">
        <v>7</v>
      </c>
      <c r="F91" s="86" t="s">
        <v>790</v>
      </c>
      <c r="G91" s="87" t="s">
        <v>8</v>
      </c>
      <c r="H91" s="87">
        <v>2</v>
      </c>
      <c r="I91" s="105"/>
      <c r="J91" s="105"/>
      <c r="K91" s="105" t="s">
        <v>1614</v>
      </c>
      <c r="L91" s="84" t="s">
        <v>8</v>
      </c>
      <c r="M91" s="88" t="str">
        <f>VLOOKUP(L91,lookups!B:C,2,FALSE)</f>
        <v>TBD</v>
      </c>
      <c r="N91" s="89" t="str">
        <f>VLOOKUP(K91,TeamLookup[],2,0)</f>
        <v>Cyber</v>
      </c>
      <c r="O91" s="84" t="e">
        <f>VLOOKUP(VALUE($S91),lookups!I:J,2,FALSE)</f>
        <v>#N/A</v>
      </c>
      <c r="P91" s="84" t="e">
        <f>VLOOKUP(VALUE($S91),lookups!F:G,2,FALSE)</f>
        <v>#N/A</v>
      </c>
      <c r="Q91" s="84" t="str">
        <f t="shared" si="4"/>
        <v/>
      </c>
      <c r="R91" s="84">
        <f t="shared" si="5"/>
        <v>216552</v>
      </c>
      <c r="S91" s="84">
        <f t="shared" si="6"/>
        <v>336108</v>
      </c>
      <c r="T91" s="84">
        <f t="shared" si="7"/>
        <v>336109</v>
      </c>
    </row>
    <row r="92" spans="1:22" x14ac:dyDescent="0.3">
      <c r="B92" s="84">
        <v>378107</v>
      </c>
      <c r="C92" s="85">
        <v>354169</v>
      </c>
      <c r="D92" s="84" t="s">
        <v>6</v>
      </c>
      <c r="E92" s="84" t="s">
        <v>345</v>
      </c>
      <c r="F92" s="86" t="s">
        <v>542</v>
      </c>
      <c r="G92" s="87" t="s">
        <v>543</v>
      </c>
      <c r="H92" s="87">
        <v>3</v>
      </c>
      <c r="I92" s="105"/>
      <c r="J92" s="105"/>
      <c r="K92" s="89" t="s">
        <v>1614</v>
      </c>
      <c r="L92" s="84" t="s">
        <v>125</v>
      </c>
      <c r="M92" s="88" t="str">
        <f>VLOOKUP(L92,lookups!B:C,2,FALSE)</f>
        <v>Dave C</v>
      </c>
      <c r="N92" s="89" t="str">
        <f>VLOOKUP(K92,TeamLookup[],2,0)</f>
        <v>Cyber</v>
      </c>
      <c r="O92" s="84" t="e">
        <f>VLOOKUP(VALUE($S92),lookups!I:J,2,FALSE)</f>
        <v>#N/A</v>
      </c>
      <c r="P92" s="84" t="e">
        <f>VLOOKUP(VALUE($S92),lookups!F:G,2,FALSE)</f>
        <v>#N/A</v>
      </c>
      <c r="Q92" s="84" t="str">
        <f t="shared" si="4"/>
        <v/>
      </c>
      <c r="R92" s="84">
        <f t="shared" si="5"/>
        <v>216552</v>
      </c>
      <c r="S92" s="84">
        <f t="shared" si="6"/>
        <v>354169</v>
      </c>
      <c r="T92" s="84">
        <f t="shared" si="7"/>
        <v>378107</v>
      </c>
    </row>
    <row r="93" spans="1:22" x14ac:dyDescent="0.3">
      <c r="A93" s="96"/>
      <c r="B93" s="84">
        <v>376941</v>
      </c>
      <c r="C93" s="85">
        <v>354169</v>
      </c>
      <c r="D93" s="84" t="s">
        <v>6</v>
      </c>
      <c r="E93" s="84" t="s">
        <v>345</v>
      </c>
      <c r="F93" s="86" t="s">
        <v>549</v>
      </c>
      <c r="G93" s="87" t="s">
        <v>508</v>
      </c>
      <c r="H93" s="87">
        <v>5</v>
      </c>
      <c r="I93" s="89"/>
      <c r="J93" s="89"/>
      <c r="K93" s="89" t="s">
        <v>1614</v>
      </c>
      <c r="L93" s="84" t="s">
        <v>88</v>
      </c>
      <c r="M93" s="88" t="str">
        <f>VLOOKUP(L93,lookups!B:C,2,FALSE)</f>
        <v>Will</v>
      </c>
      <c r="N93" s="89" t="str">
        <f>VLOOKUP(K93,TeamLookup[],2,0)</f>
        <v>Cyber</v>
      </c>
      <c r="O93" s="84" t="e">
        <f>VLOOKUP(VALUE($S93),lookups!I:J,2,FALSE)</f>
        <v>#N/A</v>
      </c>
      <c r="P93" s="84" t="e">
        <f>VLOOKUP(VALUE($S93),lookups!F:G,2,FALSE)</f>
        <v>#N/A</v>
      </c>
      <c r="Q93" s="84" t="str">
        <f t="shared" si="4"/>
        <v/>
      </c>
      <c r="R93" s="84">
        <f t="shared" si="5"/>
        <v>216552</v>
      </c>
      <c r="S93" s="84">
        <f t="shared" si="6"/>
        <v>354169</v>
      </c>
      <c r="T93" s="84">
        <f t="shared" si="7"/>
        <v>376941</v>
      </c>
    </row>
    <row r="94" spans="1:22" x14ac:dyDescent="0.3">
      <c r="A94" s="96"/>
      <c r="B94" s="84">
        <v>371627</v>
      </c>
      <c r="C94" s="85">
        <v>354169</v>
      </c>
      <c r="D94" s="84" t="s">
        <v>6</v>
      </c>
      <c r="E94" s="84" t="s">
        <v>345</v>
      </c>
      <c r="F94" s="86" t="s">
        <v>580</v>
      </c>
      <c r="G94" s="87" t="s">
        <v>508</v>
      </c>
      <c r="H94" s="87">
        <v>1</v>
      </c>
      <c r="I94" s="84"/>
      <c r="J94" s="84"/>
      <c r="K94" s="84" t="s">
        <v>1614</v>
      </c>
      <c r="L94" s="84" t="s">
        <v>121</v>
      </c>
      <c r="M94" s="88" t="str">
        <f>VLOOKUP(L94,lookups!B:C,2,FALSE)</f>
        <v>Tony</v>
      </c>
      <c r="N94" s="89" t="str">
        <f>VLOOKUP(K94,TeamLookup[],2,0)</f>
        <v>Cyber</v>
      </c>
      <c r="O94" s="84" t="e">
        <f>VLOOKUP(VALUE($S94),lookups!I:J,2,FALSE)</f>
        <v>#N/A</v>
      </c>
      <c r="P94" s="84" t="e">
        <f>VLOOKUP(VALUE($S94),lookups!F:G,2,FALSE)</f>
        <v>#N/A</v>
      </c>
      <c r="Q94" s="84" t="str">
        <f t="shared" si="4"/>
        <v/>
      </c>
      <c r="R94" s="84">
        <f t="shared" si="5"/>
        <v>216552</v>
      </c>
      <c r="S94" s="84">
        <f t="shared" si="6"/>
        <v>354169</v>
      </c>
      <c r="T94" s="84">
        <f t="shared" si="7"/>
        <v>371627</v>
      </c>
    </row>
    <row r="95" spans="1:22" ht="28.8" x14ac:dyDescent="0.3">
      <c r="B95" s="84">
        <v>371629</v>
      </c>
      <c r="C95" s="85">
        <v>354169</v>
      </c>
      <c r="D95" s="84" t="s">
        <v>6</v>
      </c>
      <c r="E95" s="84" t="s">
        <v>345</v>
      </c>
      <c r="F95" s="86" t="s">
        <v>578</v>
      </c>
      <c r="G95" s="87" t="s">
        <v>482</v>
      </c>
      <c r="H95" s="103">
        <v>1</v>
      </c>
      <c r="I95" s="104"/>
      <c r="J95" s="104"/>
      <c r="K95" s="116" t="s">
        <v>1614</v>
      </c>
      <c r="L95" s="107" t="s">
        <v>121</v>
      </c>
      <c r="M95" s="88" t="str">
        <f>VLOOKUP(L95,lookups!B:C,2,FALSE)</f>
        <v>Tony</v>
      </c>
      <c r="N95" s="89" t="str">
        <f>VLOOKUP(K95,TeamLookup[],2,0)</f>
        <v>Cyber</v>
      </c>
      <c r="O95" s="84" t="e">
        <f>VLOOKUP(VALUE($S95),lookups!I:J,2,FALSE)</f>
        <v>#N/A</v>
      </c>
      <c r="P95" s="84" t="e">
        <f>VLOOKUP(VALUE($S95),lookups!F:G,2,FALSE)</f>
        <v>#N/A</v>
      </c>
      <c r="Q95" s="84" t="str">
        <f t="shared" si="4"/>
        <v/>
      </c>
      <c r="R95" s="84">
        <f t="shared" si="5"/>
        <v>216552</v>
      </c>
      <c r="S95" s="84">
        <f t="shared" si="6"/>
        <v>354169</v>
      </c>
      <c r="T95" s="84">
        <f t="shared" si="7"/>
        <v>371629</v>
      </c>
    </row>
    <row r="96" spans="1:22" x14ac:dyDescent="0.3">
      <c r="B96" s="84">
        <v>371628</v>
      </c>
      <c r="C96" s="85">
        <v>354169</v>
      </c>
      <c r="D96" s="84" t="s">
        <v>6</v>
      </c>
      <c r="E96" s="84" t="s">
        <v>345</v>
      </c>
      <c r="F96" s="86" t="s">
        <v>579</v>
      </c>
      <c r="G96" s="87" t="s">
        <v>482</v>
      </c>
      <c r="H96" s="87">
        <v>1</v>
      </c>
      <c r="I96" s="84"/>
      <c r="J96" s="84"/>
      <c r="K96" s="84" t="s">
        <v>1614</v>
      </c>
      <c r="L96" s="84" t="s">
        <v>88</v>
      </c>
      <c r="M96" s="88" t="str">
        <f>VLOOKUP(L96,lookups!B:C,2,FALSE)</f>
        <v>Will</v>
      </c>
      <c r="N96" s="89" t="str">
        <f>VLOOKUP(K96,TeamLookup[],2,0)</f>
        <v>Cyber</v>
      </c>
      <c r="O96" s="84" t="e">
        <f>VLOOKUP(VALUE($S96),lookups!I:J,2,FALSE)</f>
        <v>#N/A</v>
      </c>
      <c r="P96" s="84" t="e">
        <f>VLOOKUP(VALUE($S96),lookups!F:G,2,FALSE)</f>
        <v>#N/A</v>
      </c>
      <c r="Q96" s="84" t="str">
        <f t="shared" si="4"/>
        <v/>
      </c>
      <c r="R96" s="84">
        <f t="shared" si="5"/>
        <v>216552</v>
      </c>
      <c r="S96" s="84">
        <f t="shared" si="6"/>
        <v>354169</v>
      </c>
      <c r="T96" s="84">
        <f t="shared" si="7"/>
        <v>371628</v>
      </c>
    </row>
    <row r="97" spans="1:20" ht="28.8" x14ac:dyDescent="0.3">
      <c r="B97" s="84">
        <v>371632</v>
      </c>
      <c r="C97" s="85">
        <v>354169</v>
      </c>
      <c r="D97" s="84" t="s">
        <v>6</v>
      </c>
      <c r="E97" s="84" t="s">
        <v>345</v>
      </c>
      <c r="F97" s="86" t="s">
        <v>575</v>
      </c>
      <c r="G97" s="109" t="s">
        <v>446</v>
      </c>
      <c r="H97" s="87">
        <v>2</v>
      </c>
      <c r="I97" s="89"/>
      <c r="J97" s="89"/>
      <c r="K97" s="89" t="s">
        <v>1614</v>
      </c>
      <c r="L97" s="84" t="s">
        <v>182</v>
      </c>
      <c r="M97" s="88" t="str">
        <f>VLOOKUP(L97,lookups!B:C,2,FALSE)</f>
        <v>Ted</v>
      </c>
      <c r="N97" s="89" t="str">
        <f>VLOOKUP(K97,TeamLookup[],2,0)</f>
        <v>Cyber</v>
      </c>
      <c r="O97" s="84" t="e">
        <f>VLOOKUP(VALUE($S97),lookups!I:J,2,FALSE)</f>
        <v>#N/A</v>
      </c>
      <c r="P97" s="84" t="e">
        <f>VLOOKUP(VALUE($S97),lookups!F:G,2,FALSE)</f>
        <v>#N/A</v>
      </c>
      <c r="Q97" s="84" t="str">
        <f t="shared" si="4"/>
        <v/>
      </c>
      <c r="R97" s="84">
        <f t="shared" si="5"/>
        <v>216552</v>
      </c>
      <c r="S97" s="84">
        <f t="shared" si="6"/>
        <v>354169</v>
      </c>
      <c r="T97" s="84">
        <f t="shared" si="7"/>
        <v>371632</v>
      </c>
    </row>
    <row r="98" spans="1:20" x14ac:dyDescent="0.3">
      <c r="B98" s="84">
        <v>371631</v>
      </c>
      <c r="C98" s="85">
        <v>354169</v>
      </c>
      <c r="D98" s="84" t="s">
        <v>6</v>
      </c>
      <c r="E98" s="84" t="s">
        <v>345</v>
      </c>
      <c r="F98" s="86" t="s">
        <v>576</v>
      </c>
      <c r="G98" s="109" t="s">
        <v>444</v>
      </c>
      <c r="H98" s="87">
        <v>2</v>
      </c>
      <c r="I98" s="84"/>
      <c r="J98" s="84"/>
      <c r="K98" s="84" t="s">
        <v>1614</v>
      </c>
      <c r="L98" s="84" t="s">
        <v>182</v>
      </c>
      <c r="M98" s="88" t="str">
        <f>VLOOKUP(L98,lookups!B:C,2,FALSE)</f>
        <v>Ted</v>
      </c>
      <c r="N98" s="89" t="str">
        <f>VLOOKUP(K98,TeamLookup[],2,0)</f>
        <v>Cyber</v>
      </c>
      <c r="O98" s="84" t="e">
        <f>VLOOKUP(VALUE($S98),lookups!I:J,2,FALSE)</f>
        <v>#N/A</v>
      </c>
      <c r="P98" s="84" t="e">
        <f>VLOOKUP(VALUE($S98),lookups!F:G,2,FALSE)</f>
        <v>#N/A</v>
      </c>
      <c r="Q98" s="84" t="str">
        <f t="shared" si="4"/>
        <v/>
      </c>
      <c r="R98" s="84">
        <f t="shared" si="5"/>
        <v>216552</v>
      </c>
      <c r="S98" s="84">
        <f t="shared" si="6"/>
        <v>354169</v>
      </c>
      <c r="T98" s="84">
        <f t="shared" si="7"/>
        <v>371631</v>
      </c>
    </row>
    <row r="99" spans="1:20" x14ac:dyDescent="0.3">
      <c r="B99" s="84">
        <v>371630</v>
      </c>
      <c r="C99" s="85">
        <v>354169</v>
      </c>
      <c r="D99" s="84" t="s">
        <v>6</v>
      </c>
      <c r="E99" s="88" t="s">
        <v>345</v>
      </c>
      <c r="F99" s="86" t="s">
        <v>577</v>
      </c>
      <c r="G99" s="109" t="s">
        <v>444</v>
      </c>
      <c r="H99" s="87">
        <v>2</v>
      </c>
      <c r="I99" s="89"/>
      <c r="J99" s="89"/>
      <c r="K99" s="89" t="s">
        <v>1614</v>
      </c>
      <c r="L99" s="84" t="s">
        <v>182</v>
      </c>
      <c r="M99" s="88" t="str">
        <f>VLOOKUP(L99,lookups!B:C,2,FALSE)</f>
        <v>Ted</v>
      </c>
      <c r="N99" s="89" t="str">
        <f>VLOOKUP(K99,TeamLookup[],2,0)</f>
        <v>Cyber</v>
      </c>
      <c r="O99" s="84" t="e">
        <f>VLOOKUP(VALUE($S99),lookups!I:J,2,FALSE)</f>
        <v>#N/A</v>
      </c>
      <c r="P99" s="84" t="e">
        <f>VLOOKUP(VALUE($S99),lookups!F:G,2,FALSE)</f>
        <v>#N/A</v>
      </c>
      <c r="Q99" s="84" t="str">
        <f t="shared" si="4"/>
        <v/>
      </c>
      <c r="R99" s="84">
        <f t="shared" si="5"/>
        <v>216552</v>
      </c>
      <c r="S99" s="84">
        <f t="shared" si="6"/>
        <v>354169</v>
      </c>
      <c r="T99" s="84">
        <f t="shared" si="7"/>
        <v>371630</v>
      </c>
    </row>
    <row r="100" spans="1:20" ht="28.8" x14ac:dyDescent="0.3">
      <c r="B100" s="84">
        <v>390574</v>
      </c>
      <c r="C100" s="85">
        <v>354169</v>
      </c>
      <c r="D100" s="84" t="s">
        <v>6</v>
      </c>
      <c r="E100" s="84" t="s">
        <v>345</v>
      </c>
      <c r="F100" s="86" t="s">
        <v>433</v>
      </c>
      <c r="G100" s="109" t="s">
        <v>434</v>
      </c>
      <c r="H100" s="87">
        <v>3</v>
      </c>
      <c r="I100" s="89"/>
      <c r="J100" s="89"/>
      <c r="K100" s="89" t="s">
        <v>1614</v>
      </c>
      <c r="L100" s="84" t="s">
        <v>107</v>
      </c>
      <c r="M100" s="88" t="str">
        <f>VLOOKUP(L100,lookups!B:C,2,FALSE)</f>
        <v>Chris</v>
      </c>
      <c r="N100" s="89" t="str">
        <f>VLOOKUP(K100,TeamLookup[],2,0)</f>
        <v>Cyber</v>
      </c>
      <c r="O100" s="84" t="e">
        <f>VLOOKUP(VALUE($S100),lookups!I:J,2,FALSE)</f>
        <v>#N/A</v>
      </c>
      <c r="P100" s="84" t="e">
        <f>VLOOKUP(VALUE($S100),lookups!F:G,2,FALSE)</f>
        <v>#N/A</v>
      </c>
      <c r="Q100" s="84" t="str">
        <f t="shared" si="4"/>
        <v/>
      </c>
      <c r="R100" s="84">
        <f t="shared" si="5"/>
        <v>216552</v>
      </c>
      <c r="S100" s="84">
        <f t="shared" si="6"/>
        <v>354169</v>
      </c>
      <c r="T100" s="84">
        <f t="shared" si="7"/>
        <v>390574</v>
      </c>
    </row>
    <row r="101" spans="1:20" x14ac:dyDescent="0.3">
      <c r="B101" s="84">
        <v>376961</v>
      </c>
      <c r="C101" s="85">
        <v>354169</v>
      </c>
      <c r="D101" s="84" t="s">
        <v>6</v>
      </c>
      <c r="E101" s="84" t="s">
        <v>345</v>
      </c>
      <c r="F101" s="86" t="s">
        <v>548</v>
      </c>
      <c r="G101" s="87" t="s">
        <v>434</v>
      </c>
      <c r="H101" s="87">
        <v>3</v>
      </c>
      <c r="I101" s="84"/>
      <c r="J101" s="84"/>
      <c r="K101" s="84" t="s">
        <v>1614</v>
      </c>
      <c r="L101" s="84" t="s">
        <v>125</v>
      </c>
      <c r="M101" s="88" t="str">
        <f>VLOOKUP(L101,lookups!B:C,2,FALSE)</f>
        <v>Dave C</v>
      </c>
      <c r="N101" s="89" t="str">
        <f>VLOOKUP(K101,TeamLookup[],2,0)</f>
        <v>Cyber</v>
      </c>
      <c r="O101" s="84" t="e">
        <f>VLOOKUP(VALUE($S101),lookups!I:J,2,FALSE)</f>
        <v>#N/A</v>
      </c>
      <c r="P101" s="84" t="e">
        <f>VLOOKUP(VALUE($S101),lookups!F:G,2,FALSE)</f>
        <v>#N/A</v>
      </c>
      <c r="Q101" s="84" t="str">
        <f t="shared" si="4"/>
        <v/>
      </c>
      <c r="R101" s="84">
        <f t="shared" si="5"/>
        <v>216552</v>
      </c>
      <c r="S101" s="84">
        <f t="shared" si="6"/>
        <v>354169</v>
      </c>
      <c r="T101" s="84">
        <f t="shared" si="7"/>
        <v>376961</v>
      </c>
    </row>
    <row r="102" spans="1:20" x14ac:dyDescent="0.3">
      <c r="B102" s="84">
        <v>371633</v>
      </c>
      <c r="C102" s="85">
        <v>354169</v>
      </c>
      <c r="D102" s="84" t="s">
        <v>6</v>
      </c>
      <c r="E102" s="84" t="s">
        <v>345</v>
      </c>
      <c r="F102" s="86" t="s">
        <v>574</v>
      </c>
      <c r="G102" s="87" t="s">
        <v>434</v>
      </c>
      <c r="H102" s="87">
        <v>3</v>
      </c>
      <c r="I102" s="89"/>
      <c r="J102" s="89"/>
      <c r="K102" s="89" t="s">
        <v>1614</v>
      </c>
      <c r="L102" s="84" t="s">
        <v>88</v>
      </c>
      <c r="M102" s="88" t="str">
        <f>VLOOKUP(L102,lookups!B:C,2,FALSE)</f>
        <v>Will</v>
      </c>
      <c r="N102" s="89" t="str">
        <f>VLOOKUP(K102,TeamLookup[],2,0)</f>
        <v>Cyber</v>
      </c>
      <c r="O102" s="84" t="e">
        <f>VLOOKUP(VALUE($S102),lookups!I:J,2,FALSE)</f>
        <v>#N/A</v>
      </c>
      <c r="P102" s="84" t="e">
        <f>VLOOKUP(VALUE($S102),lookups!F:G,2,FALSE)</f>
        <v>#N/A</v>
      </c>
      <c r="Q102" s="84" t="str">
        <f t="shared" si="4"/>
        <v/>
      </c>
      <c r="R102" s="84">
        <f t="shared" si="5"/>
        <v>216552</v>
      </c>
      <c r="S102" s="84">
        <f t="shared" si="6"/>
        <v>354169</v>
      </c>
      <c r="T102" s="84">
        <f t="shared" si="7"/>
        <v>371633</v>
      </c>
    </row>
    <row r="103" spans="1:20" x14ac:dyDescent="0.3">
      <c r="B103" s="84">
        <v>354169</v>
      </c>
      <c r="C103" s="85">
        <v>216552</v>
      </c>
      <c r="D103" s="84" t="s">
        <v>24</v>
      </c>
      <c r="E103" s="84" t="s">
        <v>345</v>
      </c>
      <c r="F103" s="86" t="s">
        <v>696</v>
      </c>
      <c r="G103" s="87" t="s">
        <v>434</v>
      </c>
      <c r="H103" s="87"/>
      <c r="I103" s="89" t="s">
        <v>48</v>
      </c>
      <c r="J103" s="89"/>
      <c r="K103" s="89" t="s">
        <v>1614</v>
      </c>
      <c r="L103" s="84" t="s">
        <v>129</v>
      </c>
      <c r="M103" s="88" t="str">
        <f>VLOOKUP(L103,lookups!B:C,2,FALSE)</f>
        <v>Derek</v>
      </c>
      <c r="N103" s="89" t="str">
        <f>VLOOKUP(K103,TeamLookup[],2,0)</f>
        <v>Cyber</v>
      </c>
      <c r="O103" s="84" t="e">
        <f>VLOOKUP(VALUE($S103),lookups!I:J,2,FALSE)</f>
        <v>#N/A</v>
      </c>
      <c r="P103" s="84" t="e">
        <f>VLOOKUP(VALUE($S103),lookups!F:G,2,FALSE)</f>
        <v>#N/A</v>
      </c>
      <c r="Q103" s="84" t="str">
        <f t="shared" si="4"/>
        <v>ParentNotInCyberQuery</v>
      </c>
      <c r="R103" s="84">
        <f t="shared" si="5"/>
        <v>216552</v>
      </c>
      <c r="S103" s="84">
        <f t="shared" si="6"/>
        <v>354169</v>
      </c>
      <c r="T103" s="84">
        <f t="shared" si="7"/>
        <v>0</v>
      </c>
    </row>
    <row r="104" spans="1:20" x14ac:dyDescent="0.3">
      <c r="B104" s="84">
        <v>354228</v>
      </c>
      <c r="C104" s="85">
        <v>216552</v>
      </c>
      <c r="D104" s="84" t="s">
        <v>24</v>
      </c>
      <c r="E104" s="84" t="s">
        <v>653</v>
      </c>
      <c r="F104" s="86" t="s">
        <v>694</v>
      </c>
      <c r="G104" s="87" t="s">
        <v>442</v>
      </c>
      <c r="H104" s="87"/>
      <c r="I104" s="84" t="s">
        <v>48</v>
      </c>
      <c r="J104" s="84"/>
      <c r="K104" s="84" t="s">
        <v>1614</v>
      </c>
      <c r="L104" s="84" t="s">
        <v>108</v>
      </c>
      <c r="M104" s="88" t="str">
        <f>VLOOKUP(L104,lookups!B:C,2,FALSE)</f>
        <v>Conan</v>
      </c>
      <c r="N104" s="89" t="str">
        <f>VLOOKUP(K104,TeamLookup[],2,0)</f>
        <v>Cyber</v>
      </c>
      <c r="O104" s="84" t="e">
        <f>VLOOKUP(VALUE($S104),lookups!I:J,2,FALSE)</f>
        <v>#N/A</v>
      </c>
      <c r="P104" s="84" t="e">
        <f>VLOOKUP(VALUE($S104),lookups!F:G,2,FALSE)</f>
        <v>#N/A</v>
      </c>
      <c r="Q104" s="84" t="str">
        <f t="shared" si="4"/>
        <v>ParentNotInCyberQuery</v>
      </c>
      <c r="R104" s="84">
        <f t="shared" si="5"/>
        <v>216552</v>
      </c>
      <c r="S104" s="84">
        <f t="shared" si="6"/>
        <v>354228</v>
      </c>
      <c r="T104" s="84">
        <f t="shared" si="7"/>
        <v>0</v>
      </c>
    </row>
    <row r="105" spans="1:20" x14ac:dyDescent="0.3">
      <c r="B105" s="84">
        <v>371503</v>
      </c>
      <c r="C105" s="85">
        <v>371502</v>
      </c>
      <c r="D105" s="84" t="s">
        <v>6</v>
      </c>
      <c r="E105" s="84" t="s">
        <v>345</v>
      </c>
      <c r="F105" s="86" t="s">
        <v>582</v>
      </c>
      <c r="G105" s="87" t="s">
        <v>543</v>
      </c>
      <c r="H105" s="87">
        <v>1</v>
      </c>
      <c r="I105" s="89"/>
      <c r="J105" s="89"/>
      <c r="K105" s="89" t="s">
        <v>1614</v>
      </c>
      <c r="L105" s="84" t="s">
        <v>107</v>
      </c>
      <c r="M105" s="88" t="str">
        <f>VLOOKUP(L105,lookups!B:C,2,FALSE)</f>
        <v>Chris</v>
      </c>
      <c r="N105" s="89" t="str">
        <f>VLOOKUP(K105,TeamLookup[],2,0)</f>
        <v>Cyber</v>
      </c>
      <c r="O105" s="84" t="e">
        <f>VLOOKUP(VALUE($S105),lookups!I:J,2,FALSE)</f>
        <v>#N/A</v>
      </c>
      <c r="P105" s="84" t="e">
        <f>VLOOKUP(VALUE($S105),lookups!F:G,2,FALSE)</f>
        <v>#N/A</v>
      </c>
      <c r="Q105" s="84" t="str">
        <f t="shared" si="4"/>
        <v/>
      </c>
      <c r="R105" s="84">
        <f t="shared" si="5"/>
        <v>216552</v>
      </c>
      <c r="S105" s="84">
        <f t="shared" si="6"/>
        <v>371502</v>
      </c>
      <c r="T105" s="84">
        <f t="shared" si="7"/>
        <v>371503</v>
      </c>
    </row>
    <row r="106" spans="1:20" ht="28.8" x14ac:dyDescent="0.3">
      <c r="B106" s="84">
        <v>387504</v>
      </c>
      <c r="C106" s="85">
        <v>371502</v>
      </c>
      <c r="D106" s="84" t="s">
        <v>6</v>
      </c>
      <c r="E106" s="84" t="s">
        <v>345</v>
      </c>
      <c r="F106" s="86" t="s">
        <v>445</v>
      </c>
      <c r="G106" s="109" t="s">
        <v>446</v>
      </c>
      <c r="H106" s="87">
        <v>1</v>
      </c>
      <c r="I106" s="84"/>
      <c r="J106" s="84"/>
      <c r="K106" s="84" t="s">
        <v>1614</v>
      </c>
      <c r="L106" s="84" t="s">
        <v>11</v>
      </c>
      <c r="M106" s="88" t="str">
        <f>VLOOKUP(L106,lookups!B:C,2,FALSE)</f>
        <v>Randy</v>
      </c>
      <c r="N106" s="89" t="str">
        <f>VLOOKUP(K106,TeamLookup[],2,0)</f>
        <v>Cyber</v>
      </c>
      <c r="O106" s="84" t="e">
        <f>VLOOKUP(VALUE($S106),lookups!I:J,2,FALSE)</f>
        <v>#N/A</v>
      </c>
      <c r="P106" s="84" t="e">
        <f>VLOOKUP(VALUE($S106),lookups!F:G,2,FALSE)</f>
        <v>#N/A</v>
      </c>
      <c r="Q106" s="84" t="str">
        <f t="shared" si="4"/>
        <v/>
      </c>
      <c r="R106" s="84">
        <f t="shared" si="5"/>
        <v>216552</v>
      </c>
      <c r="S106" s="84">
        <f t="shared" si="6"/>
        <v>371502</v>
      </c>
      <c r="T106" s="84">
        <f t="shared" si="7"/>
        <v>387504</v>
      </c>
    </row>
    <row r="107" spans="1:20" x14ac:dyDescent="0.3">
      <c r="B107" s="84">
        <v>386934</v>
      </c>
      <c r="C107" s="85">
        <v>371502</v>
      </c>
      <c r="D107" s="84" t="s">
        <v>6</v>
      </c>
      <c r="E107" s="84" t="s">
        <v>345</v>
      </c>
      <c r="F107" s="86" t="s">
        <v>449</v>
      </c>
      <c r="G107" s="87" t="s">
        <v>444</v>
      </c>
      <c r="H107" s="87">
        <v>5</v>
      </c>
      <c r="I107" s="105"/>
      <c r="J107" s="105"/>
      <c r="K107" s="89" t="s">
        <v>1614</v>
      </c>
      <c r="L107" s="84" t="s">
        <v>88</v>
      </c>
      <c r="M107" s="88" t="str">
        <f>VLOOKUP(L107,lookups!B:C,2,FALSE)</f>
        <v>Will</v>
      </c>
      <c r="N107" s="89" t="str">
        <f>VLOOKUP(K107,TeamLookup[],2,0)</f>
        <v>Cyber</v>
      </c>
      <c r="O107" s="84" t="e">
        <f>VLOOKUP(VALUE($S107),lookups!I:J,2,FALSE)</f>
        <v>#N/A</v>
      </c>
      <c r="P107" s="84" t="e">
        <f>VLOOKUP(VALUE($S107),lookups!F:G,2,FALSE)</f>
        <v>#N/A</v>
      </c>
      <c r="Q107" s="84" t="str">
        <f t="shared" si="4"/>
        <v/>
      </c>
      <c r="R107" s="84">
        <f t="shared" si="5"/>
        <v>216552</v>
      </c>
      <c r="S107" s="84">
        <f t="shared" si="6"/>
        <v>371502</v>
      </c>
      <c r="T107" s="84">
        <f t="shared" si="7"/>
        <v>386934</v>
      </c>
    </row>
    <row r="108" spans="1:20" x14ac:dyDescent="0.3">
      <c r="B108" s="84">
        <v>386932</v>
      </c>
      <c r="C108" s="85">
        <v>371502</v>
      </c>
      <c r="D108" s="84" t="s">
        <v>6</v>
      </c>
      <c r="E108" s="84" t="s">
        <v>345</v>
      </c>
      <c r="F108" s="86" t="s">
        <v>450</v>
      </c>
      <c r="G108" s="87" t="s">
        <v>444</v>
      </c>
      <c r="H108" s="87">
        <v>3</v>
      </c>
      <c r="I108" s="89"/>
      <c r="J108" s="89"/>
      <c r="K108" s="89" t="s">
        <v>1617</v>
      </c>
      <c r="L108" s="84" t="s">
        <v>169</v>
      </c>
      <c r="M108" s="88" t="str">
        <f>VLOOKUP(L108,lookups!B:C,2,FALSE)</f>
        <v>Mark K</v>
      </c>
      <c r="N108" s="89" t="str">
        <f>VLOOKUP(K108,TeamLookup[],2,0)</f>
        <v>SIC</v>
      </c>
      <c r="O108" s="84" t="e">
        <f>VLOOKUP(VALUE($S108),lookups!I:J,2,FALSE)</f>
        <v>#N/A</v>
      </c>
      <c r="P108" s="84" t="e">
        <f>VLOOKUP(VALUE($S108),lookups!F:G,2,FALSE)</f>
        <v>#N/A</v>
      </c>
      <c r="Q108" s="84" t="str">
        <f t="shared" si="4"/>
        <v/>
      </c>
      <c r="R108" s="84">
        <f t="shared" si="5"/>
        <v>216552</v>
      </c>
      <c r="S108" s="84">
        <f t="shared" si="6"/>
        <v>371502</v>
      </c>
      <c r="T108" s="84">
        <f t="shared" si="7"/>
        <v>386932</v>
      </c>
    </row>
    <row r="109" spans="1:20" x14ac:dyDescent="0.3">
      <c r="B109" s="84">
        <v>371506</v>
      </c>
      <c r="C109" s="85">
        <v>371502</v>
      </c>
      <c r="D109" s="84" t="s">
        <v>6</v>
      </c>
      <c r="E109" s="84" t="s">
        <v>345</v>
      </c>
      <c r="F109" s="86" t="s">
        <v>581</v>
      </c>
      <c r="G109" s="87" t="s">
        <v>434</v>
      </c>
      <c r="H109" s="103">
        <v>1</v>
      </c>
      <c r="I109" s="89"/>
      <c r="J109" s="89"/>
      <c r="K109" s="89" t="s">
        <v>1614</v>
      </c>
      <c r="L109" s="107" t="s">
        <v>107</v>
      </c>
      <c r="M109" s="88" t="str">
        <f>VLOOKUP(L109,lookups!B:C,2,FALSE)</f>
        <v>Chris</v>
      </c>
      <c r="N109" s="89" t="str">
        <f>VLOOKUP(K109,TeamLookup[],2,0)</f>
        <v>Cyber</v>
      </c>
      <c r="O109" s="84" t="e">
        <f>VLOOKUP(VALUE($S109),lookups!I:J,2,FALSE)</f>
        <v>#N/A</v>
      </c>
      <c r="P109" s="84" t="e">
        <f>VLOOKUP(VALUE($S109),lookups!F:G,2,FALSE)</f>
        <v>#N/A</v>
      </c>
      <c r="Q109" s="84" t="str">
        <f t="shared" si="4"/>
        <v/>
      </c>
      <c r="R109" s="84">
        <f t="shared" si="5"/>
        <v>216552</v>
      </c>
      <c r="S109" s="84">
        <f t="shared" si="6"/>
        <v>371502</v>
      </c>
      <c r="T109" s="84">
        <f t="shared" si="7"/>
        <v>371506</v>
      </c>
    </row>
    <row r="110" spans="1:20" ht="28.8" x14ac:dyDescent="0.3">
      <c r="B110" s="84">
        <v>371502</v>
      </c>
      <c r="C110" s="85">
        <v>216552</v>
      </c>
      <c r="D110" s="84" t="s">
        <v>24</v>
      </c>
      <c r="E110" s="84" t="s">
        <v>345</v>
      </c>
      <c r="F110" s="86" t="s">
        <v>583</v>
      </c>
      <c r="G110" s="87" t="s">
        <v>434</v>
      </c>
      <c r="H110" s="103"/>
      <c r="I110" s="84" t="s">
        <v>48</v>
      </c>
      <c r="J110" s="84"/>
      <c r="K110" s="84" t="s">
        <v>1614</v>
      </c>
      <c r="L110" s="107" t="s">
        <v>129</v>
      </c>
      <c r="M110" s="88" t="str">
        <f>VLOOKUP(L110,lookups!B:C,2,FALSE)</f>
        <v>Derek</v>
      </c>
      <c r="N110" s="89" t="str">
        <f>VLOOKUP(K110,TeamLookup[],2,0)</f>
        <v>Cyber</v>
      </c>
      <c r="O110" s="84" t="e">
        <f>VLOOKUP(VALUE($S110),lookups!I:J,2,FALSE)</f>
        <v>#N/A</v>
      </c>
      <c r="P110" s="84" t="e">
        <f>VLOOKUP(VALUE($S110),lookups!F:G,2,FALSE)</f>
        <v>#N/A</v>
      </c>
      <c r="Q110" s="84" t="str">
        <f t="shared" si="4"/>
        <v>ParentNotInCyberQuery</v>
      </c>
      <c r="R110" s="84">
        <f t="shared" si="5"/>
        <v>216552</v>
      </c>
      <c r="S110" s="84">
        <f t="shared" si="6"/>
        <v>371502</v>
      </c>
      <c r="T110" s="84">
        <f t="shared" si="7"/>
        <v>0</v>
      </c>
    </row>
    <row r="111" spans="1:20" x14ac:dyDescent="0.3">
      <c r="B111" s="84">
        <v>376308</v>
      </c>
      <c r="C111" s="85">
        <v>372921</v>
      </c>
      <c r="D111" s="84" t="s">
        <v>6</v>
      </c>
      <c r="E111" s="84" t="s">
        <v>345</v>
      </c>
      <c r="F111" s="86" t="s">
        <v>554</v>
      </c>
      <c r="G111" s="109" t="s">
        <v>543</v>
      </c>
      <c r="H111" s="87">
        <v>5</v>
      </c>
      <c r="I111" s="89"/>
      <c r="J111" s="89"/>
      <c r="K111" s="89" t="s">
        <v>1614</v>
      </c>
      <c r="L111" s="84" t="s">
        <v>11</v>
      </c>
      <c r="M111" s="88" t="str">
        <f>VLOOKUP(L111,lookups!B:C,2,FALSE)</f>
        <v>Randy</v>
      </c>
      <c r="N111" s="89" t="str">
        <f>VLOOKUP(K111,TeamLookup[],2,0)</f>
        <v>Cyber</v>
      </c>
      <c r="O111" s="84">
        <f>VLOOKUP(VALUE($S111),lookups!I:J,2,FALSE)</f>
        <v>11</v>
      </c>
      <c r="P111" s="84" t="e">
        <f>VLOOKUP(VALUE($S111),lookups!F:G,2,FALSE)</f>
        <v>#N/A</v>
      </c>
      <c r="Q111" s="84" t="str">
        <f t="shared" si="4"/>
        <v/>
      </c>
      <c r="R111" s="84">
        <f t="shared" si="5"/>
        <v>216552</v>
      </c>
      <c r="S111" s="84">
        <f t="shared" si="6"/>
        <v>372921</v>
      </c>
      <c r="T111" s="84">
        <f t="shared" si="7"/>
        <v>376308</v>
      </c>
    </row>
    <row r="112" spans="1:20" ht="28.8" x14ac:dyDescent="0.3">
      <c r="A112" s="96"/>
      <c r="B112" s="84">
        <v>373094</v>
      </c>
      <c r="C112" s="85">
        <v>372921</v>
      </c>
      <c r="D112" s="84" t="s">
        <v>6</v>
      </c>
      <c r="E112" s="84" t="s">
        <v>345</v>
      </c>
      <c r="F112" s="86" t="s">
        <v>562</v>
      </c>
      <c r="G112" s="87" t="s">
        <v>543</v>
      </c>
      <c r="H112" s="87">
        <v>2</v>
      </c>
      <c r="I112" s="105"/>
      <c r="J112" s="105"/>
      <c r="K112" s="106" t="s">
        <v>1618</v>
      </c>
      <c r="L112" s="84" t="s">
        <v>108</v>
      </c>
      <c r="M112" s="88" t="str">
        <f>VLOOKUP(L112,lookups!B:C,2,FALSE)</f>
        <v>Conan</v>
      </c>
      <c r="N112" s="89" t="str">
        <f>VLOOKUP(K112,TeamLookup[],2,0)</f>
        <v>System Engineering</v>
      </c>
      <c r="O112" s="84">
        <f>VLOOKUP(VALUE($S112),lookups!I:J,2,FALSE)</f>
        <v>11</v>
      </c>
      <c r="P112" s="84" t="e">
        <f>VLOOKUP(VALUE($S112),lookups!F:G,2,FALSE)</f>
        <v>#N/A</v>
      </c>
      <c r="Q112" s="84" t="str">
        <f t="shared" si="4"/>
        <v/>
      </c>
      <c r="R112" s="84">
        <f t="shared" si="5"/>
        <v>216552</v>
      </c>
      <c r="S112" s="84">
        <f t="shared" si="6"/>
        <v>372921</v>
      </c>
      <c r="T112" s="84">
        <f t="shared" si="7"/>
        <v>373094</v>
      </c>
    </row>
    <row r="113" spans="1:24" x14ac:dyDescent="0.3">
      <c r="B113" s="84">
        <v>375821</v>
      </c>
      <c r="C113" s="85">
        <v>372921</v>
      </c>
      <c r="D113" s="84" t="s">
        <v>6</v>
      </c>
      <c r="E113" s="84" t="s">
        <v>345</v>
      </c>
      <c r="F113" s="86" t="s">
        <v>562</v>
      </c>
      <c r="G113" s="87" t="s">
        <v>541</v>
      </c>
      <c r="H113" s="87">
        <v>2</v>
      </c>
      <c r="I113" s="89"/>
      <c r="J113" s="89"/>
      <c r="K113" s="106" t="s">
        <v>1618</v>
      </c>
      <c r="L113" s="84" t="s">
        <v>108</v>
      </c>
      <c r="M113" s="88" t="str">
        <f>VLOOKUP(L113,lookups!B:C,2,FALSE)</f>
        <v>Conan</v>
      </c>
      <c r="N113" s="89" t="str">
        <f>VLOOKUP(K113,TeamLookup[],2,0)</f>
        <v>System Engineering</v>
      </c>
      <c r="O113" s="84">
        <f>VLOOKUP(VALUE($S113),lookups!I:J,2,FALSE)</f>
        <v>11</v>
      </c>
      <c r="P113" s="84" t="e">
        <f>VLOOKUP(VALUE($S113),lookups!F:G,2,FALSE)</f>
        <v>#N/A</v>
      </c>
      <c r="Q113" s="84" t="str">
        <f t="shared" si="4"/>
        <v/>
      </c>
      <c r="R113" s="84">
        <f t="shared" si="5"/>
        <v>216552</v>
      </c>
      <c r="S113" s="84">
        <f t="shared" si="6"/>
        <v>372921</v>
      </c>
      <c r="T113" s="84">
        <f t="shared" si="7"/>
        <v>375821</v>
      </c>
    </row>
    <row r="114" spans="1:24" x14ac:dyDescent="0.3">
      <c r="A114" s="138" t="s">
        <v>24</v>
      </c>
      <c r="B114" s="84">
        <v>376307</v>
      </c>
      <c r="C114" s="85">
        <v>372921</v>
      </c>
      <c r="D114" s="84" t="s">
        <v>6</v>
      </c>
      <c r="E114" s="84" t="s">
        <v>345</v>
      </c>
      <c r="F114" s="86" t="s">
        <v>555</v>
      </c>
      <c r="G114" s="87" t="s">
        <v>508</v>
      </c>
      <c r="H114" s="87">
        <v>3</v>
      </c>
      <c r="I114" s="89"/>
      <c r="J114" s="89"/>
      <c r="K114" s="105" t="s">
        <v>1614</v>
      </c>
      <c r="L114" s="84" t="s">
        <v>11</v>
      </c>
      <c r="M114" s="88" t="str">
        <f>VLOOKUP(L114,lookups!B:C,2,FALSE)</f>
        <v>Randy</v>
      </c>
      <c r="N114" s="89" t="str">
        <f>VLOOKUP(K114,TeamLookup[],2,0)</f>
        <v>Cyber</v>
      </c>
      <c r="O114" s="84">
        <f>VLOOKUP(VALUE($S114),lookups!I:J,2,FALSE)</f>
        <v>11</v>
      </c>
      <c r="P114" s="84" t="e">
        <f>VLOOKUP(VALUE($S114),lookups!F:G,2,FALSE)</f>
        <v>#N/A</v>
      </c>
      <c r="Q114" s="84" t="str">
        <f t="shared" si="4"/>
        <v/>
      </c>
      <c r="R114" s="84">
        <f t="shared" si="5"/>
        <v>216552</v>
      </c>
      <c r="S114" s="84">
        <f t="shared" si="6"/>
        <v>372921</v>
      </c>
      <c r="T114" s="84">
        <f t="shared" si="7"/>
        <v>376307</v>
      </c>
      <c r="W114" s="94"/>
      <c r="X114" s="94"/>
    </row>
    <row r="115" spans="1:24" x14ac:dyDescent="0.3">
      <c r="B115" s="84">
        <v>382486</v>
      </c>
      <c r="C115" s="85">
        <v>372921</v>
      </c>
      <c r="D115" s="84" t="s">
        <v>6</v>
      </c>
      <c r="E115" s="84" t="s">
        <v>345</v>
      </c>
      <c r="F115" s="86" t="s">
        <v>484</v>
      </c>
      <c r="G115" s="87" t="s">
        <v>482</v>
      </c>
      <c r="H115" s="87">
        <v>2</v>
      </c>
      <c r="I115" s="84"/>
      <c r="J115" s="84"/>
      <c r="K115" s="84" t="s">
        <v>1614</v>
      </c>
      <c r="L115" s="84" t="s">
        <v>11</v>
      </c>
      <c r="M115" s="88" t="str">
        <f>VLOOKUP(L115,lookups!B:C,2,FALSE)</f>
        <v>Randy</v>
      </c>
      <c r="N115" s="89" t="str">
        <f>VLOOKUP(K115,TeamLookup[],2,0)</f>
        <v>Cyber</v>
      </c>
      <c r="O115" s="84">
        <f>VLOOKUP(VALUE($S115),lookups!I:J,2,FALSE)</f>
        <v>11</v>
      </c>
      <c r="P115" s="84" t="e">
        <f>VLOOKUP(VALUE($S115),lookups!F:G,2,FALSE)</f>
        <v>#N/A</v>
      </c>
      <c r="Q115" s="84" t="str">
        <f t="shared" si="4"/>
        <v/>
      </c>
      <c r="R115" s="84">
        <f t="shared" si="5"/>
        <v>216552</v>
      </c>
      <c r="S115" s="84">
        <f t="shared" si="6"/>
        <v>372921</v>
      </c>
      <c r="T115" s="84">
        <f t="shared" si="7"/>
        <v>382486</v>
      </c>
    </row>
    <row r="116" spans="1:24" x14ac:dyDescent="0.3">
      <c r="B116" s="84">
        <v>375823</v>
      </c>
      <c r="C116" s="85">
        <v>372921</v>
      </c>
      <c r="D116" s="84" t="s">
        <v>6</v>
      </c>
      <c r="E116" s="84" t="s">
        <v>345</v>
      </c>
      <c r="F116" s="86" t="s">
        <v>562</v>
      </c>
      <c r="G116" s="87" t="s">
        <v>482</v>
      </c>
      <c r="H116" s="87">
        <v>1</v>
      </c>
      <c r="I116" s="84"/>
      <c r="J116" s="84"/>
      <c r="K116" s="84" t="s">
        <v>1618</v>
      </c>
      <c r="L116" s="84" t="s">
        <v>108</v>
      </c>
      <c r="M116" s="88" t="str">
        <f>VLOOKUP(L116,lookups!B:C,2,FALSE)</f>
        <v>Conan</v>
      </c>
      <c r="N116" s="89" t="str">
        <f>VLOOKUP(K116,TeamLookup[],2,0)</f>
        <v>System Engineering</v>
      </c>
      <c r="O116" s="84">
        <f>VLOOKUP(VALUE($S116),lookups!I:J,2,FALSE)</f>
        <v>11</v>
      </c>
      <c r="P116" s="84" t="e">
        <f>VLOOKUP(VALUE($S116),lookups!F:G,2,FALSE)</f>
        <v>#N/A</v>
      </c>
      <c r="Q116" s="84" t="str">
        <f t="shared" si="4"/>
        <v/>
      </c>
      <c r="R116" s="84">
        <f t="shared" si="5"/>
        <v>216552</v>
      </c>
      <c r="S116" s="84">
        <f t="shared" si="6"/>
        <v>372921</v>
      </c>
      <c r="T116" s="84">
        <f t="shared" si="7"/>
        <v>375823</v>
      </c>
    </row>
    <row r="117" spans="1:24" x14ac:dyDescent="0.3">
      <c r="B117" s="84">
        <v>375822</v>
      </c>
      <c r="C117" s="85">
        <v>372921</v>
      </c>
      <c r="D117" s="84" t="s">
        <v>6</v>
      </c>
      <c r="E117" s="84" t="s">
        <v>345</v>
      </c>
      <c r="F117" s="86" t="s">
        <v>562</v>
      </c>
      <c r="G117" s="87" t="s">
        <v>482</v>
      </c>
      <c r="H117" s="87">
        <v>1</v>
      </c>
      <c r="I117" s="89"/>
      <c r="J117" s="89"/>
      <c r="K117" s="89" t="s">
        <v>1618</v>
      </c>
      <c r="L117" s="84" t="s">
        <v>108</v>
      </c>
      <c r="M117" s="88" t="str">
        <f>VLOOKUP(L117,lookups!B:C,2,FALSE)</f>
        <v>Conan</v>
      </c>
      <c r="N117" s="89" t="str">
        <f>VLOOKUP(K117,TeamLookup[],2,0)</f>
        <v>System Engineering</v>
      </c>
      <c r="O117" s="84">
        <f>VLOOKUP(VALUE($S117),lookups!I:J,2,FALSE)</f>
        <v>11</v>
      </c>
      <c r="P117" s="84" t="e">
        <f>VLOOKUP(VALUE($S117),lookups!F:G,2,FALSE)</f>
        <v>#N/A</v>
      </c>
      <c r="Q117" s="84" t="str">
        <f t="shared" si="4"/>
        <v/>
      </c>
      <c r="R117" s="84">
        <f t="shared" si="5"/>
        <v>216552</v>
      </c>
      <c r="S117" s="84">
        <f t="shared" si="6"/>
        <v>372921</v>
      </c>
      <c r="T117" s="84">
        <f t="shared" si="7"/>
        <v>375822</v>
      </c>
    </row>
    <row r="118" spans="1:24" x14ac:dyDescent="0.3">
      <c r="B118" s="84">
        <v>375825</v>
      </c>
      <c r="C118" s="85">
        <v>372921</v>
      </c>
      <c r="D118" s="84" t="s">
        <v>6</v>
      </c>
      <c r="E118" s="84" t="s">
        <v>345</v>
      </c>
      <c r="F118" s="86" t="s">
        <v>562</v>
      </c>
      <c r="G118" s="87" t="s">
        <v>446</v>
      </c>
      <c r="H118" s="87">
        <v>1</v>
      </c>
      <c r="I118" s="84"/>
      <c r="J118" s="84"/>
      <c r="K118" s="84" t="s">
        <v>1618</v>
      </c>
      <c r="L118" s="84" t="s">
        <v>108</v>
      </c>
      <c r="M118" s="88" t="str">
        <f>VLOOKUP(L118,lookups!B:C,2,FALSE)</f>
        <v>Conan</v>
      </c>
      <c r="N118" s="89" t="str">
        <f>VLOOKUP(K118,TeamLookup[],2,0)</f>
        <v>System Engineering</v>
      </c>
      <c r="O118" s="84">
        <f>VLOOKUP(VALUE($S118),lookups!I:J,2,FALSE)</f>
        <v>11</v>
      </c>
      <c r="P118" s="84" t="e">
        <f>VLOOKUP(VALUE($S118),lookups!F:G,2,FALSE)</f>
        <v>#N/A</v>
      </c>
      <c r="Q118" s="84" t="str">
        <f t="shared" si="4"/>
        <v/>
      </c>
      <c r="R118" s="84">
        <f t="shared" si="5"/>
        <v>216552</v>
      </c>
      <c r="S118" s="84">
        <f t="shared" si="6"/>
        <v>372921</v>
      </c>
      <c r="T118" s="84">
        <f t="shared" si="7"/>
        <v>375825</v>
      </c>
    </row>
    <row r="119" spans="1:24" x14ac:dyDescent="0.3">
      <c r="B119" s="84">
        <v>375826</v>
      </c>
      <c r="C119" s="85">
        <v>372921</v>
      </c>
      <c r="D119" s="84" t="s">
        <v>6</v>
      </c>
      <c r="E119" s="84" t="s">
        <v>345</v>
      </c>
      <c r="F119" s="86" t="s">
        <v>562</v>
      </c>
      <c r="G119" s="87" t="s">
        <v>444</v>
      </c>
      <c r="H119" s="87">
        <v>1</v>
      </c>
      <c r="I119" s="89"/>
      <c r="J119" s="89"/>
      <c r="K119" s="89" t="s">
        <v>1618</v>
      </c>
      <c r="L119" s="84" t="s">
        <v>108</v>
      </c>
      <c r="M119" s="88" t="str">
        <f>VLOOKUP(L119,lookups!B:C,2,FALSE)</f>
        <v>Conan</v>
      </c>
      <c r="N119" s="89" t="str">
        <f>VLOOKUP(K119,TeamLookup[],2,0)</f>
        <v>System Engineering</v>
      </c>
      <c r="O119" s="84">
        <f>VLOOKUP(VALUE($S119),lookups!I:J,2,FALSE)</f>
        <v>11</v>
      </c>
      <c r="P119" s="84" t="e">
        <f>VLOOKUP(VALUE($S119),lookups!F:G,2,FALSE)</f>
        <v>#N/A</v>
      </c>
      <c r="Q119" s="84" t="str">
        <f t="shared" si="4"/>
        <v/>
      </c>
      <c r="R119" s="84">
        <f t="shared" si="5"/>
        <v>216552</v>
      </c>
      <c r="S119" s="84">
        <f t="shared" si="6"/>
        <v>372921</v>
      </c>
      <c r="T119" s="84">
        <f t="shared" si="7"/>
        <v>375826</v>
      </c>
    </row>
    <row r="120" spans="1:24" x14ac:dyDescent="0.3">
      <c r="B120" s="84">
        <v>1001673</v>
      </c>
      <c r="C120" s="85">
        <v>372921</v>
      </c>
      <c r="D120" s="84" t="s">
        <v>6</v>
      </c>
      <c r="E120" s="84" t="s">
        <v>345</v>
      </c>
      <c r="F120" s="86" t="s">
        <v>280</v>
      </c>
      <c r="G120" s="87" t="s">
        <v>217</v>
      </c>
      <c r="H120" s="87">
        <v>3</v>
      </c>
      <c r="I120" s="84"/>
      <c r="J120" s="84"/>
      <c r="K120" s="84" t="s">
        <v>1614</v>
      </c>
      <c r="L120" s="84" t="s">
        <v>107</v>
      </c>
      <c r="M120" s="88" t="str">
        <f>VLOOKUP(L120,lookups!B:C,2,FALSE)</f>
        <v>Chris</v>
      </c>
      <c r="N120" s="89" t="str">
        <f>VLOOKUP(K120,TeamLookup[],2,0)</f>
        <v>Cyber</v>
      </c>
      <c r="O120" s="84">
        <f>VLOOKUP(VALUE($S120),lookups!I:J,2,FALSE)</f>
        <v>11</v>
      </c>
      <c r="P120" s="84" t="e">
        <f>VLOOKUP(VALUE($S120),lookups!F:G,2,FALSE)</f>
        <v>#N/A</v>
      </c>
      <c r="Q120" s="84" t="str">
        <f t="shared" si="4"/>
        <v/>
      </c>
      <c r="R120" s="84">
        <f t="shared" si="5"/>
        <v>216552</v>
      </c>
      <c r="S120" s="84">
        <f t="shared" si="6"/>
        <v>372921</v>
      </c>
      <c r="T120" s="84">
        <f t="shared" si="7"/>
        <v>1001673</v>
      </c>
    </row>
    <row r="121" spans="1:24" x14ac:dyDescent="0.3">
      <c r="B121" s="84">
        <v>1001658</v>
      </c>
      <c r="C121" s="85">
        <v>372921</v>
      </c>
      <c r="D121" s="84" t="s">
        <v>6</v>
      </c>
      <c r="E121" s="84" t="s">
        <v>345</v>
      </c>
      <c r="F121" s="86" t="s">
        <v>290</v>
      </c>
      <c r="G121" s="87" t="s">
        <v>217</v>
      </c>
      <c r="H121" s="103">
        <v>1</v>
      </c>
      <c r="I121" s="89"/>
      <c r="J121" s="89"/>
      <c r="K121" s="89" t="s">
        <v>1618</v>
      </c>
      <c r="L121" s="84" t="s">
        <v>108</v>
      </c>
      <c r="M121" s="88" t="str">
        <f>VLOOKUP(L121,lookups!B:C,2,FALSE)</f>
        <v>Conan</v>
      </c>
      <c r="N121" s="89" t="str">
        <f>VLOOKUP(K121,TeamLookup[],2,0)</f>
        <v>System Engineering</v>
      </c>
      <c r="O121" s="84">
        <f>VLOOKUP(VALUE($S121),lookups!I:J,2,FALSE)</f>
        <v>11</v>
      </c>
      <c r="P121" s="84" t="e">
        <f>VLOOKUP(VALUE($S121),lookups!F:G,2,FALSE)</f>
        <v>#N/A</v>
      </c>
      <c r="Q121" s="84" t="str">
        <f t="shared" si="4"/>
        <v/>
      </c>
      <c r="R121" s="84">
        <f t="shared" si="5"/>
        <v>216552</v>
      </c>
      <c r="S121" s="84">
        <f t="shared" si="6"/>
        <v>372921</v>
      </c>
      <c r="T121" s="84">
        <f t="shared" si="7"/>
        <v>1001658</v>
      </c>
    </row>
    <row r="122" spans="1:24" x14ac:dyDescent="0.3">
      <c r="B122" s="84">
        <v>1011049</v>
      </c>
      <c r="C122" s="85">
        <v>372921</v>
      </c>
      <c r="D122" s="84" t="s">
        <v>6</v>
      </c>
      <c r="E122" s="84" t="s">
        <v>345</v>
      </c>
      <c r="F122" s="86" t="s">
        <v>1382</v>
      </c>
      <c r="G122" s="109" t="s">
        <v>267</v>
      </c>
      <c r="H122" s="87">
        <v>3</v>
      </c>
      <c r="I122" s="84"/>
      <c r="J122" s="84"/>
      <c r="K122" s="84" t="s">
        <v>1614</v>
      </c>
      <c r="L122" s="84" t="s">
        <v>107</v>
      </c>
      <c r="M122" s="88" t="str">
        <f>VLOOKUP(L122,lookups!B:C,2,FALSE)</f>
        <v>Chris</v>
      </c>
      <c r="N122" s="89" t="str">
        <f>VLOOKUP(K122,TeamLookup[],2,0)</f>
        <v>Cyber</v>
      </c>
      <c r="O122" s="84">
        <f>VLOOKUP(VALUE($S122),lookups!I:J,2,FALSE)</f>
        <v>11</v>
      </c>
      <c r="P122" s="84" t="e">
        <f>VLOOKUP(VALUE($S122),lookups!F:G,2,FALSE)</f>
        <v>#N/A</v>
      </c>
      <c r="Q122" s="84" t="str">
        <f t="shared" si="4"/>
        <v/>
      </c>
      <c r="R122" s="84">
        <f t="shared" si="5"/>
        <v>216552</v>
      </c>
      <c r="S122" s="84">
        <f t="shared" si="6"/>
        <v>372921</v>
      </c>
      <c r="T122" s="84">
        <f t="shared" si="7"/>
        <v>1011049</v>
      </c>
    </row>
    <row r="123" spans="1:24" x14ac:dyDescent="0.3">
      <c r="B123" s="84">
        <v>1001659</v>
      </c>
      <c r="C123" s="85">
        <v>372921</v>
      </c>
      <c r="D123" s="84" t="s">
        <v>6</v>
      </c>
      <c r="E123" s="84" t="s">
        <v>345</v>
      </c>
      <c r="F123" s="86" t="s">
        <v>289</v>
      </c>
      <c r="G123" s="87" t="s">
        <v>267</v>
      </c>
      <c r="H123" s="87">
        <v>1</v>
      </c>
      <c r="I123" s="84"/>
      <c r="J123" s="84"/>
      <c r="K123" s="84" t="s">
        <v>1618</v>
      </c>
      <c r="L123" s="84" t="s">
        <v>108</v>
      </c>
      <c r="M123" s="88" t="str">
        <f>VLOOKUP(L123,lookups!B:C,2,FALSE)</f>
        <v>Conan</v>
      </c>
      <c r="N123" s="89" t="str">
        <f>VLOOKUP(K123,TeamLookup[],2,0)</f>
        <v>System Engineering</v>
      </c>
      <c r="O123" s="84">
        <f>VLOOKUP(VALUE($S123),lookups!I:J,2,FALSE)</f>
        <v>11</v>
      </c>
      <c r="P123" s="84" t="e">
        <f>VLOOKUP(VALUE($S123),lookups!F:G,2,FALSE)</f>
        <v>#N/A</v>
      </c>
      <c r="Q123" s="84" t="str">
        <f t="shared" si="4"/>
        <v/>
      </c>
      <c r="R123" s="84">
        <f t="shared" si="5"/>
        <v>216552</v>
      </c>
      <c r="S123" s="84">
        <f t="shared" si="6"/>
        <v>372921</v>
      </c>
      <c r="T123" s="84">
        <f t="shared" si="7"/>
        <v>1001659</v>
      </c>
    </row>
    <row r="124" spans="1:24" x14ac:dyDescent="0.3">
      <c r="B124" s="84">
        <v>1012780</v>
      </c>
      <c r="C124" s="85">
        <v>372921</v>
      </c>
      <c r="D124" s="84" t="s">
        <v>6</v>
      </c>
      <c r="E124" s="84" t="s">
        <v>345</v>
      </c>
      <c r="F124" s="86" t="s">
        <v>279</v>
      </c>
      <c r="G124" s="87" t="s">
        <v>265</v>
      </c>
      <c r="H124" s="87">
        <v>5</v>
      </c>
      <c r="I124" s="84"/>
      <c r="J124" s="84"/>
      <c r="K124" s="84" t="s">
        <v>1614</v>
      </c>
      <c r="L124" s="84" t="s">
        <v>107</v>
      </c>
      <c r="M124" s="88" t="str">
        <f>VLOOKUP(L124,lookups!B:C,2,FALSE)</f>
        <v>Chris</v>
      </c>
      <c r="N124" s="89" t="str">
        <f>VLOOKUP(K124,TeamLookup[],2,0)</f>
        <v>Cyber</v>
      </c>
      <c r="O124" s="84">
        <f>VLOOKUP(VALUE($S124),lookups!I:J,2,FALSE)</f>
        <v>11</v>
      </c>
      <c r="P124" s="84" t="e">
        <f>VLOOKUP(VALUE($S124),lookups!F:G,2,FALSE)</f>
        <v>#N/A</v>
      </c>
      <c r="Q124" s="84" t="str">
        <f t="shared" si="4"/>
        <v/>
      </c>
      <c r="R124" s="84">
        <f t="shared" si="5"/>
        <v>216552</v>
      </c>
      <c r="S124" s="84">
        <f t="shared" si="6"/>
        <v>372921</v>
      </c>
      <c r="T124" s="84">
        <f t="shared" si="7"/>
        <v>1012780</v>
      </c>
    </row>
    <row r="125" spans="1:24" x14ac:dyDescent="0.3">
      <c r="B125" s="84">
        <v>1001674</v>
      </c>
      <c r="C125" s="85">
        <v>372921</v>
      </c>
      <c r="D125" s="84" t="s">
        <v>6</v>
      </c>
      <c r="E125" s="84" t="s">
        <v>345</v>
      </c>
      <c r="F125" s="86" t="s">
        <v>279</v>
      </c>
      <c r="G125" s="87" t="s">
        <v>265</v>
      </c>
      <c r="H125" s="87">
        <v>3</v>
      </c>
      <c r="I125" s="89"/>
      <c r="J125" s="89"/>
      <c r="K125" s="89" t="s">
        <v>1614</v>
      </c>
      <c r="L125" s="84" t="s">
        <v>11</v>
      </c>
      <c r="M125" s="88" t="str">
        <f>VLOOKUP(L125,lookups!B:C,2,FALSE)</f>
        <v>Randy</v>
      </c>
      <c r="N125" s="89" t="str">
        <f>VLOOKUP(K125,TeamLookup[],2,0)</f>
        <v>Cyber</v>
      </c>
      <c r="O125" s="84">
        <f>VLOOKUP(VALUE($S125),lookups!I:J,2,FALSE)</f>
        <v>11</v>
      </c>
      <c r="P125" s="84" t="e">
        <f>VLOOKUP(VALUE($S125),lookups!F:G,2,FALSE)</f>
        <v>#N/A</v>
      </c>
      <c r="Q125" s="84" t="str">
        <f t="shared" si="4"/>
        <v/>
      </c>
      <c r="R125" s="84">
        <f t="shared" si="5"/>
        <v>216552</v>
      </c>
      <c r="S125" s="84">
        <f t="shared" si="6"/>
        <v>372921</v>
      </c>
      <c r="T125" s="84">
        <f t="shared" si="7"/>
        <v>1001674</v>
      </c>
    </row>
    <row r="126" spans="1:24" x14ac:dyDescent="0.3">
      <c r="B126" s="84">
        <v>1001661</v>
      </c>
      <c r="C126" s="85">
        <v>372921</v>
      </c>
      <c r="D126" s="84" t="s">
        <v>6</v>
      </c>
      <c r="E126" s="84" t="s">
        <v>345</v>
      </c>
      <c r="F126" s="86" t="s">
        <v>288</v>
      </c>
      <c r="G126" s="87" t="s">
        <v>265</v>
      </c>
      <c r="H126" s="87">
        <v>1</v>
      </c>
      <c r="I126" s="89"/>
      <c r="J126" s="89"/>
      <c r="K126" s="89" t="s">
        <v>1618</v>
      </c>
      <c r="L126" s="84" t="s">
        <v>108</v>
      </c>
      <c r="M126" s="88" t="str">
        <f>VLOOKUP(L126,lookups!B:C,2,FALSE)</f>
        <v>Conan</v>
      </c>
      <c r="N126" s="89" t="str">
        <f>VLOOKUP(K126,TeamLookup[],2,0)</f>
        <v>System Engineering</v>
      </c>
      <c r="O126" s="84">
        <f>VLOOKUP(VALUE($S126),lookups!I:J,2,FALSE)</f>
        <v>11</v>
      </c>
      <c r="P126" s="84" t="e">
        <f>VLOOKUP(VALUE($S126),lookups!F:G,2,FALSE)</f>
        <v>#N/A</v>
      </c>
      <c r="Q126" s="84" t="str">
        <f t="shared" si="4"/>
        <v/>
      </c>
      <c r="R126" s="84">
        <f t="shared" si="5"/>
        <v>216552</v>
      </c>
      <c r="S126" s="84">
        <f t="shared" si="6"/>
        <v>372921</v>
      </c>
      <c r="T126" s="84">
        <f t="shared" si="7"/>
        <v>1001661</v>
      </c>
    </row>
    <row r="127" spans="1:24" ht="49.2" customHeight="1" x14ac:dyDescent="0.3">
      <c r="B127" s="84">
        <v>1014657</v>
      </c>
      <c r="C127" s="85">
        <v>372921</v>
      </c>
      <c r="D127" s="84" t="s">
        <v>6</v>
      </c>
      <c r="E127" s="84" t="s">
        <v>345</v>
      </c>
      <c r="F127" s="86" t="s">
        <v>302</v>
      </c>
      <c r="G127" s="87" t="s">
        <v>263</v>
      </c>
      <c r="H127" s="87">
        <v>2</v>
      </c>
      <c r="I127" s="89"/>
      <c r="J127" s="89"/>
      <c r="K127" s="89" t="s">
        <v>1614</v>
      </c>
      <c r="L127" s="84" t="s">
        <v>214</v>
      </c>
      <c r="M127" s="88" t="str">
        <f>VLOOKUP(L127,lookups!B:C,2,FALSE)</f>
        <v>Dave G</v>
      </c>
      <c r="N127" s="89" t="str">
        <f>VLOOKUP(K127,TeamLookup[],2,0)</f>
        <v>Cyber</v>
      </c>
      <c r="O127" s="84">
        <f>VLOOKUP(VALUE($S127),lookups!I:J,2,FALSE)</f>
        <v>11</v>
      </c>
      <c r="P127" s="84" t="e">
        <f>VLOOKUP(VALUE($S127),lookups!F:G,2,FALSE)</f>
        <v>#N/A</v>
      </c>
      <c r="Q127" s="84" t="str">
        <f t="shared" si="4"/>
        <v/>
      </c>
      <c r="R127" s="84">
        <f t="shared" si="5"/>
        <v>216552</v>
      </c>
      <c r="S127" s="84">
        <f t="shared" si="6"/>
        <v>372921</v>
      </c>
      <c r="T127" s="84">
        <f t="shared" si="7"/>
        <v>1014657</v>
      </c>
    </row>
    <row r="128" spans="1:24" x14ac:dyDescent="0.3">
      <c r="B128" s="84">
        <v>1008804</v>
      </c>
      <c r="C128" s="85">
        <v>372921</v>
      </c>
      <c r="D128" s="84" t="s">
        <v>6</v>
      </c>
      <c r="E128" s="84" t="s">
        <v>345</v>
      </c>
      <c r="F128" s="86" t="s">
        <v>302</v>
      </c>
      <c r="G128" s="87" t="s">
        <v>263</v>
      </c>
      <c r="H128" s="103">
        <v>3</v>
      </c>
      <c r="I128" s="105"/>
      <c r="J128" s="105"/>
      <c r="K128" s="89" t="s">
        <v>1614</v>
      </c>
      <c r="L128" s="107" t="s">
        <v>11</v>
      </c>
      <c r="M128" s="88" t="str">
        <f>VLOOKUP(L128,lookups!B:C,2,FALSE)</f>
        <v>Randy</v>
      </c>
      <c r="N128" s="89" t="str">
        <f>VLOOKUP(K128,TeamLookup[],2,0)</f>
        <v>Cyber</v>
      </c>
      <c r="O128" s="84">
        <f>VLOOKUP(VALUE($S128),lookups!I:J,2,FALSE)</f>
        <v>11</v>
      </c>
      <c r="P128" s="84" t="e">
        <f>VLOOKUP(VALUE($S128),lookups!F:G,2,FALSE)</f>
        <v>#N/A</v>
      </c>
      <c r="Q128" s="84" t="str">
        <f t="shared" si="4"/>
        <v/>
      </c>
      <c r="R128" s="84">
        <f t="shared" si="5"/>
        <v>216552</v>
      </c>
      <c r="S128" s="84">
        <f t="shared" si="6"/>
        <v>372921</v>
      </c>
      <c r="T128" s="84">
        <f t="shared" si="7"/>
        <v>1008804</v>
      </c>
    </row>
    <row r="129" spans="1:20" x14ac:dyDescent="0.3">
      <c r="B129" s="84">
        <v>1001663</v>
      </c>
      <c r="C129" s="85">
        <v>372921</v>
      </c>
      <c r="D129" s="84" t="s">
        <v>6</v>
      </c>
      <c r="E129" s="84" t="s">
        <v>345</v>
      </c>
      <c r="F129" s="86" t="s">
        <v>287</v>
      </c>
      <c r="G129" s="87" t="s">
        <v>263</v>
      </c>
      <c r="H129" s="103">
        <v>1</v>
      </c>
      <c r="I129" s="89"/>
      <c r="J129" s="89"/>
      <c r="K129" s="89" t="s">
        <v>1618</v>
      </c>
      <c r="L129" s="107" t="s">
        <v>108</v>
      </c>
      <c r="M129" s="88" t="str">
        <f>VLOOKUP(L129,lookups!B:C,2,FALSE)</f>
        <v>Conan</v>
      </c>
      <c r="N129" s="89" t="str">
        <f>VLOOKUP(K129,TeamLookup[],2,0)</f>
        <v>System Engineering</v>
      </c>
      <c r="O129" s="84">
        <f>VLOOKUP(VALUE($S129),lookups!I:J,2,FALSE)</f>
        <v>11</v>
      </c>
      <c r="P129" s="84" t="e">
        <f>VLOOKUP(VALUE($S129),lookups!F:G,2,FALSE)</f>
        <v>#N/A</v>
      </c>
      <c r="Q129" s="84" t="str">
        <f t="shared" si="4"/>
        <v/>
      </c>
      <c r="R129" s="84">
        <f t="shared" si="5"/>
        <v>216552</v>
      </c>
      <c r="S129" s="84">
        <f t="shared" si="6"/>
        <v>372921</v>
      </c>
      <c r="T129" s="84">
        <f t="shared" si="7"/>
        <v>1001663</v>
      </c>
    </row>
    <row r="130" spans="1:20" x14ac:dyDescent="0.3">
      <c r="B130" s="84">
        <v>1001675</v>
      </c>
      <c r="C130" s="85">
        <v>372921</v>
      </c>
      <c r="D130" s="84" t="s">
        <v>6</v>
      </c>
      <c r="E130" s="84" t="s">
        <v>345</v>
      </c>
      <c r="F130" s="86" t="s">
        <v>278</v>
      </c>
      <c r="G130" s="87" t="s">
        <v>262</v>
      </c>
      <c r="H130" s="103">
        <v>3</v>
      </c>
      <c r="I130" s="89"/>
      <c r="J130" s="89"/>
      <c r="K130" s="89" t="s">
        <v>1614</v>
      </c>
      <c r="L130" s="107" t="s">
        <v>11</v>
      </c>
      <c r="M130" s="88" t="str">
        <f>VLOOKUP(L130,lookups!B:C,2,FALSE)</f>
        <v>Randy</v>
      </c>
      <c r="N130" s="89" t="str">
        <f>VLOOKUP(K130,TeamLookup[],2,0)</f>
        <v>Cyber</v>
      </c>
      <c r="O130" s="84">
        <f>VLOOKUP(VALUE($S130),lookups!I:J,2,FALSE)</f>
        <v>11</v>
      </c>
      <c r="P130" s="84" t="e">
        <f>VLOOKUP(VALUE($S130),lookups!F:G,2,FALSE)</f>
        <v>#N/A</v>
      </c>
      <c r="Q130" s="84" t="str">
        <f t="shared" ref="Q130:Q193" si="8">IF($B130="","ZeroEntry",
IF($D130="Program Epic","",
IF(OR($D130="Feature",$D130="Story",$D130="Task"),
  IF($C130="","Missing_ParentEntry",
IF(ISERROR(MATCH(VALUE($C130),$B:$B,0)),"ParentNotInCyberQuery",
IF(AND($D130="Story",VLOOKUP(VALUE($C130),$B:$D,3,FALSE)&lt;&gt;"Feature"),"Warning: StoryParentIs_"&amp;VLOOKUP(VALUE($C130),$B:$D,3,FALSE)&amp;"_NotFeature",
IF(AND(OR($D130="Story",$D130="Task"),VLOOKUP(VALUE($C130),$B:$C,2,FALSE)=""),"MissingGrandparent",
IF(AND($D130="Feature",ISERROR(MATCH("#"&amp;$B130,$C:$C,0))),"FeatureHasNoStories",
IF(AND($D130="Feature",VLOOKUP(VALUE($C130),$B:$D,3,FALSE)&lt;&gt;"Program Epic"),"FeatureParentIs_"&amp;VLOOKUP(VALUE($C130),$B:$D,3,FALSE)&amp;"_NotEpic","")))))),"")))</f>
        <v/>
      </c>
      <c r="R130" s="84">
        <f t="shared" ref="R130:R193" si="9">IF(AND($Q130&lt;&gt;"FeatureHasNoStories","Warning: StoryParentIs_Program Epic_NotFeature"&lt;&gt;$Q130,$Q130&lt;&gt;"ParentNotInCyberQuery",$Q130&lt;&gt;""),$Q130,
IF($D130="Program Epic",B130,
IF($D130="Feature",VALUE($C130),
IF("Warning: StoryParentIs_Program Epic_NotFeature"=$Q130,VALUE($C130),
IF(AND($D130="Story",$Q130="ParentNotInCyberQuery"),"MT",
IF($C130=0,"N/A",
IF(OR($D130="Story",$D130="Task"),VALUE(VLOOKUP(VALUE($C130),$B:$C,2,FALSE)),"N/A")))))))</f>
        <v>216552</v>
      </c>
      <c r="S130" s="84">
        <f t="shared" ref="S130:S193" si="10">IF($D130="Program Epic",0,
IF($D130="Feature",$B130,
IF($C130=0,"NoParentFeature",VALUE($C130))))</f>
        <v>372921</v>
      </c>
      <c r="T130" s="84">
        <f t="shared" ref="T130:T193" si="11">IF(OR($D130="Story",$D130="Task"),$B130,0)</f>
        <v>1001675</v>
      </c>
    </row>
    <row r="131" spans="1:20" x14ac:dyDescent="0.3">
      <c r="B131" s="84">
        <v>1001664</v>
      </c>
      <c r="C131" s="85">
        <v>372921</v>
      </c>
      <c r="D131" s="84" t="s">
        <v>6</v>
      </c>
      <c r="E131" s="84" t="s">
        <v>345</v>
      </c>
      <c r="F131" s="86" t="s">
        <v>286</v>
      </c>
      <c r="G131" s="87" t="s">
        <v>262</v>
      </c>
      <c r="H131" s="103">
        <v>1</v>
      </c>
      <c r="I131" s="89"/>
      <c r="J131" s="89"/>
      <c r="K131" s="89" t="s">
        <v>1618</v>
      </c>
      <c r="L131" s="107" t="s">
        <v>108</v>
      </c>
      <c r="M131" s="88" t="str">
        <f>VLOOKUP(L131,lookups!B:C,2,FALSE)</f>
        <v>Conan</v>
      </c>
      <c r="N131" s="89" t="str">
        <f>VLOOKUP(K131,TeamLookup[],2,0)</f>
        <v>System Engineering</v>
      </c>
      <c r="O131" s="84">
        <f>VLOOKUP(VALUE($S131),lookups!I:J,2,FALSE)</f>
        <v>11</v>
      </c>
      <c r="P131" s="84" t="e">
        <f>VLOOKUP(VALUE($S131),lookups!F:G,2,FALSE)</f>
        <v>#N/A</v>
      </c>
      <c r="Q131" s="84" t="str">
        <f t="shared" si="8"/>
        <v/>
      </c>
      <c r="R131" s="84">
        <f t="shared" si="9"/>
        <v>216552</v>
      </c>
      <c r="S131" s="84">
        <f t="shared" si="10"/>
        <v>372921</v>
      </c>
      <c r="T131" s="84">
        <f t="shared" si="11"/>
        <v>1001664</v>
      </c>
    </row>
    <row r="132" spans="1:20" x14ac:dyDescent="0.3">
      <c r="B132" s="84">
        <v>1019215</v>
      </c>
      <c r="C132" s="85">
        <v>372921</v>
      </c>
      <c r="D132" s="84" t="s">
        <v>6</v>
      </c>
      <c r="E132" s="84" t="s">
        <v>345</v>
      </c>
      <c r="F132" s="86" t="s">
        <v>1415</v>
      </c>
      <c r="G132" s="87" t="s">
        <v>260</v>
      </c>
      <c r="H132" s="103">
        <v>2</v>
      </c>
      <c r="I132" s="89"/>
      <c r="J132" s="89"/>
      <c r="K132" s="89" t="s">
        <v>1614</v>
      </c>
      <c r="L132" s="107" t="s">
        <v>191</v>
      </c>
      <c r="M132" s="88" t="str">
        <f>VLOOKUP(L132,lookups!B:C,2,FALSE)</f>
        <v>Gerald V</v>
      </c>
      <c r="N132" s="89" t="str">
        <f>VLOOKUP(K132,TeamLookup[],2,0)</f>
        <v>Cyber</v>
      </c>
      <c r="O132" s="84">
        <f>VLOOKUP(VALUE($S132),lookups!I:J,2,FALSE)</f>
        <v>11</v>
      </c>
      <c r="P132" s="84" t="e">
        <f>VLOOKUP(VALUE($S132),lookups!F:G,2,FALSE)</f>
        <v>#N/A</v>
      </c>
      <c r="Q132" s="84" t="str">
        <f t="shared" si="8"/>
        <v/>
      </c>
      <c r="R132" s="84">
        <f t="shared" si="9"/>
        <v>216552</v>
      </c>
      <c r="S132" s="84">
        <f t="shared" si="10"/>
        <v>372921</v>
      </c>
      <c r="T132" s="84">
        <f t="shared" si="11"/>
        <v>1019215</v>
      </c>
    </row>
    <row r="133" spans="1:20" x14ac:dyDescent="0.3">
      <c r="B133" s="84">
        <v>1001667</v>
      </c>
      <c r="C133" s="85">
        <v>372921</v>
      </c>
      <c r="D133" s="84" t="s">
        <v>6</v>
      </c>
      <c r="E133" s="84" t="s">
        <v>345</v>
      </c>
      <c r="F133" s="86" t="s">
        <v>285</v>
      </c>
      <c r="G133" s="93" t="s">
        <v>260</v>
      </c>
      <c r="H133" s="87">
        <v>1</v>
      </c>
      <c r="I133" s="89"/>
      <c r="J133" s="89"/>
      <c r="K133" s="89" t="s">
        <v>1618</v>
      </c>
      <c r="L133" s="84" t="s">
        <v>108</v>
      </c>
      <c r="M133" s="88" t="str">
        <f>VLOOKUP(L133,lookups!B:C,2,FALSE)</f>
        <v>Conan</v>
      </c>
      <c r="N133" s="89" t="str">
        <f>VLOOKUP(K133,TeamLookup[],2,0)</f>
        <v>System Engineering</v>
      </c>
      <c r="O133" s="84">
        <f>VLOOKUP(VALUE($S133),lookups!I:J,2,FALSE)</f>
        <v>11</v>
      </c>
      <c r="P133" s="84" t="e">
        <f>VLOOKUP(VALUE($S133),lookups!F:G,2,FALSE)</f>
        <v>#N/A</v>
      </c>
      <c r="Q133" s="84" t="str">
        <f t="shared" si="8"/>
        <v/>
      </c>
      <c r="R133" s="84">
        <f t="shared" si="9"/>
        <v>216552</v>
      </c>
      <c r="S133" s="84">
        <f t="shared" si="10"/>
        <v>372921</v>
      </c>
      <c r="T133" s="84">
        <f t="shared" si="11"/>
        <v>1001667</v>
      </c>
    </row>
    <row r="134" spans="1:20" x14ac:dyDescent="0.3">
      <c r="B134" s="84">
        <v>373095</v>
      </c>
      <c r="C134" s="85">
        <v>372921</v>
      </c>
      <c r="D134" s="84" t="s">
        <v>6</v>
      </c>
      <c r="E134" s="84" t="s">
        <v>345</v>
      </c>
      <c r="F134" s="86" t="s">
        <v>1415</v>
      </c>
      <c r="G134" s="87" t="s">
        <v>260</v>
      </c>
      <c r="H134" s="87">
        <v>3</v>
      </c>
      <c r="I134" s="89"/>
      <c r="J134" s="89"/>
      <c r="K134" s="89" t="s">
        <v>1614</v>
      </c>
      <c r="L134" s="84" t="s">
        <v>11</v>
      </c>
      <c r="M134" s="88" t="str">
        <f>VLOOKUP(L134,lookups!B:C,2,FALSE)</f>
        <v>Randy</v>
      </c>
      <c r="N134" s="89" t="str">
        <f>VLOOKUP(K134,TeamLookup[],2,0)</f>
        <v>Cyber</v>
      </c>
      <c r="O134" s="84">
        <f>VLOOKUP(VALUE($S134),lookups!I:J,2,FALSE)</f>
        <v>11</v>
      </c>
      <c r="P134" s="84" t="e">
        <f>VLOOKUP(VALUE($S134),lookups!F:G,2,FALSE)</f>
        <v>#N/A</v>
      </c>
      <c r="Q134" s="84" t="str">
        <f t="shared" si="8"/>
        <v/>
      </c>
      <c r="R134" s="84">
        <f t="shared" si="9"/>
        <v>216552</v>
      </c>
      <c r="S134" s="84">
        <f t="shared" si="10"/>
        <v>372921</v>
      </c>
      <c r="T134" s="84">
        <f t="shared" si="11"/>
        <v>373095</v>
      </c>
    </row>
    <row r="135" spans="1:20" x14ac:dyDescent="0.3">
      <c r="B135" s="84">
        <v>1014652</v>
      </c>
      <c r="C135" s="85">
        <v>372921</v>
      </c>
      <c r="D135" s="84" t="s">
        <v>6</v>
      </c>
      <c r="E135" s="84" t="s">
        <v>345</v>
      </c>
      <c r="F135" s="86" t="s">
        <v>1406</v>
      </c>
      <c r="G135" s="87" t="s">
        <v>259</v>
      </c>
      <c r="H135" s="87">
        <v>5</v>
      </c>
      <c r="I135" s="89"/>
      <c r="J135" s="89"/>
      <c r="K135" s="89" t="s">
        <v>1614</v>
      </c>
      <c r="L135" s="84" t="s">
        <v>191</v>
      </c>
      <c r="M135" s="88" t="str">
        <f>VLOOKUP(L135,lookups!B:C,2,FALSE)</f>
        <v>Gerald V</v>
      </c>
      <c r="N135" s="89" t="str">
        <f>VLOOKUP(K135,TeamLookup[],2,0)</f>
        <v>Cyber</v>
      </c>
      <c r="O135" s="84">
        <f>VLOOKUP(VALUE($S135),lookups!I:J,2,FALSE)</f>
        <v>11</v>
      </c>
      <c r="P135" s="84" t="e">
        <f>VLOOKUP(VALUE($S135),lookups!F:G,2,FALSE)</f>
        <v>#N/A</v>
      </c>
      <c r="Q135" s="84" t="str">
        <f t="shared" si="8"/>
        <v/>
      </c>
      <c r="R135" s="84">
        <f t="shared" si="9"/>
        <v>216552</v>
      </c>
      <c r="S135" s="84">
        <f t="shared" si="10"/>
        <v>372921</v>
      </c>
      <c r="T135" s="84">
        <f t="shared" si="11"/>
        <v>1014652</v>
      </c>
    </row>
    <row r="136" spans="1:20" x14ac:dyDescent="0.3">
      <c r="B136" s="84">
        <v>1014651</v>
      </c>
      <c r="C136" s="85">
        <v>372921</v>
      </c>
      <c r="D136" s="84" t="s">
        <v>6</v>
      </c>
      <c r="E136" s="84" t="s">
        <v>345</v>
      </c>
      <c r="F136" s="86" t="s">
        <v>1407</v>
      </c>
      <c r="G136" s="87" t="s">
        <v>259</v>
      </c>
      <c r="H136" s="103">
        <v>2</v>
      </c>
      <c r="I136" s="89"/>
      <c r="J136" s="89"/>
      <c r="K136" s="89" t="s">
        <v>1614</v>
      </c>
      <c r="L136" s="107" t="s">
        <v>107</v>
      </c>
      <c r="M136" s="88" t="str">
        <f>VLOOKUP(L136,lookups!B:C,2,FALSE)</f>
        <v>Chris</v>
      </c>
      <c r="N136" s="89" t="str">
        <f>VLOOKUP(K136,TeamLookup[],2,0)</f>
        <v>Cyber</v>
      </c>
      <c r="O136" s="84">
        <f>VLOOKUP(VALUE($S136),lookups!I:J,2,FALSE)</f>
        <v>11</v>
      </c>
      <c r="P136" s="84" t="e">
        <f>VLOOKUP(VALUE($S136),lookups!F:G,2,FALSE)</f>
        <v>#N/A</v>
      </c>
      <c r="Q136" s="84" t="str">
        <f t="shared" si="8"/>
        <v/>
      </c>
      <c r="R136" s="84">
        <f t="shared" si="9"/>
        <v>216552</v>
      </c>
      <c r="S136" s="84">
        <f t="shared" si="10"/>
        <v>372921</v>
      </c>
      <c r="T136" s="84">
        <f t="shared" si="11"/>
        <v>1014651</v>
      </c>
    </row>
    <row r="137" spans="1:20" x14ac:dyDescent="0.3">
      <c r="B137" s="84">
        <v>1001668</v>
      </c>
      <c r="C137" s="85">
        <v>372921</v>
      </c>
      <c r="D137" s="84" t="s">
        <v>6</v>
      </c>
      <c r="E137" s="84" t="s">
        <v>345</v>
      </c>
      <c r="F137" s="86" t="s">
        <v>284</v>
      </c>
      <c r="G137" s="87" t="s">
        <v>259</v>
      </c>
      <c r="H137" s="103">
        <v>1</v>
      </c>
      <c r="I137" s="84"/>
      <c r="J137" s="84"/>
      <c r="K137" s="84" t="s">
        <v>1618</v>
      </c>
      <c r="L137" s="107" t="s">
        <v>108</v>
      </c>
      <c r="M137" s="88" t="str">
        <f>VLOOKUP(L137,lookups!B:C,2,FALSE)</f>
        <v>Conan</v>
      </c>
      <c r="N137" s="89" t="str">
        <f>VLOOKUP(K137,TeamLookup[],2,0)</f>
        <v>System Engineering</v>
      </c>
      <c r="O137" s="84">
        <f>VLOOKUP(VALUE($S137),lookups!I:J,2,FALSE)</f>
        <v>11</v>
      </c>
      <c r="P137" s="84" t="e">
        <f>VLOOKUP(VALUE($S137),lookups!F:G,2,FALSE)</f>
        <v>#N/A</v>
      </c>
      <c r="Q137" s="84" t="str">
        <f t="shared" si="8"/>
        <v/>
      </c>
      <c r="R137" s="84">
        <f t="shared" si="9"/>
        <v>216552</v>
      </c>
      <c r="S137" s="84">
        <f t="shared" si="10"/>
        <v>372921</v>
      </c>
      <c r="T137" s="84">
        <f t="shared" si="11"/>
        <v>1001668</v>
      </c>
    </row>
    <row r="138" spans="1:20" x14ac:dyDescent="0.3">
      <c r="A138" s="96"/>
      <c r="B138" s="84">
        <v>373096</v>
      </c>
      <c r="C138" s="85">
        <v>372921</v>
      </c>
      <c r="D138" s="84" t="s">
        <v>6</v>
      </c>
      <c r="E138" s="84" t="s">
        <v>345</v>
      </c>
      <c r="F138" s="86" t="s">
        <v>1406</v>
      </c>
      <c r="G138" s="87" t="s">
        <v>259</v>
      </c>
      <c r="H138" s="103">
        <v>3</v>
      </c>
      <c r="I138" s="89"/>
      <c r="J138" s="89"/>
      <c r="K138" s="89" t="s">
        <v>1614</v>
      </c>
      <c r="L138" s="107" t="s">
        <v>11</v>
      </c>
      <c r="M138" s="88" t="str">
        <f>VLOOKUP(L138,lookups!B:C,2,FALSE)</f>
        <v>Randy</v>
      </c>
      <c r="N138" s="89" t="str">
        <f>VLOOKUP(K138,TeamLookup[],2,0)</f>
        <v>Cyber</v>
      </c>
      <c r="O138" s="84">
        <f>VLOOKUP(VALUE($S138),lookups!I:J,2,FALSE)</f>
        <v>11</v>
      </c>
      <c r="P138" s="84" t="e">
        <f>VLOOKUP(VALUE($S138),lookups!F:G,2,FALSE)</f>
        <v>#N/A</v>
      </c>
      <c r="Q138" s="84" t="str">
        <f t="shared" si="8"/>
        <v/>
      </c>
      <c r="R138" s="84">
        <f t="shared" si="9"/>
        <v>216552</v>
      </c>
      <c r="S138" s="84">
        <f t="shared" si="10"/>
        <v>372921</v>
      </c>
      <c r="T138" s="84">
        <f t="shared" si="11"/>
        <v>373096</v>
      </c>
    </row>
    <row r="139" spans="1:20" x14ac:dyDescent="0.3">
      <c r="B139" s="84">
        <v>1022042</v>
      </c>
      <c r="C139" s="85">
        <v>372921</v>
      </c>
      <c r="D139" s="84" t="s">
        <v>6</v>
      </c>
      <c r="E139" s="84" t="s">
        <v>345</v>
      </c>
      <c r="F139" s="91" t="s">
        <v>1405</v>
      </c>
      <c r="G139" s="87" t="s">
        <v>256</v>
      </c>
      <c r="H139" s="103">
        <v>5</v>
      </c>
      <c r="I139" s="89"/>
      <c r="J139" s="89"/>
      <c r="K139" s="89" t="s">
        <v>1614</v>
      </c>
      <c r="L139" s="107" t="s">
        <v>191</v>
      </c>
      <c r="M139" s="88" t="str">
        <f>VLOOKUP(L139,lookups!B:C,2,FALSE)</f>
        <v>Gerald V</v>
      </c>
      <c r="N139" s="89" t="str">
        <f>VLOOKUP(K139,TeamLookup[],2,0)</f>
        <v>Cyber</v>
      </c>
      <c r="O139" s="84">
        <f>VLOOKUP(VALUE($S139),lookups!I:J,2,FALSE)</f>
        <v>11</v>
      </c>
      <c r="P139" s="84" t="e">
        <f>VLOOKUP(VALUE($S139),lookups!F:G,2,FALSE)</f>
        <v>#N/A</v>
      </c>
      <c r="Q139" s="84" t="str">
        <f t="shared" si="8"/>
        <v/>
      </c>
      <c r="R139" s="84">
        <f t="shared" si="9"/>
        <v>216552</v>
      </c>
      <c r="S139" s="84">
        <f t="shared" si="10"/>
        <v>372921</v>
      </c>
      <c r="T139" s="84">
        <f t="shared" si="11"/>
        <v>1022042</v>
      </c>
    </row>
    <row r="140" spans="1:20" x14ac:dyDescent="0.3">
      <c r="B140" s="84">
        <v>1014653</v>
      </c>
      <c r="C140" s="85">
        <v>372921</v>
      </c>
      <c r="D140" s="84" t="s">
        <v>6</v>
      </c>
      <c r="E140" s="84" t="s">
        <v>345</v>
      </c>
      <c r="F140" s="86" t="s">
        <v>1405</v>
      </c>
      <c r="G140" s="93" t="s">
        <v>256</v>
      </c>
      <c r="H140" s="87">
        <v>2</v>
      </c>
      <c r="I140" s="89"/>
      <c r="J140" s="89"/>
      <c r="K140" s="89" t="s">
        <v>1614</v>
      </c>
      <c r="L140" s="84" t="s">
        <v>214</v>
      </c>
      <c r="M140" s="88" t="str">
        <f>VLOOKUP(L140,lookups!B:C,2,FALSE)</f>
        <v>Dave G</v>
      </c>
      <c r="N140" s="89" t="str">
        <f>VLOOKUP(K140,TeamLookup[],2,0)</f>
        <v>Cyber</v>
      </c>
      <c r="O140" s="84">
        <f>VLOOKUP(VALUE($S140),lookups!I:J,2,FALSE)</f>
        <v>11</v>
      </c>
      <c r="P140" s="84" t="e">
        <f>VLOOKUP(VALUE($S140),lookups!F:G,2,FALSE)</f>
        <v>#N/A</v>
      </c>
      <c r="Q140" s="84" t="str">
        <f t="shared" si="8"/>
        <v/>
      </c>
      <c r="R140" s="84">
        <f t="shared" si="9"/>
        <v>216552</v>
      </c>
      <c r="S140" s="84">
        <f t="shared" si="10"/>
        <v>372921</v>
      </c>
      <c r="T140" s="84">
        <f t="shared" si="11"/>
        <v>1014653</v>
      </c>
    </row>
    <row r="141" spans="1:20" x14ac:dyDescent="0.3">
      <c r="B141" s="84">
        <v>1001670</v>
      </c>
      <c r="C141" s="85">
        <v>372921</v>
      </c>
      <c r="D141" s="84" t="s">
        <v>6</v>
      </c>
      <c r="E141" s="84" t="s">
        <v>345</v>
      </c>
      <c r="F141" s="86" t="s">
        <v>282</v>
      </c>
      <c r="G141" s="109" t="s">
        <v>256</v>
      </c>
      <c r="H141" s="87">
        <v>1</v>
      </c>
      <c r="I141" s="89"/>
      <c r="J141" s="89"/>
      <c r="K141" s="89" t="s">
        <v>1618</v>
      </c>
      <c r="L141" s="84" t="s">
        <v>108</v>
      </c>
      <c r="M141" s="88" t="str">
        <f>VLOOKUP(L141,lookups!B:C,2,FALSE)</f>
        <v>Conan</v>
      </c>
      <c r="N141" s="89" t="str">
        <f>VLOOKUP(K141,TeamLookup[],2,0)</f>
        <v>System Engineering</v>
      </c>
      <c r="O141" s="84">
        <f>VLOOKUP(VALUE($S141),lookups!I:J,2,FALSE)</f>
        <v>11</v>
      </c>
      <c r="P141" s="84" t="e">
        <f>VLOOKUP(VALUE($S141),lookups!F:G,2,FALSE)</f>
        <v>#N/A</v>
      </c>
      <c r="Q141" s="84" t="str">
        <f t="shared" si="8"/>
        <v/>
      </c>
      <c r="R141" s="84">
        <f t="shared" si="9"/>
        <v>216552</v>
      </c>
      <c r="S141" s="84">
        <f t="shared" si="10"/>
        <v>372921</v>
      </c>
      <c r="T141" s="84">
        <f t="shared" si="11"/>
        <v>1001670</v>
      </c>
    </row>
    <row r="142" spans="1:20" x14ac:dyDescent="0.3">
      <c r="B142" s="84">
        <v>1001669</v>
      </c>
      <c r="C142" s="85">
        <v>372921</v>
      </c>
      <c r="D142" s="84" t="s">
        <v>6</v>
      </c>
      <c r="E142" s="84" t="s">
        <v>345</v>
      </c>
      <c r="F142" s="86" t="s">
        <v>283</v>
      </c>
      <c r="G142" s="87" t="s">
        <v>256</v>
      </c>
      <c r="H142" s="87">
        <v>3</v>
      </c>
      <c r="I142" s="89"/>
      <c r="J142" s="89"/>
      <c r="K142" s="89" t="s">
        <v>1618</v>
      </c>
      <c r="L142" s="84" t="s">
        <v>108</v>
      </c>
      <c r="M142" s="88" t="str">
        <f>VLOOKUP(L142,lookups!B:C,2,FALSE)</f>
        <v>Conan</v>
      </c>
      <c r="N142" s="89" t="str">
        <f>VLOOKUP(K142,TeamLookup[],2,0)</f>
        <v>System Engineering</v>
      </c>
      <c r="O142" s="84">
        <f>VLOOKUP(VALUE($S142),lookups!I:J,2,FALSE)</f>
        <v>11</v>
      </c>
      <c r="P142" s="84" t="e">
        <f>VLOOKUP(VALUE($S142),lookups!F:G,2,FALSE)</f>
        <v>#N/A</v>
      </c>
      <c r="Q142" s="84" t="str">
        <f t="shared" si="8"/>
        <v/>
      </c>
      <c r="R142" s="84">
        <f t="shared" si="9"/>
        <v>216552</v>
      </c>
      <c r="S142" s="84">
        <f t="shared" si="10"/>
        <v>372921</v>
      </c>
      <c r="T142" s="84">
        <f t="shared" si="11"/>
        <v>1001669</v>
      </c>
    </row>
    <row r="143" spans="1:20" x14ac:dyDescent="0.3">
      <c r="A143" s="96"/>
      <c r="B143" s="84">
        <v>373097</v>
      </c>
      <c r="C143" s="85">
        <v>372921</v>
      </c>
      <c r="D143" s="84" t="s">
        <v>6</v>
      </c>
      <c r="E143" s="84" t="s">
        <v>345</v>
      </c>
      <c r="F143" s="86" t="s">
        <v>1405</v>
      </c>
      <c r="G143" s="109" t="s">
        <v>256</v>
      </c>
      <c r="H143" s="87">
        <v>3</v>
      </c>
      <c r="I143" s="89"/>
      <c r="J143" s="89"/>
      <c r="K143" s="89" t="s">
        <v>1614</v>
      </c>
      <c r="L143" s="84" t="s">
        <v>11</v>
      </c>
      <c r="M143" s="88" t="str">
        <f>VLOOKUP(L143,lookups!B:C,2,FALSE)</f>
        <v>Randy</v>
      </c>
      <c r="N143" s="89" t="str">
        <f>VLOOKUP(K143,TeamLookup[],2,0)</f>
        <v>Cyber</v>
      </c>
      <c r="O143" s="84">
        <f>VLOOKUP(VALUE($S143),lookups!I:J,2,FALSE)</f>
        <v>11</v>
      </c>
      <c r="P143" s="84" t="e">
        <f>VLOOKUP(VALUE($S143),lookups!F:G,2,FALSE)</f>
        <v>#N/A</v>
      </c>
      <c r="Q143" s="84" t="str">
        <f t="shared" si="8"/>
        <v/>
      </c>
      <c r="R143" s="84">
        <f t="shared" si="9"/>
        <v>216552</v>
      </c>
      <c r="S143" s="84">
        <f t="shared" si="10"/>
        <v>372921</v>
      </c>
      <c r="T143" s="84">
        <f t="shared" si="11"/>
        <v>373097</v>
      </c>
    </row>
    <row r="144" spans="1:20" x14ac:dyDescent="0.3">
      <c r="B144" s="84">
        <v>1022776</v>
      </c>
      <c r="C144" s="85">
        <v>372921</v>
      </c>
      <c r="D144" s="84" t="s">
        <v>6</v>
      </c>
      <c r="E144" s="84" t="s">
        <v>345</v>
      </c>
      <c r="F144" s="86" t="s">
        <v>1404</v>
      </c>
      <c r="G144" s="87" t="s">
        <v>258</v>
      </c>
      <c r="H144" s="87">
        <v>5</v>
      </c>
      <c r="I144" s="84"/>
      <c r="J144" s="84"/>
      <c r="K144" s="84" t="s">
        <v>1614</v>
      </c>
      <c r="L144" s="84" t="s">
        <v>191</v>
      </c>
      <c r="M144" s="88" t="str">
        <f>VLOOKUP(L144,lookups!B:C,2,FALSE)</f>
        <v>Gerald V</v>
      </c>
      <c r="N144" s="89" t="str">
        <f>VLOOKUP(K144,TeamLookup[],2,0)</f>
        <v>Cyber</v>
      </c>
      <c r="O144" s="84">
        <f>VLOOKUP(VALUE($S144),lookups!I:J,2,FALSE)</f>
        <v>11</v>
      </c>
      <c r="P144" s="84" t="e">
        <f>VLOOKUP(VALUE($S144),lookups!F:G,2,FALSE)</f>
        <v>#N/A</v>
      </c>
      <c r="Q144" s="84" t="str">
        <f t="shared" si="8"/>
        <v/>
      </c>
      <c r="R144" s="84">
        <f t="shared" si="9"/>
        <v>216552</v>
      </c>
      <c r="S144" s="84">
        <f t="shared" si="10"/>
        <v>372921</v>
      </c>
      <c r="T144" s="84">
        <f t="shared" si="11"/>
        <v>1022776</v>
      </c>
    </row>
    <row r="145" spans="1:20" x14ac:dyDescent="0.3">
      <c r="B145" s="84">
        <v>1014654</v>
      </c>
      <c r="C145" s="85">
        <v>372921</v>
      </c>
      <c r="D145" s="84" t="s">
        <v>6</v>
      </c>
      <c r="E145" s="84" t="s">
        <v>345</v>
      </c>
      <c r="F145" s="86" t="s">
        <v>1404</v>
      </c>
      <c r="G145" s="87" t="s">
        <v>258</v>
      </c>
      <c r="H145" s="87">
        <v>2</v>
      </c>
      <c r="I145" s="84"/>
      <c r="J145" s="84"/>
      <c r="K145" s="84" t="s">
        <v>1614</v>
      </c>
      <c r="L145" s="84" t="s">
        <v>107</v>
      </c>
      <c r="M145" s="88" t="str">
        <f>VLOOKUP(L145,lookups!B:C,2,FALSE)</f>
        <v>Chris</v>
      </c>
      <c r="N145" s="89" t="str">
        <f>VLOOKUP(K145,TeamLookup[],2,0)</f>
        <v>Cyber</v>
      </c>
      <c r="O145" s="84">
        <f>VLOOKUP(VALUE($S145),lookups!I:J,2,FALSE)</f>
        <v>11</v>
      </c>
      <c r="P145" s="84" t="e">
        <f>VLOOKUP(VALUE($S145),lookups!F:G,2,FALSE)</f>
        <v>#N/A</v>
      </c>
      <c r="Q145" s="84" t="str">
        <f t="shared" si="8"/>
        <v/>
      </c>
      <c r="R145" s="84">
        <f t="shared" si="9"/>
        <v>216552</v>
      </c>
      <c r="S145" s="84">
        <f t="shared" si="10"/>
        <v>372921</v>
      </c>
      <c r="T145" s="84">
        <f t="shared" si="11"/>
        <v>1014654</v>
      </c>
    </row>
    <row r="146" spans="1:20" x14ac:dyDescent="0.3">
      <c r="B146" s="84">
        <v>373098</v>
      </c>
      <c r="C146" s="85">
        <v>372921</v>
      </c>
      <c r="D146" s="84" t="s">
        <v>6</v>
      </c>
      <c r="E146" s="84" t="s">
        <v>345</v>
      </c>
      <c r="F146" s="86" t="s">
        <v>1404</v>
      </c>
      <c r="G146" s="87" t="s">
        <v>258</v>
      </c>
      <c r="H146" s="87">
        <v>3</v>
      </c>
      <c r="I146" s="89"/>
      <c r="J146" s="89"/>
      <c r="K146" s="89" t="s">
        <v>1614</v>
      </c>
      <c r="L146" s="84" t="s">
        <v>11</v>
      </c>
      <c r="M146" s="88" t="str">
        <f>VLOOKUP(L146,lookups!B:C,2,FALSE)</f>
        <v>Randy</v>
      </c>
      <c r="N146" s="89" t="str">
        <f>VLOOKUP(K146,TeamLookup[],2,0)</f>
        <v>Cyber</v>
      </c>
      <c r="O146" s="84">
        <f>VLOOKUP(VALUE($S146),lookups!I:J,2,FALSE)</f>
        <v>11</v>
      </c>
      <c r="P146" s="84" t="e">
        <f>VLOOKUP(VALUE($S146),lookups!F:G,2,FALSE)</f>
        <v>#N/A</v>
      </c>
      <c r="Q146" s="84" t="str">
        <f t="shared" si="8"/>
        <v/>
      </c>
      <c r="R146" s="84">
        <f t="shared" si="9"/>
        <v>216552</v>
      </c>
      <c r="S146" s="84">
        <f t="shared" si="10"/>
        <v>372921</v>
      </c>
      <c r="T146" s="84">
        <f t="shared" si="11"/>
        <v>373098</v>
      </c>
    </row>
    <row r="147" spans="1:20" x14ac:dyDescent="0.3">
      <c r="B147" s="88">
        <v>1014658</v>
      </c>
      <c r="C147" s="85">
        <v>372921</v>
      </c>
      <c r="D147" s="84" t="s">
        <v>6</v>
      </c>
      <c r="E147" s="88" t="s">
        <v>105</v>
      </c>
      <c r="F147" s="91" t="s">
        <v>1403</v>
      </c>
      <c r="G147" s="87" t="s">
        <v>257</v>
      </c>
      <c r="H147" s="87">
        <v>2</v>
      </c>
      <c r="I147" s="89"/>
      <c r="J147" s="89"/>
      <c r="K147" s="89" t="s">
        <v>1614</v>
      </c>
      <c r="L147" s="84" t="s">
        <v>214</v>
      </c>
      <c r="M147" s="88" t="str">
        <f>VLOOKUP(L147,lookups!B:C,2,FALSE)</f>
        <v>Dave G</v>
      </c>
      <c r="N147" s="89" t="str">
        <f>VLOOKUP(K147,TeamLookup[],2,0)</f>
        <v>Cyber</v>
      </c>
      <c r="O147" s="84">
        <f>VLOOKUP(VALUE($S147),lookups!I:J,2,FALSE)</f>
        <v>11</v>
      </c>
      <c r="P147" s="84" t="e">
        <f>VLOOKUP(VALUE($S147),lookups!F:G,2,FALSE)</f>
        <v>#N/A</v>
      </c>
      <c r="Q147" s="84" t="str">
        <f t="shared" si="8"/>
        <v/>
      </c>
      <c r="R147" s="84">
        <f t="shared" si="9"/>
        <v>216552</v>
      </c>
      <c r="S147" s="84">
        <f t="shared" si="10"/>
        <v>372921</v>
      </c>
      <c r="T147" s="84">
        <f t="shared" si="11"/>
        <v>1014658</v>
      </c>
    </row>
    <row r="148" spans="1:20" x14ac:dyDescent="0.3">
      <c r="A148" s="96"/>
      <c r="B148" s="84">
        <v>1014581</v>
      </c>
      <c r="C148" s="85">
        <v>372921</v>
      </c>
      <c r="D148" s="84" t="s">
        <v>6</v>
      </c>
      <c r="E148" s="84" t="s">
        <v>7</v>
      </c>
      <c r="F148" s="86" t="s">
        <v>1403</v>
      </c>
      <c r="G148" s="87" t="s">
        <v>257</v>
      </c>
      <c r="H148" s="87">
        <v>3</v>
      </c>
      <c r="I148" s="89"/>
      <c r="J148" s="89"/>
      <c r="K148" s="89" t="s">
        <v>1614</v>
      </c>
      <c r="L148" s="84" t="s">
        <v>11</v>
      </c>
      <c r="M148" s="88" t="str">
        <f>VLOOKUP(L148,lookups!B:C,2,FALSE)</f>
        <v>Randy</v>
      </c>
      <c r="N148" s="89" t="str">
        <f>VLOOKUP(K148,TeamLookup[],2,0)</f>
        <v>Cyber</v>
      </c>
      <c r="O148" s="84">
        <f>VLOOKUP(VALUE($S148),lookups!I:J,2,FALSE)</f>
        <v>11</v>
      </c>
      <c r="P148" s="84" t="e">
        <f>VLOOKUP(VALUE($S148),lookups!F:G,2,FALSE)</f>
        <v>#N/A</v>
      </c>
      <c r="Q148" s="84" t="str">
        <f t="shared" si="8"/>
        <v/>
      </c>
      <c r="R148" s="84">
        <f t="shared" si="9"/>
        <v>216552</v>
      </c>
      <c r="S148" s="84">
        <f t="shared" si="10"/>
        <v>372921</v>
      </c>
      <c r="T148" s="84">
        <f t="shared" si="11"/>
        <v>1014581</v>
      </c>
    </row>
    <row r="149" spans="1:20" x14ac:dyDescent="0.3">
      <c r="A149" s="96"/>
      <c r="B149" s="84">
        <v>1001671</v>
      </c>
      <c r="C149" s="85">
        <v>372921</v>
      </c>
      <c r="D149" s="84" t="s">
        <v>6</v>
      </c>
      <c r="E149" s="84" t="s">
        <v>7</v>
      </c>
      <c r="F149" s="86" t="s">
        <v>281</v>
      </c>
      <c r="G149" s="87" t="s">
        <v>257</v>
      </c>
      <c r="H149" s="87">
        <v>1</v>
      </c>
      <c r="I149" s="84"/>
      <c r="J149" s="84"/>
      <c r="K149" s="84" t="s">
        <v>1618</v>
      </c>
      <c r="L149" s="84" t="s">
        <v>108</v>
      </c>
      <c r="M149" s="88" t="str">
        <f>VLOOKUP(L149,lookups!B:C,2,FALSE)</f>
        <v>Conan</v>
      </c>
      <c r="N149" s="89" t="str">
        <f>VLOOKUP(K149,TeamLookup[],2,0)</f>
        <v>System Engineering</v>
      </c>
      <c r="O149" s="84">
        <f>VLOOKUP(VALUE($S149),lookups!I:J,2,FALSE)</f>
        <v>11</v>
      </c>
      <c r="P149" s="84" t="e">
        <f>VLOOKUP(VALUE($S149),lookups!F:G,2,FALSE)</f>
        <v>#N/A</v>
      </c>
      <c r="Q149" s="84" t="str">
        <f t="shared" si="8"/>
        <v/>
      </c>
      <c r="R149" s="84">
        <f t="shared" si="9"/>
        <v>216552</v>
      </c>
      <c r="S149" s="84">
        <f t="shared" si="10"/>
        <v>372921</v>
      </c>
      <c r="T149" s="84">
        <f t="shared" si="11"/>
        <v>1001671</v>
      </c>
    </row>
    <row r="150" spans="1:20" x14ac:dyDescent="0.3">
      <c r="A150" s="96"/>
      <c r="B150" s="84">
        <v>1023603</v>
      </c>
      <c r="C150" s="85">
        <v>372921</v>
      </c>
      <c r="D150" s="84" t="s">
        <v>6</v>
      </c>
      <c r="E150" s="84" t="s">
        <v>7</v>
      </c>
      <c r="F150" s="86" t="s">
        <v>1641</v>
      </c>
      <c r="G150" s="87" t="s">
        <v>1402</v>
      </c>
      <c r="H150" s="87">
        <v>5</v>
      </c>
      <c r="I150" s="89"/>
      <c r="J150" s="89"/>
      <c r="K150" s="89" t="s">
        <v>1614</v>
      </c>
      <c r="L150" s="84" t="s">
        <v>11</v>
      </c>
      <c r="M150" s="88" t="str">
        <f>VLOOKUP(L150,lookups!B:C,2,FALSE)</f>
        <v>Randy</v>
      </c>
      <c r="N150" s="89" t="str">
        <f>VLOOKUP(K150,TeamLookup[],2,0)</f>
        <v>Cyber</v>
      </c>
      <c r="O150" s="84">
        <f>VLOOKUP(VALUE($S150),lookups!I:J,2,FALSE)</f>
        <v>11</v>
      </c>
      <c r="P150" s="84" t="e">
        <f>VLOOKUP(VALUE($S150),lookups!F:G,2,FALSE)</f>
        <v>#N/A</v>
      </c>
      <c r="Q150" s="84" t="str">
        <f t="shared" si="8"/>
        <v/>
      </c>
      <c r="R150" s="84">
        <f t="shared" si="9"/>
        <v>216552</v>
      </c>
      <c r="S150" s="84">
        <f t="shared" si="10"/>
        <v>372921</v>
      </c>
      <c r="T150" s="84">
        <f t="shared" si="11"/>
        <v>1023603</v>
      </c>
    </row>
    <row r="151" spans="1:20" x14ac:dyDescent="0.3">
      <c r="B151" s="84">
        <v>1023601</v>
      </c>
      <c r="C151" s="85">
        <v>372921</v>
      </c>
      <c r="D151" s="84" t="s">
        <v>6</v>
      </c>
      <c r="E151" s="84" t="s">
        <v>7</v>
      </c>
      <c r="F151" s="86" t="s">
        <v>1643</v>
      </c>
      <c r="G151" s="109" t="s">
        <v>1402</v>
      </c>
      <c r="H151" s="87">
        <v>3</v>
      </c>
      <c r="I151" s="89"/>
      <c r="J151" s="89"/>
      <c r="K151" s="89" t="s">
        <v>1614</v>
      </c>
      <c r="L151" s="84" t="s">
        <v>108</v>
      </c>
      <c r="M151" s="88" t="str">
        <f>VLOOKUP(L151,lookups!B:C,2,FALSE)</f>
        <v>Conan</v>
      </c>
      <c r="N151" s="89" t="str">
        <f>VLOOKUP(K151,TeamLookup[],2,0)</f>
        <v>Cyber</v>
      </c>
      <c r="O151" s="84">
        <f>VLOOKUP(VALUE($S151),lookups!I:J,2,FALSE)</f>
        <v>11</v>
      </c>
      <c r="P151" s="84" t="e">
        <f>VLOOKUP(VALUE($S151),lookups!F:G,2,FALSE)</f>
        <v>#N/A</v>
      </c>
      <c r="Q151" s="84" t="str">
        <f t="shared" si="8"/>
        <v/>
      </c>
      <c r="R151" s="84">
        <f t="shared" si="9"/>
        <v>216552</v>
      </c>
      <c r="S151" s="84">
        <f t="shared" si="10"/>
        <v>372921</v>
      </c>
      <c r="T151" s="84">
        <f t="shared" si="11"/>
        <v>1023601</v>
      </c>
    </row>
    <row r="152" spans="1:20" ht="28.8" x14ac:dyDescent="0.3">
      <c r="B152" s="84">
        <v>1023604</v>
      </c>
      <c r="C152" s="85">
        <v>372921</v>
      </c>
      <c r="D152" s="84" t="s">
        <v>6</v>
      </c>
      <c r="E152" s="84" t="s">
        <v>7</v>
      </c>
      <c r="F152" s="86" t="s">
        <v>1640</v>
      </c>
      <c r="G152" s="87" t="s">
        <v>1447</v>
      </c>
      <c r="H152" s="87">
        <v>5</v>
      </c>
      <c r="I152" s="89"/>
      <c r="J152" s="89"/>
      <c r="K152" s="89" t="s">
        <v>1614</v>
      </c>
      <c r="L152" s="84" t="s">
        <v>11</v>
      </c>
      <c r="M152" s="88" t="str">
        <f>VLOOKUP(L152,lookups!B:C,2,FALSE)</f>
        <v>Randy</v>
      </c>
      <c r="N152" s="89" t="str">
        <f>VLOOKUP(K152,TeamLookup[],2,0)</f>
        <v>Cyber</v>
      </c>
      <c r="O152" s="84">
        <f>VLOOKUP(VALUE($S152),lookups!I:J,2,FALSE)</f>
        <v>11</v>
      </c>
      <c r="P152" s="84" t="e">
        <f>VLOOKUP(VALUE($S152),lookups!F:G,2,FALSE)</f>
        <v>#N/A</v>
      </c>
      <c r="Q152" s="84" t="str">
        <f t="shared" si="8"/>
        <v/>
      </c>
      <c r="R152" s="84">
        <f t="shared" si="9"/>
        <v>216552</v>
      </c>
      <c r="S152" s="84">
        <f t="shared" si="10"/>
        <v>372921</v>
      </c>
      <c r="T152" s="84">
        <f t="shared" si="11"/>
        <v>1023604</v>
      </c>
    </row>
    <row r="153" spans="1:20" ht="28.8" x14ac:dyDescent="0.3">
      <c r="B153" s="84">
        <v>1023602</v>
      </c>
      <c r="C153" s="85">
        <v>372921</v>
      </c>
      <c r="D153" s="84" t="s">
        <v>6</v>
      </c>
      <c r="E153" s="84" t="s">
        <v>7</v>
      </c>
      <c r="F153" s="86" t="s">
        <v>1642</v>
      </c>
      <c r="G153" s="87" t="s">
        <v>1447</v>
      </c>
      <c r="H153" s="87">
        <v>3</v>
      </c>
      <c r="I153" s="89"/>
      <c r="J153" s="89"/>
      <c r="K153" s="89" t="s">
        <v>1614</v>
      </c>
      <c r="L153" s="84" t="s">
        <v>108</v>
      </c>
      <c r="M153" s="88" t="str">
        <f>VLOOKUP(L153,lookups!B:C,2,FALSE)</f>
        <v>Conan</v>
      </c>
      <c r="N153" s="89" t="str">
        <f>VLOOKUP(K153,TeamLookup[],2,0)</f>
        <v>Cyber</v>
      </c>
      <c r="O153" s="84">
        <f>VLOOKUP(VALUE($S153),lookups!I:J,2,FALSE)</f>
        <v>11</v>
      </c>
      <c r="P153" s="84" t="e">
        <f>VLOOKUP(VALUE($S153),lookups!F:G,2,FALSE)</f>
        <v>#N/A</v>
      </c>
      <c r="Q153" s="84" t="str">
        <f t="shared" si="8"/>
        <v/>
      </c>
      <c r="R153" s="84">
        <f t="shared" si="9"/>
        <v>216552</v>
      </c>
      <c r="S153" s="84">
        <f t="shared" si="10"/>
        <v>372921</v>
      </c>
      <c r="T153" s="84">
        <f t="shared" si="11"/>
        <v>1023602</v>
      </c>
    </row>
    <row r="154" spans="1:20" x14ac:dyDescent="0.3">
      <c r="B154" s="84">
        <v>372921</v>
      </c>
      <c r="C154" s="85">
        <v>216552</v>
      </c>
      <c r="D154" s="84" t="s">
        <v>24</v>
      </c>
      <c r="E154" s="84" t="s">
        <v>105</v>
      </c>
      <c r="F154" s="86" t="s">
        <v>1593</v>
      </c>
      <c r="G154" s="87" t="s">
        <v>1667</v>
      </c>
      <c r="H154" s="87"/>
      <c r="I154" s="89" t="s">
        <v>48</v>
      </c>
      <c r="J154" s="89"/>
      <c r="K154" s="89" t="s">
        <v>1614</v>
      </c>
      <c r="L154" s="84" t="s">
        <v>11</v>
      </c>
      <c r="M154" s="88" t="str">
        <f>VLOOKUP(L154,lookups!B:C,2,FALSE)</f>
        <v>Randy</v>
      </c>
      <c r="N154" s="89" t="str">
        <f>VLOOKUP(K154,TeamLookup[],2,0)</f>
        <v>Cyber</v>
      </c>
      <c r="O154" s="84">
        <f>VLOOKUP(VALUE($S154),lookups!I:J,2,FALSE)</f>
        <v>11</v>
      </c>
      <c r="P154" s="84" t="e">
        <f>VLOOKUP(VALUE($S154),lookups!F:G,2,FALSE)</f>
        <v>#N/A</v>
      </c>
      <c r="Q154" s="84" t="str">
        <f t="shared" si="8"/>
        <v>ParentNotInCyberQuery</v>
      </c>
      <c r="R154" s="84">
        <f t="shared" si="9"/>
        <v>216552</v>
      </c>
      <c r="S154" s="84">
        <f t="shared" si="10"/>
        <v>372921</v>
      </c>
      <c r="T154" s="84">
        <f t="shared" si="11"/>
        <v>0</v>
      </c>
    </row>
    <row r="155" spans="1:20" x14ac:dyDescent="0.3">
      <c r="B155" s="84">
        <v>391278</v>
      </c>
      <c r="C155" s="85">
        <v>386931</v>
      </c>
      <c r="D155" s="84" t="s">
        <v>6</v>
      </c>
      <c r="E155" s="84" t="s">
        <v>345</v>
      </c>
      <c r="F155" s="86" t="s">
        <v>421</v>
      </c>
      <c r="G155" s="87" t="s">
        <v>1348</v>
      </c>
      <c r="H155" s="87">
        <v>3</v>
      </c>
      <c r="I155" s="105"/>
      <c r="J155" s="105"/>
      <c r="K155" s="106" t="s">
        <v>1616</v>
      </c>
      <c r="L155" s="84" t="s">
        <v>191</v>
      </c>
      <c r="M155" s="88" t="str">
        <f>VLOOKUP(L155,lookups!B:C,2,FALSE)</f>
        <v>Gerald V</v>
      </c>
      <c r="N155" s="89" t="str">
        <f>VLOOKUP(K155,TeamLookup[],2,0)</f>
        <v>Magic</v>
      </c>
      <c r="O155" s="84" t="e">
        <f>VLOOKUP(VALUE($S155),lookups!I:J,2,FALSE)</f>
        <v>#N/A</v>
      </c>
      <c r="P155" s="84">
        <f>VLOOKUP(VALUE($S155),lookups!F:G,2,FALSE)</f>
        <v>24</v>
      </c>
      <c r="Q155" s="84" t="str">
        <f t="shared" si="8"/>
        <v/>
      </c>
      <c r="R155" s="84">
        <f t="shared" si="9"/>
        <v>216552</v>
      </c>
      <c r="S155" s="84">
        <f t="shared" si="10"/>
        <v>386931</v>
      </c>
      <c r="T155" s="84">
        <f t="shared" si="11"/>
        <v>391278</v>
      </c>
    </row>
    <row r="156" spans="1:20" x14ac:dyDescent="0.3">
      <c r="B156" s="84">
        <v>390731</v>
      </c>
      <c r="C156" s="85">
        <v>386931</v>
      </c>
      <c r="D156" s="84" t="s">
        <v>6</v>
      </c>
      <c r="E156" s="84" t="s">
        <v>345</v>
      </c>
      <c r="F156" s="86" t="s">
        <v>432</v>
      </c>
      <c r="G156" s="87" t="s">
        <v>1348</v>
      </c>
      <c r="H156" s="87">
        <v>3</v>
      </c>
      <c r="I156" s="89"/>
      <c r="J156" s="89"/>
      <c r="K156" s="89" t="s">
        <v>1620</v>
      </c>
      <c r="L156" s="84" t="s">
        <v>128</v>
      </c>
      <c r="M156" s="88" t="str">
        <f>VLOOKUP(L156,lookups!B:C,2,FALSE)</f>
        <v>Brandon E</v>
      </c>
      <c r="N156" s="89" t="str">
        <f>VLOOKUP(K156,TeamLookup[],2,0)</f>
        <v>Okapi</v>
      </c>
      <c r="O156" s="84" t="e">
        <f>VLOOKUP(VALUE($S156),lookups!I:J,2,FALSE)</f>
        <v>#N/A</v>
      </c>
      <c r="P156" s="84">
        <f>VLOOKUP(VALUE($S156),lookups!F:G,2,FALSE)</f>
        <v>24</v>
      </c>
      <c r="Q156" s="84" t="str">
        <f t="shared" si="8"/>
        <v/>
      </c>
      <c r="R156" s="84">
        <f t="shared" si="9"/>
        <v>216552</v>
      </c>
      <c r="S156" s="84">
        <f t="shared" si="10"/>
        <v>386931</v>
      </c>
      <c r="T156" s="84">
        <f t="shared" si="11"/>
        <v>390731</v>
      </c>
    </row>
    <row r="157" spans="1:20" x14ac:dyDescent="0.3">
      <c r="B157" s="84">
        <v>386960</v>
      </c>
      <c r="C157" s="85">
        <v>386931</v>
      </c>
      <c r="D157" s="84" t="s">
        <v>6</v>
      </c>
      <c r="E157" s="84" t="s">
        <v>345</v>
      </c>
      <c r="F157" s="86" t="s">
        <v>448</v>
      </c>
      <c r="G157" s="109" t="s">
        <v>1348</v>
      </c>
      <c r="H157" s="87">
        <v>3</v>
      </c>
      <c r="I157" s="89"/>
      <c r="J157" s="89"/>
      <c r="K157" s="89" t="s">
        <v>1614</v>
      </c>
      <c r="L157" s="84" t="s">
        <v>129</v>
      </c>
      <c r="M157" s="88" t="str">
        <f>VLOOKUP(L157,lookups!B:C,2,FALSE)</f>
        <v>Derek</v>
      </c>
      <c r="N157" s="89" t="str">
        <f>VLOOKUP(K157,TeamLookup[],2,0)</f>
        <v>Cyber</v>
      </c>
      <c r="O157" s="84" t="e">
        <f>VLOOKUP(VALUE($S157),lookups!I:J,2,FALSE)</f>
        <v>#N/A</v>
      </c>
      <c r="P157" s="84">
        <f>VLOOKUP(VALUE($S157),lookups!F:G,2,FALSE)</f>
        <v>24</v>
      </c>
      <c r="Q157" s="84" t="str">
        <f t="shared" si="8"/>
        <v/>
      </c>
      <c r="R157" s="84">
        <f t="shared" si="9"/>
        <v>216552</v>
      </c>
      <c r="S157" s="84">
        <f t="shared" si="10"/>
        <v>386931</v>
      </c>
      <c r="T157" s="84">
        <f t="shared" si="11"/>
        <v>386960</v>
      </c>
    </row>
    <row r="158" spans="1:20" x14ac:dyDescent="0.3">
      <c r="B158" s="84">
        <v>391281</v>
      </c>
      <c r="C158" s="85">
        <v>386931</v>
      </c>
      <c r="D158" s="84" t="s">
        <v>6</v>
      </c>
      <c r="E158" s="84" t="s">
        <v>345</v>
      </c>
      <c r="F158" s="86" t="s">
        <v>419</v>
      </c>
      <c r="G158" s="87" t="s">
        <v>1347</v>
      </c>
      <c r="H158" s="87">
        <v>3</v>
      </c>
      <c r="I158" s="89"/>
      <c r="J158" s="89"/>
      <c r="K158" s="89" t="s">
        <v>1614</v>
      </c>
      <c r="L158" s="84" t="s">
        <v>182</v>
      </c>
      <c r="M158" s="88" t="str">
        <f>VLOOKUP(L158,lookups!B:C,2,FALSE)</f>
        <v>Ted</v>
      </c>
      <c r="N158" s="89" t="str">
        <f>VLOOKUP(K158,TeamLookup[],2,0)</f>
        <v>Cyber</v>
      </c>
      <c r="O158" s="84" t="e">
        <f>VLOOKUP(VALUE($S158),lookups!I:J,2,FALSE)</f>
        <v>#N/A</v>
      </c>
      <c r="P158" s="84">
        <f>VLOOKUP(VALUE($S158),lookups!F:G,2,FALSE)</f>
        <v>24</v>
      </c>
      <c r="Q158" s="84" t="str">
        <f t="shared" si="8"/>
        <v/>
      </c>
      <c r="R158" s="84">
        <f t="shared" si="9"/>
        <v>216552</v>
      </c>
      <c r="S158" s="84">
        <f t="shared" si="10"/>
        <v>386931</v>
      </c>
      <c r="T158" s="84">
        <f t="shared" si="11"/>
        <v>391281</v>
      </c>
    </row>
    <row r="159" spans="1:20" x14ac:dyDescent="0.3">
      <c r="B159" s="84">
        <v>391280</v>
      </c>
      <c r="C159" s="85">
        <v>386931</v>
      </c>
      <c r="D159" s="84" t="s">
        <v>6</v>
      </c>
      <c r="E159" s="84" t="s">
        <v>345</v>
      </c>
      <c r="F159" s="86" t="s">
        <v>420</v>
      </c>
      <c r="G159" s="87" t="s">
        <v>1347</v>
      </c>
      <c r="H159" s="87">
        <v>2</v>
      </c>
      <c r="I159" s="89"/>
      <c r="J159" s="89"/>
      <c r="K159" s="89" t="s">
        <v>1616</v>
      </c>
      <c r="L159" s="84" t="s">
        <v>191</v>
      </c>
      <c r="M159" s="88" t="str">
        <f>VLOOKUP(L159,lookups!B:C,2,FALSE)</f>
        <v>Gerald V</v>
      </c>
      <c r="N159" s="89" t="str">
        <f>VLOOKUP(K159,TeamLookup[],2,0)</f>
        <v>Magic</v>
      </c>
      <c r="O159" s="84" t="e">
        <f>VLOOKUP(VALUE($S159),lookups!I:J,2,FALSE)</f>
        <v>#N/A</v>
      </c>
      <c r="P159" s="84">
        <f>VLOOKUP(VALUE($S159),lookups!F:G,2,FALSE)</f>
        <v>24</v>
      </c>
      <c r="Q159" s="84" t="str">
        <f t="shared" si="8"/>
        <v/>
      </c>
      <c r="R159" s="84">
        <f t="shared" si="9"/>
        <v>216552</v>
      </c>
      <c r="S159" s="84">
        <f t="shared" si="10"/>
        <v>386931</v>
      </c>
      <c r="T159" s="84">
        <f t="shared" si="11"/>
        <v>391280</v>
      </c>
    </row>
    <row r="160" spans="1:20" x14ac:dyDescent="0.3">
      <c r="B160" s="84">
        <v>390805</v>
      </c>
      <c r="C160" s="85">
        <v>386931</v>
      </c>
      <c r="D160" s="84" t="s">
        <v>6</v>
      </c>
      <c r="E160" s="84" t="s">
        <v>345</v>
      </c>
      <c r="F160" s="86" t="s">
        <v>427</v>
      </c>
      <c r="G160" s="87" t="s">
        <v>1347</v>
      </c>
      <c r="H160" s="87">
        <v>2</v>
      </c>
      <c r="I160" s="89"/>
      <c r="J160" s="89"/>
      <c r="K160" s="89" t="s">
        <v>1620</v>
      </c>
      <c r="L160" s="84" t="s">
        <v>128</v>
      </c>
      <c r="M160" s="88" t="str">
        <f>VLOOKUP(L160,lookups!B:C,2,FALSE)</f>
        <v>Brandon E</v>
      </c>
      <c r="N160" s="89" t="str">
        <f>VLOOKUP(K160,TeamLookup[],2,0)</f>
        <v>Okapi</v>
      </c>
      <c r="O160" s="84" t="e">
        <f>VLOOKUP(VALUE($S160),lookups!I:J,2,FALSE)</f>
        <v>#N/A</v>
      </c>
      <c r="P160" s="84">
        <f>VLOOKUP(VALUE($S160),lookups!F:G,2,FALSE)</f>
        <v>24</v>
      </c>
      <c r="Q160" s="84" t="str">
        <f t="shared" si="8"/>
        <v/>
      </c>
      <c r="R160" s="84">
        <f t="shared" si="9"/>
        <v>216552</v>
      </c>
      <c r="S160" s="84">
        <f t="shared" si="10"/>
        <v>386931</v>
      </c>
      <c r="T160" s="84">
        <f t="shared" si="11"/>
        <v>390805</v>
      </c>
    </row>
    <row r="161" spans="1:20" x14ac:dyDescent="0.3">
      <c r="B161" s="84">
        <v>390802</v>
      </c>
      <c r="C161" s="85">
        <v>386931</v>
      </c>
      <c r="D161" s="84" t="s">
        <v>6</v>
      </c>
      <c r="E161" s="84" t="s">
        <v>345</v>
      </c>
      <c r="F161" s="86" t="s">
        <v>428</v>
      </c>
      <c r="G161" s="93" t="s">
        <v>1347</v>
      </c>
      <c r="H161" s="87">
        <v>2</v>
      </c>
      <c r="I161" s="84"/>
      <c r="J161" s="84"/>
      <c r="K161" s="84" t="s">
        <v>1614</v>
      </c>
      <c r="L161" s="84" t="s">
        <v>129</v>
      </c>
      <c r="M161" s="88" t="str">
        <f>VLOOKUP(L161,lookups!B:C,2,FALSE)</f>
        <v>Derek</v>
      </c>
      <c r="N161" s="89" t="str">
        <f>VLOOKUP(K161,TeamLookup[],2,0)</f>
        <v>Cyber</v>
      </c>
      <c r="O161" s="84" t="e">
        <f>VLOOKUP(VALUE($S161),lookups!I:J,2,FALSE)</f>
        <v>#N/A</v>
      </c>
      <c r="P161" s="84">
        <f>VLOOKUP(VALUE($S161),lookups!F:G,2,FALSE)</f>
        <v>24</v>
      </c>
      <c r="Q161" s="84" t="str">
        <f t="shared" si="8"/>
        <v/>
      </c>
      <c r="R161" s="84">
        <f t="shared" si="9"/>
        <v>216552</v>
      </c>
      <c r="S161" s="84">
        <f t="shared" si="10"/>
        <v>386931</v>
      </c>
      <c r="T161" s="84">
        <f t="shared" si="11"/>
        <v>390802</v>
      </c>
    </row>
    <row r="162" spans="1:20" ht="29.4" customHeight="1" x14ac:dyDescent="0.3">
      <c r="B162" s="84">
        <v>390736</v>
      </c>
      <c r="C162" s="85">
        <v>386931</v>
      </c>
      <c r="D162" s="84" t="s">
        <v>6</v>
      </c>
      <c r="E162" s="84" t="s">
        <v>345</v>
      </c>
      <c r="F162" s="86" t="s">
        <v>430</v>
      </c>
      <c r="G162" s="87" t="s">
        <v>1347</v>
      </c>
      <c r="H162" s="87">
        <v>3</v>
      </c>
      <c r="I162" s="89"/>
      <c r="J162" s="89"/>
      <c r="K162" s="89" t="s">
        <v>1620</v>
      </c>
      <c r="L162" s="84" t="s">
        <v>426</v>
      </c>
      <c r="M162" s="88" t="e">
        <f>VLOOKUP(L162,lookups!B:C,2,FALSE)</f>
        <v>#N/A</v>
      </c>
      <c r="N162" s="89" t="str">
        <f>VLOOKUP(K162,TeamLookup[],2,0)</f>
        <v>Okapi</v>
      </c>
      <c r="O162" s="84" t="e">
        <f>VLOOKUP(VALUE($S162),lookups!I:J,2,FALSE)</f>
        <v>#N/A</v>
      </c>
      <c r="P162" s="84">
        <f>VLOOKUP(VALUE($S162),lookups!F:G,2,FALSE)</f>
        <v>24</v>
      </c>
      <c r="Q162" s="84" t="str">
        <f t="shared" si="8"/>
        <v/>
      </c>
      <c r="R162" s="84">
        <f t="shared" si="9"/>
        <v>216552</v>
      </c>
      <c r="S162" s="84">
        <f t="shared" si="10"/>
        <v>386931</v>
      </c>
      <c r="T162" s="84">
        <f t="shared" si="11"/>
        <v>390736</v>
      </c>
    </row>
    <row r="163" spans="1:20" x14ac:dyDescent="0.3">
      <c r="B163" s="84">
        <v>390733</v>
      </c>
      <c r="C163" s="85">
        <v>386931</v>
      </c>
      <c r="D163" s="84" t="s">
        <v>6</v>
      </c>
      <c r="E163" s="84" t="s">
        <v>345</v>
      </c>
      <c r="F163" s="86" t="s">
        <v>431</v>
      </c>
      <c r="G163" s="87" t="s">
        <v>1347</v>
      </c>
      <c r="H163" s="87">
        <v>3</v>
      </c>
      <c r="I163" s="89"/>
      <c r="J163" s="89"/>
      <c r="K163" s="89" t="s">
        <v>1614</v>
      </c>
      <c r="L163" s="84" t="s">
        <v>129</v>
      </c>
      <c r="M163" s="88" t="str">
        <f>VLOOKUP(L163,lookups!B:C,2,FALSE)</f>
        <v>Derek</v>
      </c>
      <c r="N163" s="89" t="str">
        <f>VLOOKUP(K163,TeamLookup[],2,0)</f>
        <v>Cyber</v>
      </c>
      <c r="O163" s="84" t="e">
        <f>VLOOKUP(VALUE($S163),lookups!I:J,2,FALSE)</f>
        <v>#N/A</v>
      </c>
      <c r="P163" s="84">
        <f>VLOOKUP(VALUE($S163),lookups!F:G,2,FALSE)</f>
        <v>24</v>
      </c>
      <c r="Q163" s="84" t="str">
        <f t="shared" si="8"/>
        <v/>
      </c>
      <c r="R163" s="84">
        <f t="shared" si="9"/>
        <v>216552</v>
      </c>
      <c r="S163" s="84">
        <f t="shared" si="10"/>
        <v>386931</v>
      </c>
      <c r="T163" s="84">
        <f t="shared" si="11"/>
        <v>390733</v>
      </c>
    </row>
    <row r="164" spans="1:20" x14ac:dyDescent="0.3">
      <c r="B164" s="84">
        <v>392468</v>
      </c>
      <c r="C164" s="85">
        <v>386931</v>
      </c>
      <c r="D164" s="84" t="s">
        <v>6</v>
      </c>
      <c r="E164" s="84" t="s">
        <v>345</v>
      </c>
      <c r="F164" s="86" t="s">
        <v>399</v>
      </c>
      <c r="G164" s="87" t="s">
        <v>1345</v>
      </c>
      <c r="H164" s="87">
        <v>5</v>
      </c>
      <c r="I164" s="89"/>
      <c r="J164" s="89"/>
      <c r="K164" s="89" t="s">
        <v>1614</v>
      </c>
      <c r="L164" s="84" t="s">
        <v>1342</v>
      </c>
      <c r="M164" s="88" t="str">
        <f>VLOOKUP(L164,lookups!B:C,2,FALSE)</f>
        <v>John</v>
      </c>
      <c r="N164" s="89" t="str">
        <f>VLOOKUP(K164,TeamLookup[],2,0)</f>
        <v>Cyber</v>
      </c>
      <c r="O164" s="84" t="e">
        <f>VLOOKUP(VALUE($S164),lookups!I:J,2,FALSE)</f>
        <v>#N/A</v>
      </c>
      <c r="P164" s="84">
        <f>VLOOKUP(VALUE($S164),lookups!F:G,2,FALSE)</f>
        <v>24</v>
      </c>
      <c r="Q164" s="84" t="str">
        <f t="shared" si="8"/>
        <v/>
      </c>
      <c r="R164" s="84">
        <f t="shared" si="9"/>
        <v>216552</v>
      </c>
      <c r="S164" s="84">
        <f t="shared" si="10"/>
        <v>386931</v>
      </c>
      <c r="T164" s="84">
        <f t="shared" si="11"/>
        <v>392468</v>
      </c>
    </row>
    <row r="165" spans="1:20" x14ac:dyDescent="0.3">
      <c r="B165" s="84">
        <v>391284</v>
      </c>
      <c r="C165" s="85">
        <v>386931</v>
      </c>
      <c r="D165" s="84" t="s">
        <v>6</v>
      </c>
      <c r="E165" s="84" t="s">
        <v>345</v>
      </c>
      <c r="F165" s="86" t="s">
        <v>417</v>
      </c>
      <c r="G165" s="87" t="s">
        <v>1345</v>
      </c>
      <c r="H165" s="87">
        <v>5</v>
      </c>
      <c r="I165" s="84"/>
      <c r="J165" s="84"/>
      <c r="K165" s="116" t="s">
        <v>1614</v>
      </c>
      <c r="L165" s="84" t="s">
        <v>37</v>
      </c>
      <c r="M165" s="88" t="str">
        <f>VLOOKUP(L165,lookups!B:C,2,FALSE)</f>
        <v>Kent</v>
      </c>
      <c r="N165" s="89" t="str">
        <f>VLOOKUP(K165,TeamLookup[],2,0)</f>
        <v>Cyber</v>
      </c>
      <c r="O165" s="84" t="e">
        <f>VLOOKUP(VALUE($S165),lookups!I:J,2,FALSE)</f>
        <v>#N/A</v>
      </c>
      <c r="P165" s="84">
        <f>VLOOKUP(VALUE($S165),lookups!F:G,2,FALSE)</f>
        <v>24</v>
      </c>
      <c r="Q165" s="84" t="str">
        <f t="shared" si="8"/>
        <v/>
      </c>
      <c r="R165" s="84">
        <f t="shared" si="9"/>
        <v>216552</v>
      </c>
      <c r="S165" s="84">
        <f t="shared" si="10"/>
        <v>386931</v>
      </c>
      <c r="T165" s="84">
        <f t="shared" si="11"/>
        <v>391284</v>
      </c>
    </row>
    <row r="166" spans="1:20" x14ac:dyDescent="0.3">
      <c r="A166" s="96"/>
      <c r="B166" s="84">
        <v>391283</v>
      </c>
      <c r="C166" s="85">
        <v>386931</v>
      </c>
      <c r="D166" s="84" t="s">
        <v>6</v>
      </c>
      <c r="E166" s="84" t="s">
        <v>345</v>
      </c>
      <c r="F166" s="86" t="s">
        <v>418</v>
      </c>
      <c r="G166" s="87" t="s">
        <v>1345</v>
      </c>
      <c r="H166" s="87">
        <v>2</v>
      </c>
      <c r="I166" s="89"/>
      <c r="J166" s="89"/>
      <c r="K166" s="89" t="s">
        <v>1614</v>
      </c>
      <c r="L166" s="84" t="s">
        <v>182</v>
      </c>
      <c r="M166" s="88" t="str">
        <f>VLOOKUP(L166,lookups!B:C,2,FALSE)</f>
        <v>Ted</v>
      </c>
      <c r="N166" s="89" t="str">
        <f>VLOOKUP(K166,TeamLookup[],2,0)</f>
        <v>Cyber</v>
      </c>
      <c r="O166" s="84" t="e">
        <f>VLOOKUP(VALUE($S166),lookups!I:J,2,FALSE)</f>
        <v>#N/A</v>
      </c>
      <c r="P166" s="84">
        <f>VLOOKUP(VALUE($S166),lookups!F:G,2,FALSE)</f>
        <v>24</v>
      </c>
      <c r="Q166" s="84" t="str">
        <f t="shared" si="8"/>
        <v/>
      </c>
      <c r="R166" s="84">
        <f t="shared" si="9"/>
        <v>216552</v>
      </c>
      <c r="S166" s="84">
        <f t="shared" si="10"/>
        <v>386931</v>
      </c>
      <c r="T166" s="84">
        <f t="shared" si="11"/>
        <v>391283</v>
      </c>
    </row>
    <row r="167" spans="1:20" x14ac:dyDescent="0.3">
      <c r="B167" s="84">
        <v>390812</v>
      </c>
      <c r="C167" s="85">
        <v>386931</v>
      </c>
      <c r="D167" s="84" t="s">
        <v>6</v>
      </c>
      <c r="E167" s="84" t="s">
        <v>345</v>
      </c>
      <c r="F167" s="86" t="s">
        <v>424</v>
      </c>
      <c r="G167" s="87" t="s">
        <v>1345</v>
      </c>
      <c r="H167" s="87">
        <v>8</v>
      </c>
      <c r="I167" s="89"/>
      <c r="J167" s="89"/>
      <c r="K167" s="89" t="s">
        <v>1614</v>
      </c>
      <c r="L167" s="84" t="s">
        <v>129</v>
      </c>
      <c r="M167" s="88" t="str">
        <f>VLOOKUP(L167,lookups!B:C,2,FALSE)</f>
        <v>Derek</v>
      </c>
      <c r="N167" s="89" t="str">
        <f>VLOOKUP(K167,TeamLookup[],2,0)</f>
        <v>Cyber</v>
      </c>
      <c r="O167" s="84" t="e">
        <f>VLOOKUP(VALUE($S167),lookups!I:J,2,FALSE)</f>
        <v>#N/A</v>
      </c>
      <c r="P167" s="84">
        <f>VLOOKUP(VALUE($S167),lookups!F:G,2,FALSE)</f>
        <v>24</v>
      </c>
      <c r="Q167" s="84" t="str">
        <f t="shared" si="8"/>
        <v/>
      </c>
      <c r="R167" s="84">
        <f t="shared" si="9"/>
        <v>216552</v>
      </c>
      <c r="S167" s="84">
        <f t="shared" si="10"/>
        <v>386931</v>
      </c>
      <c r="T167" s="84">
        <f t="shared" si="11"/>
        <v>390812</v>
      </c>
    </row>
    <row r="168" spans="1:20" x14ac:dyDescent="0.3">
      <c r="B168" s="84">
        <v>390810</v>
      </c>
      <c r="C168" s="85">
        <v>386931</v>
      </c>
      <c r="D168" s="84" t="s">
        <v>6</v>
      </c>
      <c r="E168" s="84" t="s">
        <v>345</v>
      </c>
      <c r="F168" s="86" t="s">
        <v>425</v>
      </c>
      <c r="G168" s="87" t="s">
        <v>1345</v>
      </c>
      <c r="H168" s="87">
        <v>2</v>
      </c>
      <c r="I168" s="89"/>
      <c r="J168" s="89"/>
      <c r="K168" s="89" t="s">
        <v>1620</v>
      </c>
      <c r="L168" s="84" t="s">
        <v>426</v>
      </c>
      <c r="M168" s="88" t="e">
        <f>VLOOKUP(L168,lookups!B:C,2,FALSE)</f>
        <v>#N/A</v>
      </c>
      <c r="N168" s="89" t="str">
        <f>VLOOKUP(K168,TeamLookup[],2,0)</f>
        <v>Okapi</v>
      </c>
      <c r="O168" s="84" t="e">
        <f>VLOOKUP(VALUE($S168),lookups!I:J,2,FALSE)</f>
        <v>#N/A</v>
      </c>
      <c r="P168" s="84">
        <f>VLOOKUP(VALUE($S168),lookups!F:G,2,FALSE)</f>
        <v>24</v>
      </c>
      <c r="Q168" s="84" t="str">
        <f t="shared" si="8"/>
        <v/>
      </c>
      <c r="R168" s="84">
        <f t="shared" si="9"/>
        <v>216552</v>
      </c>
      <c r="S168" s="84">
        <f t="shared" si="10"/>
        <v>386931</v>
      </c>
      <c r="T168" s="84">
        <f t="shared" si="11"/>
        <v>390810</v>
      </c>
    </row>
    <row r="169" spans="1:20" x14ac:dyDescent="0.3">
      <c r="B169" s="84">
        <v>386931</v>
      </c>
      <c r="C169" s="85">
        <v>216552</v>
      </c>
      <c r="D169" s="84" t="s">
        <v>24</v>
      </c>
      <c r="E169" s="84" t="s">
        <v>345</v>
      </c>
      <c r="F169" s="86" t="s">
        <v>451</v>
      </c>
      <c r="G169" s="87" t="s">
        <v>1343</v>
      </c>
      <c r="H169" s="87"/>
      <c r="I169" s="84" t="s">
        <v>48</v>
      </c>
      <c r="J169" s="84"/>
      <c r="K169" s="84" t="s">
        <v>1614</v>
      </c>
      <c r="L169" s="84" t="s">
        <v>129</v>
      </c>
      <c r="M169" s="88" t="str">
        <f>VLOOKUP(L169,lookups!B:C,2,FALSE)</f>
        <v>Derek</v>
      </c>
      <c r="N169" s="89" t="str">
        <f>VLOOKUP(K169,TeamLookup[],2,0)</f>
        <v>Cyber</v>
      </c>
      <c r="O169" s="84" t="e">
        <f>VLOOKUP(VALUE($S169),lookups!I:J,2,FALSE)</f>
        <v>#N/A</v>
      </c>
      <c r="P169" s="84">
        <f>VLOOKUP(VALUE($S169),lookups!F:G,2,FALSE)</f>
        <v>24</v>
      </c>
      <c r="Q169" s="84" t="str">
        <f t="shared" si="8"/>
        <v>ParentNotInCyberQuery</v>
      </c>
      <c r="R169" s="84">
        <f t="shared" si="9"/>
        <v>216552</v>
      </c>
      <c r="S169" s="84">
        <f t="shared" si="10"/>
        <v>386931</v>
      </c>
      <c r="T169" s="84">
        <f t="shared" si="11"/>
        <v>0</v>
      </c>
    </row>
    <row r="170" spans="1:20" x14ac:dyDescent="0.3">
      <c r="B170" s="84">
        <v>393062</v>
      </c>
      <c r="C170" s="85">
        <v>390286</v>
      </c>
      <c r="D170" s="84" t="s">
        <v>6</v>
      </c>
      <c r="E170" s="84" t="s">
        <v>345</v>
      </c>
      <c r="F170" s="86" t="s">
        <v>384</v>
      </c>
      <c r="G170" s="87" t="s">
        <v>1349</v>
      </c>
      <c r="H170" s="87">
        <v>2</v>
      </c>
      <c r="I170" s="84"/>
      <c r="J170" s="84"/>
      <c r="K170" s="84" t="s">
        <v>1614</v>
      </c>
      <c r="L170" s="84" t="s">
        <v>214</v>
      </c>
      <c r="M170" s="88" t="str">
        <f>VLOOKUP(L170,lookups!B:C,2,FALSE)</f>
        <v>Dave G</v>
      </c>
      <c r="N170" s="89" t="str">
        <f>VLOOKUP(K170,TeamLookup[],2,0)</f>
        <v>Cyber</v>
      </c>
      <c r="O170" s="84" t="e">
        <f>VLOOKUP(VALUE($S170),lookups!I:J,2,FALSE)</f>
        <v>#N/A</v>
      </c>
      <c r="P170" s="84">
        <f>VLOOKUP(VALUE($S170),lookups!F:G,2,FALSE)</f>
        <v>23</v>
      </c>
      <c r="Q170" s="84" t="str">
        <f t="shared" si="8"/>
        <v/>
      </c>
      <c r="R170" s="84">
        <f t="shared" si="9"/>
        <v>216552</v>
      </c>
      <c r="S170" s="84">
        <f t="shared" si="10"/>
        <v>390286</v>
      </c>
      <c r="T170" s="84">
        <f t="shared" si="11"/>
        <v>393062</v>
      </c>
    </row>
    <row r="171" spans="1:20" x14ac:dyDescent="0.3">
      <c r="B171" s="84">
        <v>392692</v>
      </c>
      <c r="C171" s="85">
        <v>390286</v>
      </c>
      <c r="D171" s="84" t="s">
        <v>6</v>
      </c>
      <c r="E171" s="84" t="s">
        <v>345</v>
      </c>
      <c r="F171" s="86" t="s">
        <v>391</v>
      </c>
      <c r="G171" s="87" t="s">
        <v>1349</v>
      </c>
      <c r="H171" s="87">
        <v>1</v>
      </c>
      <c r="I171" s="84"/>
      <c r="J171" s="84"/>
      <c r="K171" s="84" t="s">
        <v>1619</v>
      </c>
      <c r="L171" s="84" t="s">
        <v>115</v>
      </c>
      <c r="M171" s="88" t="str">
        <f>VLOOKUP(L171,lookups!B:C,2,FALSE)</f>
        <v>Mike MD</v>
      </c>
      <c r="N171" s="89" t="str">
        <f>VLOOKUP(K171,TeamLookup[],2,0)</f>
        <v>TOFF</v>
      </c>
      <c r="O171" s="84" t="e">
        <f>VLOOKUP(VALUE($S171),lookups!I:J,2,FALSE)</f>
        <v>#N/A</v>
      </c>
      <c r="P171" s="84">
        <f>VLOOKUP(VALUE($S171),lookups!F:G,2,FALSE)</f>
        <v>23</v>
      </c>
      <c r="Q171" s="84" t="str">
        <f t="shared" si="8"/>
        <v/>
      </c>
      <c r="R171" s="84">
        <f t="shared" si="9"/>
        <v>216552</v>
      </c>
      <c r="S171" s="84">
        <f t="shared" si="10"/>
        <v>390286</v>
      </c>
      <c r="T171" s="84">
        <f t="shared" si="11"/>
        <v>392692</v>
      </c>
    </row>
    <row r="172" spans="1:20" x14ac:dyDescent="0.3">
      <c r="B172" s="84">
        <v>390290</v>
      </c>
      <c r="C172" s="85">
        <v>390286</v>
      </c>
      <c r="D172" s="84" t="s">
        <v>6</v>
      </c>
      <c r="E172" s="84" t="s">
        <v>345</v>
      </c>
      <c r="F172" s="86" t="s">
        <v>378</v>
      </c>
      <c r="G172" s="87" t="s">
        <v>1349</v>
      </c>
      <c r="H172" s="87">
        <v>3</v>
      </c>
      <c r="I172" s="105"/>
      <c r="J172" s="105"/>
      <c r="K172" s="105" t="s">
        <v>1618</v>
      </c>
      <c r="L172" s="84" t="s">
        <v>108</v>
      </c>
      <c r="M172" s="88" t="str">
        <f>VLOOKUP(L172,lookups!B:C,2,FALSE)</f>
        <v>Conan</v>
      </c>
      <c r="N172" s="89" t="str">
        <f>VLOOKUP(K172,TeamLookup[],2,0)</f>
        <v>System Engineering</v>
      </c>
      <c r="O172" s="84" t="e">
        <f>VLOOKUP(VALUE($S172),lookups!I:J,2,FALSE)</f>
        <v>#N/A</v>
      </c>
      <c r="P172" s="84">
        <f>VLOOKUP(VALUE($S172),lookups!F:G,2,FALSE)</f>
        <v>23</v>
      </c>
      <c r="Q172" s="84" t="str">
        <f t="shared" si="8"/>
        <v/>
      </c>
      <c r="R172" s="84">
        <f t="shared" si="9"/>
        <v>216552</v>
      </c>
      <c r="S172" s="84">
        <f t="shared" si="10"/>
        <v>390286</v>
      </c>
      <c r="T172" s="84">
        <f t="shared" si="11"/>
        <v>390290</v>
      </c>
    </row>
    <row r="173" spans="1:20" x14ac:dyDescent="0.3">
      <c r="B173" s="84">
        <v>390289</v>
      </c>
      <c r="C173" s="85">
        <v>390286</v>
      </c>
      <c r="D173" s="84" t="s">
        <v>6</v>
      </c>
      <c r="E173" s="84" t="s">
        <v>345</v>
      </c>
      <c r="F173" s="86" t="s">
        <v>437</v>
      </c>
      <c r="G173" s="87" t="s">
        <v>1349</v>
      </c>
      <c r="H173" s="87">
        <v>3</v>
      </c>
      <c r="I173" s="89"/>
      <c r="J173" s="89"/>
      <c r="K173" s="89" t="s">
        <v>1619</v>
      </c>
      <c r="L173" s="84" t="s">
        <v>115</v>
      </c>
      <c r="M173" s="88" t="str">
        <f>VLOOKUP(L173,lookups!B:C,2,FALSE)</f>
        <v>Mike MD</v>
      </c>
      <c r="N173" s="89" t="str">
        <f>VLOOKUP(K173,TeamLookup[],2,0)</f>
        <v>TOFF</v>
      </c>
      <c r="O173" s="84" t="e">
        <f>VLOOKUP(VALUE($S173),lookups!I:J,2,FALSE)</f>
        <v>#N/A</v>
      </c>
      <c r="P173" s="84">
        <f>VLOOKUP(VALUE($S173),lookups!F:G,2,FALSE)</f>
        <v>23</v>
      </c>
      <c r="Q173" s="84" t="str">
        <f t="shared" si="8"/>
        <v/>
      </c>
      <c r="R173" s="84">
        <f t="shared" si="9"/>
        <v>216552</v>
      </c>
      <c r="S173" s="84">
        <f t="shared" si="10"/>
        <v>390286</v>
      </c>
      <c r="T173" s="84">
        <f t="shared" si="11"/>
        <v>390289</v>
      </c>
    </row>
    <row r="174" spans="1:20" x14ac:dyDescent="0.3">
      <c r="B174" s="84">
        <v>390287</v>
      </c>
      <c r="C174" s="85">
        <v>390286</v>
      </c>
      <c r="D174" s="84" t="s">
        <v>6</v>
      </c>
      <c r="E174" s="84" t="s">
        <v>345</v>
      </c>
      <c r="F174" s="86" t="s">
        <v>439</v>
      </c>
      <c r="G174" s="87" t="s">
        <v>1349</v>
      </c>
      <c r="H174" s="87">
        <v>2</v>
      </c>
      <c r="I174" s="89"/>
      <c r="J174" s="89"/>
      <c r="K174" s="89" t="s">
        <v>1616</v>
      </c>
      <c r="L174" s="84" t="s">
        <v>15</v>
      </c>
      <c r="M174" s="88" t="str">
        <f>VLOOKUP(L174,lookups!B:C,2,FALSE)</f>
        <v>Mike MG</v>
      </c>
      <c r="N174" s="89" t="str">
        <f>VLOOKUP(K174,TeamLookup[],2,0)</f>
        <v>Magic</v>
      </c>
      <c r="O174" s="84" t="e">
        <f>VLOOKUP(VALUE($S174),lookups!I:J,2,FALSE)</f>
        <v>#N/A</v>
      </c>
      <c r="P174" s="84">
        <f>VLOOKUP(VALUE($S174),lookups!F:G,2,FALSE)</f>
        <v>23</v>
      </c>
      <c r="Q174" s="84" t="str">
        <f t="shared" si="8"/>
        <v/>
      </c>
      <c r="R174" s="84">
        <f t="shared" si="9"/>
        <v>216552</v>
      </c>
      <c r="S174" s="84">
        <f t="shared" si="10"/>
        <v>390286</v>
      </c>
      <c r="T174" s="84">
        <f t="shared" si="11"/>
        <v>390287</v>
      </c>
    </row>
    <row r="175" spans="1:20" x14ac:dyDescent="0.3">
      <c r="B175" s="84">
        <v>395398</v>
      </c>
      <c r="C175" s="85">
        <v>390286</v>
      </c>
      <c r="D175" s="84" t="s">
        <v>6</v>
      </c>
      <c r="E175" s="84" t="s">
        <v>345</v>
      </c>
      <c r="F175" s="86" t="s">
        <v>378</v>
      </c>
      <c r="G175" s="87" t="s">
        <v>1348</v>
      </c>
      <c r="H175" s="87">
        <v>1</v>
      </c>
      <c r="I175" s="89"/>
      <c r="J175" s="89"/>
      <c r="K175" s="89" t="s">
        <v>1618</v>
      </c>
      <c r="L175" s="84" t="s">
        <v>108</v>
      </c>
      <c r="M175" s="88" t="str">
        <f>VLOOKUP(L175,lookups!B:C,2,FALSE)</f>
        <v>Conan</v>
      </c>
      <c r="N175" s="89" t="str">
        <f>VLOOKUP(K175,TeamLookup[],2,0)</f>
        <v>System Engineering</v>
      </c>
      <c r="O175" s="84" t="e">
        <f>VLOOKUP(VALUE($S175),lookups!I:J,2,FALSE)</f>
        <v>#N/A</v>
      </c>
      <c r="P175" s="84">
        <f>VLOOKUP(VALUE($S175),lookups!F:G,2,FALSE)</f>
        <v>23</v>
      </c>
      <c r="Q175" s="84" t="str">
        <f t="shared" si="8"/>
        <v/>
      </c>
      <c r="R175" s="84">
        <f t="shared" si="9"/>
        <v>216552</v>
      </c>
      <c r="S175" s="84">
        <f t="shared" si="10"/>
        <v>390286</v>
      </c>
      <c r="T175" s="84">
        <f t="shared" si="11"/>
        <v>395398</v>
      </c>
    </row>
    <row r="176" spans="1:20" x14ac:dyDescent="0.3">
      <c r="B176" s="84">
        <v>395340</v>
      </c>
      <c r="C176" s="85">
        <v>390286</v>
      </c>
      <c r="D176" s="84" t="s">
        <v>6</v>
      </c>
      <c r="E176" s="84" t="s">
        <v>345</v>
      </c>
      <c r="F176" s="86" t="s">
        <v>379</v>
      </c>
      <c r="G176" s="87" t="s">
        <v>1348</v>
      </c>
      <c r="H176" s="87">
        <v>1</v>
      </c>
      <c r="I176" s="89"/>
      <c r="J176" s="89"/>
      <c r="K176" s="89" t="s">
        <v>1614</v>
      </c>
      <c r="L176" s="84" t="s">
        <v>214</v>
      </c>
      <c r="M176" s="88" t="str">
        <f>VLOOKUP(L176,lookups!B:C,2,FALSE)</f>
        <v>Dave G</v>
      </c>
      <c r="N176" s="89" t="str">
        <f>VLOOKUP(K176,TeamLookup[],2,0)</f>
        <v>Cyber</v>
      </c>
      <c r="O176" s="84" t="e">
        <f>VLOOKUP(VALUE($S176),lookups!I:J,2,FALSE)</f>
        <v>#N/A</v>
      </c>
      <c r="P176" s="84">
        <f>VLOOKUP(VALUE($S176),lookups!F:G,2,FALSE)</f>
        <v>23</v>
      </c>
      <c r="Q176" s="84" t="str">
        <f t="shared" si="8"/>
        <v/>
      </c>
      <c r="R176" s="84">
        <f t="shared" si="9"/>
        <v>216552</v>
      </c>
      <c r="S176" s="84">
        <f t="shared" si="10"/>
        <v>390286</v>
      </c>
      <c r="T176" s="84">
        <f t="shared" si="11"/>
        <v>395340</v>
      </c>
    </row>
    <row r="177" spans="1:20" ht="28.8" x14ac:dyDescent="0.3">
      <c r="B177" s="84">
        <v>390291</v>
      </c>
      <c r="C177" s="85">
        <v>390286</v>
      </c>
      <c r="D177" s="84" t="s">
        <v>6</v>
      </c>
      <c r="E177" s="84" t="s">
        <v>345</v>
      </c>
      <c r="F177" s="86" t="s">
        <v>436</v>
      </c>
      <c r="G177" s="87" t="s">
        <v>1348</v>
      </c>
      <c r="H177" s="87">
        <v>2</v>
      </c>
      <c r="I177" s="89"/>
      <c r="J177" s="89"/>
      <c r="K177" s="89" t="s">
        <v>1616</v>
      </c>
      <c r="L177" s="84" t="s">
        <v>15</v>
      </c>
      <c r="M177" s="88" t="str">
        <f>VLOOKUP(L177,lookups!B:C,2,FALSE)</f>
        <v>Mike MG</v>
      </c>
      <c r="N177" s="89" t="str">
        <f>VLOOKUP(K177,TeamLookup[],2,0)</f>
        <v>Magic</v>
      </c>
      <c r="O177" s="84" t="e">
        <f>VLOOKUP(VALUE($S177),lookups!I:J,2,FALSE)</f>
        <v>#N/A</v>
      </c>
      <c r="P177" s="84">
        <f>VLOOKUP(VALUE($S177),lookups!F:G,2,FALSE)</f>
        <v>23</v>
      </c>
      <c r="Q177" s="84" t="str">
        <f t="shared" si="8"/>
        <v/>
      </c>
      <c r="R177" s="84">
        <f t="shared" si="9"/>
        <v>216552</v>
      </c>
      <c r="S177" s="84">
        <f t="shared" si="10"/>
        <v>390286</v>
      </c>
      <c r="T177" s="84">
        <f t="shared" si="11"/>
        <v>390291</v>
      </c>
    </row>
    <row r="178" spans="1:20" ht="16.2" customHeight="1" x14ac:dyDescent="0.3">
      <c r="B178" s="84">
        <v>393492</v>
      </c>
      <c r="C178" s="85">
        <v>390286</v>
      </c>
      <c r="D178" s="84" t="s">
        <v>6</v>
      </c>
      <c r="E178" s="84" t="s">
        <v>345</v>
      </c>
      <c r="F178" s="86" t="s">
        <v>381</v>
      </c>
      <c r="G178" s="87" t="s">
        <v>1347</v>
      </c>
      <c r="H178" s="87">
        <v>2</v>
      </c>
      <c r="I178" s="89"/>
      <c r="J178" s="89"/>
      <c r="K178" s="89" t="s">
        <v>1614</v>
      </c>
      <c r="L178" s="84" t="s">
        <v>213</v>
      </c>
      <c r="M178" s="88" t="str">
        <f>VLOOKUP(L178,lookups!B:C,2,FALSE)</f>
        <v>Alice</v>
      </c>
      <c r="N178" s="89" t="str">
        <f>VLOOKUP(K178,TeamLookup[],2,0)</f>
        <v>Cyber</v>
      </c>
      <c r="O178" s="84" t="e">
        <f>VLOOKUP(VALUE($S178),lookups!I:J,2,FALSE)</f>
        <v>#N/A</v>
      </c>
      <c r="P178" s="84">
        <f>VLOOKUP(VALUE($S178),lookups!F:G,2,FALSE)</f>
        <v>23</v>
      </c>
      <c r="Q178" s="84" t="str">
        <f t="shared" si="8"/>
        <v/>
      </c>
      <c r="R178" s="84">
        <f t="shared" si="9"/>
        <v>216552</v>
      </c>
      <c r="S178" s="84">
        <f t="shared" si="10"/>
        <v>390286</v>
      </c>
      <c r="T178" s="84">
        <f t="shared" si="11"/>
        <v>393492</v>
      </c>
    </row>
    <row r="179" spans="1:20" ht="28.8" x14ac:dyDescent="0.3">
      <c r="B179" s="84">
        <v>393063</v>
      </c>
      <c r="C179" s="85">
        <v>390286</v>
      </c>
      <c r="D179" s="84" t="s">
        <v>6</v>
      </c>
      <c r="E179" s="84" t="s">
        <v>345</v>
      </c>
      <c r="F179" s="86" t="s">
        <v>383</v>
      </c>
      <c r="G179" s="87" t="s">
        <v>1347</v>
      </c>
      <c r="H179" s="87">
        <v>5</v>
      </c>
      <c r="I179" s="89"/>
      <c r="J179" s="89"/>
      <c r="K179" s="89" t="s">
        <v>1614</v>
      </c>
      <c r="L179" s="84" t="s">
        <v>131</v>
      </c>
      <c r="M179" s="88" t="str">
        <f>VLOOKUP(L179,lookups!B:C,2,FALSE)</f>
        <v>Carol</v>
      </c>
      <c r="N179" s="89" t="str">
        <f>VLOOKUP(K179,TeamLookup[],2,0)</f>
        <v>Cyber</v>
      </c>
      <c r="O179" s="84" t="e">
        <f>VLOOKUP(VALUE($S179),lookups!I:J,2,FALSE)</f>
        <v>#N/A</v>
      </c>
      <c r="P179" s="84">
        <f>VLOOKUP(VALUE($S179),lookups!F:G,2,FALSE)</f>
        <v>23</v>
      </c>
      <c r="Q179" s="84" t="str">
        <f t="shared" si="8"/>
        <v/>
      </c>
      <c r="R179" s="84">
        <f t="shared" si="9"/>
        <v>216552</v>
      </c>
      <c r="S179" s="84">
        <f t="shared" si="10"/>
        <v>390286</v>
      </c>
      <c r="T179" s="84">
        <f t="shared" si="11"/>
        <v>393063</v>
      </c>
    </row>
    <row r="180" spans="1:20" x14ac:dyDescent="0.3">
      <c r="B180" s="84">
        <v>392704</v>
      </c>
      <c r="C180" s="85">
        <v>390286</v>
      </c>
      <c r="D180" s="84" t="s">
        <v>6</v>
      </c>
      <c r="E180" s="84" t="s">
        <v>345</v>
      </c>
      <c r="F180" s="86" t="s">
        <v>390</v>
      </c>
      <c r="G180" s="87" t="s">
        <v>1347</v>
      </c>
      <c r="H180" s="87">
        <v>3</v>
      </c>
      <c r="I180" s="89"/>
      <c r="J180" s="89"/>
      <c r="K180" s="89" t="s">
        <v>1616</v>
      </c>
      <c r="L180" s="84" t="s">
        <v>15</v>
      </c>
      <c r="M180" s="88" t="str">
        <f>VLOOKUP(L180,lookups!B:C,2,FALSE)</f>
        <v>Mike MG</v>
      </c>
      <c r="N180" s="89" t="str">
        <f>VLOOKUP(K180,TeamLookup[],2,0)</f>
        <v>Magic</v>
      </c>
      <c r="O180" s="84" t="e">
        <f>VLOOKUP(VALUE($S180),lookups!I:J,2,FALSE)</f>
        <v>#N/A</v>
      </c>
      <c r="P180" s="84">
        <f>VLOOKUP(VALUE($S180),lookups!F:G,2,FALSE)</f>
        <v>23</v>
      </c>
      <c r="Q180" s="84" t="str">
        <f t="shared" si="8"/>
        <v/>
      </c>
      <c r="R180" s="84">
        <f t="shared" si="9"/>
        <v>216552</v>
      </c>
      <c r="S180" s="84">
        <f t="shared" si="10"/>
        <v>390286</v>
      </c>
      <c r="T180" s="84">
        <f t="shared" si="11"/>
        <v>392704</v>
      </c>
    </row>
    <row r="181" spans="1:20" ht="14.4" customHeight="1" x14ac:dyDescent="0.3">
      <c r="B181" s="84">
        <v>1004590</v>
      </c>
      <c r="C181" s="85">
        <v>390286</v>
      </c>
      <c r="D181" s="84" t="s">
        <v>6</v>
      </c>
      <c r="E181" s="84" t="s">
        <v>345</v>
      </c>
      <c r="F181" s="86" t="s">
        <v>362</v>
      </c>
      <c r="G181" s="87" t="s">
        <v>1345</v>
      </c>
      <c r="H181" s="87">
        <v>3</v>
      </c>
      <c r="I181" s="84" t="s">
        <v>48</v>
      </c>
      <c r="J181" s="84"/>
      <c r="K181" s="84" t="s">
        <v>1614</v>
      </c>
      <c r="L181" s="84" t="s">
        <v>213</v>
      </c>
      <c r="M181" s="88" t="str">
        <f>VLOOKUP(L181,lookups!B:C,2,FALSE)</f>
        <v>Alice</v>
      </c>
      <c r="N181" s="89" t="str">
        <f>VLOOKUP(K181,TeamLookup[],2,0)</f>
        <v>Cyber</v>
      </c>
      <c r="O181" s="84" t="e">
        <f>VLOOKUP(VALUE($S181),lookups!I:J,2,FALSE)</f>
        <v>#N/A</v>
      </c>
      <c r="P181" s="84">
        <f>VLOOKUP(VALUE($S181),lookups!F:G,2,FALSE)</f>
        <v>23</v>
      </c>
      <c r="Q181" s="84" t="str">
        <f t="shared" si="8"/>
        <v/>
      </c>
      <c r="R181" s="84">
        <f t="shared" si="9"/>
        <v>216552</v>
      </c>
      <c r="S181" s="84">
        <f t="shared" si="10"/>
        <v>390286</v>
      </c>
      <c r="T181" s="84">
        <f t="shared" si="11"/>
        <v>1004590</v>
      </c>
    </row>
    <row r="182" spans="1:20" x14ac:dyDescent="0.3">
      <c r="B182" s="84">
        <v>393061</v>
      </c>
      <c r="C182" s="85">
        <v>390286</v>
      </c>
      <c r="D182" s="84" t="s">
        <v>6</v>
      </c>
      <c r="E182" s="84" t="s">
        <v>345</v>
      </c>
      <c r="F182" s="86" t="s">
        <v>385</v>
      </c>
      <c r="G182" s="109" t="s">
        <v>1345</v>
      </c>
      <c r="H182" s="87">
        <v>3</v>
      </c>
      <c r="I182" s="84" t="s">
        <v>48</v>
      </c>
      <c r="J182" s="84"/>
      <c r="K182" s="84" t="s">
        <v>1614</v>
      </c>
      <c r="L182" s="84" t="s">
        <v>213</v>
      </c>
      <c r="M182" s="88" t="str">
        <f>VLOOKUP(L182,lookups!B:C,2,FALSE)</f>
        <v>Alice</v>
      </c>
      <c r="N182" s="89" t="str">
        <f>VLOOKUP(K182,TeamLookup[],2,0)</f>
        <v>Cyber</v>
      </c>
      <c r="O182" s="84" t="e">
        <f>VLOOKUP(VALUE($S182),lookups!I:J,2,FALSE)</f>
        <v>#N/A</v>
      </c>
      <c r="P182" s="84">
        <f>VLOOKUP(VALUE($S182),lookups!F:G,2,FALSE)</f>
        <v>23</v>
      </c>
      <c r="Q182" s="84" t="str">
        <f t="shared" si="8"/>
        <v/>
      </c>
      <c r="R182" s="84">
        <f t="shared" si="9"/>
        <v>216552</v>
      </c>
      <c r="S182" s="84">
        <f t="shared" si="10"/>
        <v>390286</v>
      </c>
      <c r="T182" s="84">
        <f t="shared" si="11"/>
        <v>393061</v>
      </c>
    </row>
    <row r="183" spans="1:20" x14ac:dyDescent="0.3">
      <c r="B183" s="84">
        <v>1003015</v>
      </c>
      <c r="C183" s="85">
        <v>390286</v>
      </c>
      <c r="D183" s="84" t="s">
        <v>344</v>
      </c>
      <c r="E183" s="84" t="s">
        <v>345</v>
      </c>
      <c r="F183" s="86" t="s">
        <v>365</v>
      </c>
      <c r="G183" s="87" t="s">
        <v>1344</v>
      </c>
      <c r="H183" s="87"/>
      <c r="I183" s="105"/>
      <c r="J183" s="105"/>
      <c r="K183" s="89" t="s">
        <v>1614</v>
      </c>
      <c r="L183" s="84" t="s">
        <v>213</v>
      </c>
      <c r="M183" s="88" t="str">
        <f>VLOOKUP(L183,lookups!B:C,2,FALSE)</f>
        <v>Alice</v>
      </c>
      <c r="N183" s="89" t="str">
        <f>VLOOKUP(K183,TeamLookup[],2,0)</f>
        <v>Cyber</v>
      </c>
      <c r="O183" s="84" t="e">
        <f>VLOOKUP(VALUE($S183),lookups!I:J,2,FALSE)</f>
        <v>#N/A</v>
      </c>
      <c r="P183" s="84">
        <f>VLOOKUP(VALUE($S183),lookups!F:G,2,FALSE)</f>
        <v>23</v>
      </c>
      <c r="Q183" s="84" t="str">
        <f t="shared" si="8"/>
        <v/>
      </c>
      <c r="R183" s="84">
        <f t="shared" si="9"/>
        <v>216552</v>
      </c>
      <c r="S183" s="84">
        <f t="shared" si="10"/>
        <v>390286</v>
      </c>
      <c r="T183" s="84">
        <f t="shared" si="11"/>
        <v>1003015</v>
      </c>
    </row>
    <row r="184" spans="1:20" x14ac:dyDescent="0.3">
      <c r="B184" s="84">
        <v>1002513</v>
      </c>
      <c r="C184" s="85">
        <v>390286</v>
      </c>
      <c r="D184" s="84" t="s">
        <v>6</v>
      </c>
      <c r="E184" s="84" t="s">
        <v>345</v>
      </c>
      <c r="F184" s="86" t="s">
        <v>368</v>
      </c>
      <c r="G184" s="87" t="s">
        <v>1343</v>
      </c>
      <c r="H184" s="87">
        <v>2</v>
      </c>
      <c r="I184" s="89" t="s">
        <v>48</v>
      </c>
      <c r="J184" s="89"/>
      <c r="K184" s="89" t="s">
        <v>1614</v>
      </c>
      <c r="L184" s="84" t="s">
        <v>213</v>
      </c>
      <c r="M184" s="88" t="str">
        <f>VLOOKUP(L184,lookups!B:C,2,FALSE)</f>
        <v>Alice</v>
      </c>
      <c r="N184" s="89" t="str">
        <f>VLOOKUP(K184,TeamLookup[],2,0)</f>
        <v>Cyber</v>
      </c>
      <c r="O184" s="84" t="e">
        <f>VLOOKUP(VALUE($S184),lookups!I:J,2,FALSE)</f>
        <v>#N/A</v>
      </c>
      <c r="P184" s="84">
        <f>VLOOKUP(VALUE($S184),lookups!F:G,2,FALSE)</f>
        <v>23</v>
      </c>
      <c r="Q184" s="84" t="str">
        <f t="shared" si="8"/>
        <v/>
      </c>
      <c r="R184" s="84">
        <f t="shared" si="9"/>
        <v>216552</v>
      </c>
      <c r="S184" s="84">
        <f t="shared" si="10"/>
        <v>390286</v>
      </c>
      <c r="T184" s="84">
        <f t="shared" si="11"/>
        <v>1002513</v>
      </c>
    </row>
    <row r="185" spans="1:20" x14ac:dyDescent="0.3">
      <c r="B185" s="84">
        <v>1010710</v>
      </c>
      <c r="C185" s="85">
        <v>390286</v>
      </c>
      <c r="D185" s="84" t="s">
        <v>344</v>
      </c>
      <c r="E185" s="84" t="s">
        <v>345</v>
      </c>
      <c r="F185" s="86" t="s">
        <v>346</v>
      </c>
      <c r="G185" s="87" t="s">
        <v>217</v>
      </c>
      <c r="H185" s="87"/>
      <c r="I185" s="84"/>
      <c r="J185" s="84"/>
      <c r="K185" s="84" t="s">
        <v>1614</v>
      </c>
      <c r="L185" s="84" t="s">
        <v>37</v>
      </c>
      <c r="M185" s="88" t="str">
        <f>VLOOKUP(L185,lookups!B:C,2,FALSE)</f>
        <v>Kent</v>
      </c>
      <c r="N185" s="89" t="str">
        <f>VLOOKUP(K185,TeamLookup[],2,0)</f>
        <v>Cyber</v>
      </c>
      <c r="O185" s="84" t="e">
        <f>VLOOKUP(VALUE($S185),lookups!I:J,2,FALSE)</f>
        <v>#N/A</v>
      </c>
      <c r="P185" s="84">
        <f>VLOOKUP(VALUE($S185),lookups!F:G,2,FALSE)</f>
        <v>23</v>
      </c>
      <c r="Q185" s="84" t="str">
        <f t="shared" si="8"/>
        <v/>
      </c>
      <c r="R185" s="84">
        <f t="shared" si="9"/>
        <v>216552</v>
      </c>
      <c r="S185" s="84">
        <f t="shared" si="10"/>
        <v>390286</v>
      </c>
      <c r="T185" s="84">
        <f t="shared" si="11"/>
        <v>1010710</v>
      </c>
    </row>
    <row r="186" spans="1:20" x14ac:dyDescent="0.3">
      <c r="B186" s="84">
        <v>1008013</v>
      </c>
      <c r="C186" s="85">
        <v>390286</v>
      </c>
      <c r="D186" s="84" t="s">
        <v>6</v>
      </c>
      <c r="E186" s="84" t="s">
        <v>345</v>
      </c>
      <c r="F186" s="86" t="s">
        <v>324</v>
      </c>
      <c r="G186" s="87" t="s">
        <v>217</v>
      </c>
      <c r="H186" s="87">
        <v>1</v>
      </c>
      <c r="I186" s="89" t="s">
        <v>48</v>
      </c>
      <c r="J186" s="89"/>
      <c r="K186" s="89" t="s">
        <v>1619</v>
      </c>
      <c r="L186" s="84" t="s">
        <v>115</v>
      </c>
      <c r="M186" s="88" t="str">
        <f>VLOOKUP(L186,lookups!B:C,2,FALSE)</f>
        <v>Mike MD</v>
      </c>
      <c r="N186" s="89" t="str">
        <f>VLOOKUP(K186,TeamLookup[],2,0)</f>
        <v>TOFF</v>
      </c>
      <c r="O186" s="84" t="e">
        <f>VLOOKUP(VALUE($S186),lookups!I:J,2,FALSE)</f>
        <v>#N/A</v>
      </c>
      <c r="P186" s="84">
        <f>VLOOKUP(VALUE($S186),lookups!F:G,2,FALSE)</f>
        <v>23</v>
      </c>
      <c r="Q186" s="84" t="str">
        <f t="shared" si="8"/>
        <v/>
      </c>
      <c r="R186" s="84">
        <f t="shared" si="9"/>
        <v>216552</v>
      </c>
      <c r="S186" s="84">
        <f t="shared" si="10"/>
        <v>390286</v>
      </c>
      <c r="T186" s="84">
        <f t="shared" si="11"/>
        <v>1008013</v>
      </c>
    </row>
    <row r="187" spans="1:20" x14ac:dyDescent="0.3">
      <c r="B187" s="84">
        <v>1010393</v>
      </c>
      <c r="C187" s="85">
        <v>390286</v>
      </c>
      <c r="D187" s="84" t="s">
        <v>6</v>
      </c>
      <c r="E187" s="84" t="s">
        <v>345</v>
      </c>
      <c r="F187" s="86" t="s">
        <v>347</v>
      </c>
      <c r="G187" s="87" t="s">
        <v>267</v>
      </c>
      <c r="H187" s="87">
        <v>2</v>
      </c>
      <c r="I187" s="84"/>
      <c r="J187" s="84"/>
      <c r="K187" s="84" t="s">
        <v>1614</v>
      </c>
      <c r="L187" s="84" t="s">
        <v>214</v>
      </c>
      <c r="M187" s="88" t="str">
        <f>VLOOKUP(L187,lookups!B:C,2,FALSE)</f>
        <v>Dave G</v>
      </c>
      <c r="N187" s="89" t="str">
        <f>VLOOKUP(K187,TeamLookup[],2,0)</f>
        <v>Cyber</v>
      </c>
      <c r="O187" s="84" t="e">
        <f>VLOOKUP(VALUE($S187),lookups!I:J,2,FALSE)</f>
        <v>#N/A</v>
      </c>
      <c r="P187" s="84">
        <f>VLOOKUP(VALUE($S187),lookups!F:G,2,FALSE)</f>
        <v>23</v>
      </c>
      <c r="Q187" s="84" t="str">
        <f t="shared" si="8"/>
        <v/>
      </c>
      <c r="R187" s="84">
        <f t="shared" si="9"/>
        <v>216552</v>
      </c>
      <c r="S187" s="84">
        <f t="shared" si="10"/>
        <v>390286</v>
      </c>
      <c r="T187" s="84">
        <f t="shared" si="11"/>
        <v>1010393</v>
      </c>
    </row>
    <row r="188" spans="1:20" x14ac:dyDescent="0.3">
      <c r="A188" s="96"/>
      <c r="B188" s="84">
        <v>1008555</v>
      </c>
      <c r="C188" s="85">
        <v>390286</v>
      </c>
      <c r="D188" s="84" t="s">
        <v>6</v>
      </c>
      <c r="E188" s="84" t="s">
        <v>345</v>
      </c>
      <c r="F188" s="86" t="s">
        <v>1397</v>
      </c>
      <c r="G188" s="109" t="s">
        <v>265</v>
      </c>
      <c r="H188" s="87">
        <v>5</v>
      </c>
      <c r="I188" s="104"/>
      <c r="J188" s="104"/>
      <c r="K188" s="116" t="s">
        <v>1614</v>
      </c>
      <c r="L188" s="84" t="s">
        <v>191</v>
      </c>
      <c r="M188" s="88" t="str">
        <f>VLOOKUP(L188,lookups!B:C,2,FALSE)</f>
        <v>Gerald V</v>
      </c>
      <c r="N188" s="89" t="str">
        <f>VLOOKUP(K188,TeamLookup[],2,0)</f>
        <v>Cyber</v>
      </c>
      <c r="O188" s="84" t="e">
        <f>VLOOKUP(VALUE($S188),lookups!I:J,2,FALSE)</f>
        <v>#N/A</v>
      </c>
      <c r="P188" s="84">
        <f>VLOOKUP(VALUE($S188),lookups!F:G,2,FALSE)</f>
        <v>23</v>
      </c>
      <c r="Q188" s="84" t="str">
        <f t="shared" si="8"/>
        <v/>
      </c>
      <c r="R188" s="84">
        <f t="shared" si="9"/>
        <v>216552</v>
      </c>
      <c r="S188" s="84">
        <f t="shared" si="10"/>
        <v>390286</v>
      </c>
      <c r="T188" s="84">
        <f t="shared" si="11"/>
        <v>1008555</v>
      </c>
    </row>
    <row r="189" spans="1:20" x14ac:dyDescent="0.3">
      <c r="B189" s="84">
        <v>1008015</v>
      </c>
      <c r="C189" s="85">
        <v>390286</v>
      </c>
      <c r="D189" s="84" t="s">
        <v>6</v>
      </c>
      <c r="E189" s="84" t="s">
        <v>345</v>
      </c>
      <c r="F189" s="86" t="s">
        <v>323</v>
      </c>
      <c r="G189" s="109" t="s">
        <v>265</v>
      </c>
      <c r="H189" s="87">
        <v>3</v>
      </c>
      <c r="I189" s="104" t="s">
        <v>48</v>
      </c>
      <c r="J189" s="104"/>
      <c r="K189" s="116" t="s">
        <v>1614</v>
      </c>
      <c r="L189" s="84" t="s">
        <v>191</v>
      </c>
      <c r="M189" s="88" t="str">
        <f>VLOOKUP(L189,lookups!B:C,2,FALSE)</f>
        <v>Gerald V</v>
      </c>
      <c r="N189" s="89" t="str">
        <f>VLOOKUP(K189,TeamLookup[],2,0)</f>
        <v>Cyber</v>
      </c>
      <c r="O189" s="84" t="e">
        <f>VLOOKUP(VALUE($S189),lookups!I:J,2,FALSE)</f>
        <v>#N/A</v>
      </c>
      <c r="P189" s="84">
        <f>VLOOKUP(VALUE($S189),lookups!F:G,2,FALSE)</f>
        <v>23</v>
      </c>
      <c r="Q189" s="84" t="str">
        <f t="shared" si="8"/>
        <v/>
      </c>
      <c r="R189" s="84">
        <f t="shared" si="9"/>
        <v>216552</v>
      </c>
      <c r="S189" s="84">
        <f t="shared" si="10"/>
        <v>390286</v>
      </c>
      <c r="T189" s="84">
        <f t="shared" si="11"/>
        <v>1008015</v>
      </c>
    </row>
    <row r="190" spans="1:20" x14ac:dyDescent="0.3">
      <c r="B190" s="84">
        <v>1014745</v>
      </c>
      <c r="C190" s="85">
        <v>390286</v>
      </c>
      <c r="D190" s="84" t="s">
        <v>6</v>
      </c>
      <c r="E190" s="84" t="s">
        <v>345</v>
      </c>
      <c r="F190" s="86" t="s">
        <v>1400</v>
      </c>
      <c r="G190" s="87" t="s">
        <v>263</v>
      </c>
      <c r="H190" s="87">
        <v>8</v>
      </c>
      <c r="I190" s="89"/>
      <c r="J190" s="89"/>
      <c r="K190" s="89" t="s">
        <v>1614</v>
      </c>
      <c r="L190" s="84" t="s">
        <v>182</v>
      </c>
      <c r="M190" s="88" t="str">
        <f>VLOOKUP(L190,lookups!B:C,2,FALSE)</f>
        <v>Ted</v>
      </c>
      <c r="N190" s="89" t="str">
        <f>VLOOKUP(K190,TeamLookup[],2,0)</f>
        <v>Cyber</v>
      </c>
      <c r="O190" s="84" t="e">
        <f>VLOOKUP(VALUE($S190),lookups!I:J,2,FALSE)</f>
        <v>#N/A</v>
      </c>
      <c r="P190" s="84">
        <f>VLOOKUP(VALUE($S190),lookups!F:G,2,FALSE)</f>
        <v>23</v>
      </c>
      <c r="Q190" s="84" t="str">
        <f t="shared" si="8"/>
        <v/>
      </c>
      <c r="R190" s="84">
        <f t="shared" si="9"/>
        <v>216552</v>
      </c>
      <c r="S190" s="84">
        <f t="shared" si="10"/>
        <v>390286</v>
      </c>
      <c r="T190" s="84">
        <f t="shared" si="11"/>
        <v>1014745</v>
      </c>
    </row>
    <row r="191" spans="1:20" ht="28.8" x14ac:dyDescent="0.3">
      <c r="B191" s="84">
        <v>1014747</v>
      </c>
      <c r="C191" s="85">
        <v>390286</v>
      </c>
      <c r="D191" s="84" t="s">
        <v>6</v>
      </c>
      <c r="E191" s="84" t="s">
        <v>345</v>
      </c>
      <c r="F191" s="86" t="s">
        <v>1399</v>
      </c>
      <c r="G191" s="87" t="s">
        <v>262</v>
      </c>
      <c r="H191" s="87">
        <v>8</v>
      </c>
      <c r="I191" s="84"/>
      <c r="J191" s="84"/>
      <c r="K191" s="84" t="s">
        <v>1614</v>
      </c>
      <c r="L191" s="84" t="s">
        <v>182</v>
      </c>
      <c r="M191" s="88" t="str">
        <f>VLOOKUP(L191,lookups!B:C,2,FALSE)</f>
        <v>Ted</v>
      </c>
      <c r="N191" s="89" t="str">
        <f>VLOOKUP(K191,TeamLookup[],2,0)</f>
        <v>Cyber</v>
      </c>
      <c r="O191" s="84" t="e">
        <f>VLOOKUP(VALUE($S191),lookups!I:J,2,FALSE)</f>
        <v>#N/A</v>
      </c>
      <c r="P191" s="84">
        <f>VLOOKUP(VALUE($S191),lookups!F:G,2,FALSE)</f>
        <v>23</v>
      </c>
      <c r="Q191" s="84" t="str">
        <f t="shared" si="8"/>
        <v/>
      </c>
      <c r="R191" s="84">
        <f t="shared" si="9"/>
        <v>216552</v>
      </c>
      <c r="S191" s="84">
        <f t="shared" si="10"/>
        <v>390286</v>
      </c>
      <c r="T191" s="84">
        <f t="shared" si="11"/>
        <v>1014747</v>
      </c>
    </row>
    <row r="192" spans="1:20" x14ac:dyDescent="0.3">
      <c r="B192" s="84">
        <v>390286</v>
      </c>
      <c r="C192" s="85">
        <v>216552</v>
      </c>
      <c r="D192" s="84" t="s">
        <v>24</v>
      </c>
      <c r="E192" s="84" t="s">
        <v>345</v>
      </c>
      <c r="F192" s="86" t="s">
        <v>199</v>
      </c>
      <c r="G192" s="87" t="s">
        <v>262</v>
      </c>
      <c r="H192" s="103"/>
      <c r="I192" s="104" t="s">
        <v>397</v>
      </c>
      <c r="J192" s="104"/>
      <c r="K192" s="116" t="s">
        <v>1614</v>
      </c>
      <c r="L192" s="107" t="s">
        <v>108</v>
      </c>
      <c r="M192" s="88" t="str">
        <f>VLOOKUP(L192,lookups!B:C,2,FALSE)</f>
        <v>Conan</v>
      </c>
      <c r="N192" s="89" t="str">
        <f>VLOOKUP(K192,TeamLookup[],2,0)</f>
        <v>Cyber</v>
      </c>
      <c r="O192" s="84" t="e">
        <f>VLOOKUP(VALUE($S192),lookups!I:J,2,FALSE)</f>
        <v>#N/A</v>
      </c>
      <c r="P192" s="84">
        <f>VLOOKUP(VALUE($S192),lookups!F:G,2,FALSE)</f>
        <v>23</v>
      </c>
      <c r="Q192" s="84" t="str">
        <f t="shared" si="8"/>
        <v>ParentNotInCyberQuery</v>
      </c>
      <c r="R192" s="84">
        <f t="shared" si="9"/>
        <v>216552</v>
      </c>
      <c r="S192" s="84">
        <f t="shared" si="10"/>
        <v>390286</v>
      </c>
      <c r="T192" s="84">
        <f t="shared" si="11"/>
        <v>0</v>
      </c>
    </row>
    <row r="193" spans="1:22" ht="28.8" x14ac:dyDescent="0.3">
      <c r="B193" s="84">
        <v>364209</v>
      </c>
      <c r="C193" s="85">
        <v>364204</v>
      </c>
      <c r="D193" s="84" t="s">
        <v>6</v>
      </c>
      <c r="E193" s="84" t="s">
        <v>345</v>
      </c>
      <c r="F193" s="86" t="s">
        <v>655</v>
      </c>
      <c r="G193" s="87" t="s">
        <v>444</v>
      </c>
      <c r="H193" s="103">
        <v>5</v>
      </c>
      <c r="I193" s="105" t="s">
        <v>48</v>
      </c>
      <c r="J193" s="105"/>
      <c r="K193" s="89" t="s">
        <v>1616</v>
      </c>
      <c r="L193" s="107" t="s">
        <v>191</v>
      </c>
      <c r="M193" s="88" t="str">
        <f>VLOOKUP(L193,lookups!B:C,2,FALSE)</f>
        <v>Gerald V</v>
      </c>
      <c r="N193" s="89" t="str">
        <f>VLOOKUP(K193,TeamLookup[],2,0)</f>
        <v>Magic</v>
      </c>
      <c r="O193" s="84" t="e">
        <f>VLOOKUP(VALUE($S193),lookups!I:J,2,FALSE)</f>
        <v>#N/A</v>
      </c>
      <c r="P193" s="84">
        <f>VLOOKUP(VALUE($S193),lookups!F:G,2,FALSE)</f>
        <v>26</v>
      </c>
      <c r="Q193" s="84" t="str">
        <f t="shared" si="8"/>
        <v/>
      </c>
      <c r="R193" s="84">
        <f t="shared" si="9"/>
        <v>244386</v>
      </c>
      <c r="S193" s="84">
        <f t="shared" si="10"/>
        <v>364204</v>
      </c>
      <c r="T193" s="84">
        <f t="shared" si="11"/>
        <v>364209</v>
      </c>
    </row>
    <row r="194" spans="1:22" ht="28.8" x14ac:dyDescent="0.3">
      <c r="B194" s="84">
        <v>375075</v>
      </c>
      <c r="C194" s="85">
        <v>364204</v>
      </c>
      <c r="D194" s="84" t="s">
        <v>6</v>
      </c>
      <c r="E194" s="84" t="s">
        <v>345</v>
      </c>
      <c r="F194" s="86" t="s">
        <v>565</v>
      </c>
      <c r="G194" s="87" t="s">
        <v>434</v>
      </c>
      <c r="H194" s="87">
        <v>3</v>
      </c>
      <c r="I194" s="89" t="s">
        <v>48</v>
      </c>
      <c r="J194" s="89"/>
      <c r="K194" s="89" t="s">
        <v>1616</v>
      </c>
      <c r="L194" s="88" t="s">
        <v>191</v>
      </c>
      <c r="M194" s="88" t="str">
        <f>VLOOKUP(L194,lookups!B:C,2,FALSE)</f>
        <v>Gerald V</v>
      </c>
      <c r="N194" s="89" t="str">
        <f>VLOOKUP(K194,TeamLookup[],2,0)</f>
        <v>Magic</v>
      </c>
      <c r="O194" s="84" t="e">
        <f>VLOOKUP(VALUE($S194),lookups!I:J,2,FALSE)</f>
        <v>#N/A</v>
      </c>
      <c r="P194" s="84">
        <f>VLOOKUP(VALUE($S194),lookups!F:G,2,FALSE)</f>
        <v>26</v>
      </c>
      <c r="Q194" s="84" t="str">
        <f t="shared" ref="Q194:Q257" si="12">IF($B194="","ZeroEntry",
IF($D194="Program Epic","",
IF(OR($D194="Feature",$D194="Story",$D194="Task"),
  IF($C194="","Missing_ParentEntry",
IF(ISERROR(MATCH(VALUE($C194),$B:$B,0)),"ParentNotInCyberQuery",
IF(AND($D194="Story",VLOOKUP(VALUE($C194),$B:$D,3,FALSE)&lt;&gt;"Feature"),"Warning: StoryParentIs_"&amp;VLOOKUP(VALUE($C194),$B:$D,3,FALSE)&amp;"_NotFeature",
IF(AND(OR($D194="Story",$D194="Task"),VLOOKUP(VALUE($C194),$B:$C,2,FALSE)=""),"MissingGrandparent",
IF(AND($D194="Feature",ISERROR(MATCH("#"&amp;$B194,$C:$C,0))),"FeatureHasNoStories",
IF(AND($D194="Feature",VLOOKUP(VALUE($C194),$B:$D,3,FALSE)&lt;&gt;"Program Epic"),"FeatureParentIs_"&amp;VLOOKUP(VALUE($C194),$B:$D,3,FALSE)&amp;"_NotEpic","")))))),"")))</f>
        <v/>
      </c>
      <c r="R194" s="84">
        <f t="shared" ref="R194:R257" si="13">IF(AND($Q194&lt;&gt;"FeatureHasNoStories","Warning: StoryParentIs_Program Epic_NotFeature"&lt;&gt;$Q194,$Q194&lt;&gt;"ParentNotInCyberQuery",$Q194&lt;&gt;""),$Q194,
IF($D194="Program Epic",B194,
IF($D194="Feature",VALUE($C194),
IF("Warning: StoryParentIs_Program Epic_NotFeature"=$Q194,VALUE($C194),
IF(AND($D194="Story",$Q194="ParentNotInCyberQuery"),"MT",
IF($C194=0,"N/A",
IF(OR($D194="Story",$D194="Task"),VALUE(VLOOKUP(VALUE($C194),$B:$C,2,FALSE)),"N/A")))))))</f>
        <v>244386</v>
      </c>
      <c r="S194" s="84">
        <f t="shared" ref="S194:S257" si="14">IF($D194="Program Epic",0,
IF($D194="Feature",$B194,
IF($C194=0,"NoParentFeature",VALUE($C194))))</f>
        <v>364204</v>
      </c>
      <c r="T194" s="84">
        <f t="shared" ref="T194:T257" si="15">IF(OR($D194="Story",$D194="Task"),$B194,0)</f>
        <v>375075</v>
      </c>
    </row>
    <row r="195" spans="1:22" x14ac:dyDescent="0.3">
      <c r="B195" s="84">
        <v>375074</v>
      </c>
      <c r="C195" s="85">
        <v>364204</v>
      </c>
      <c r="D195" s="84" t="s">
        <v>6</v>
      </c>
      <c r="E195" s="84" t="s">
        <v>345</v>
      </c>
      <c r="F195" s="86" t="s">
        <v>566</v>
      </c>
      <c r="G195" s="87" t="s">
        <v>1348</v>
      </c>
      <c r="H195" s="87">
        <v>2</v>
      </c>
      <c r="I195" s="89"/>
      <c r="J195" s="89"/>
      <c r="K195" s="89" t="s">
        <v>1614</v>
      </c>
      <c r="L195" s="84" t="s">
        <v>214</v>
      </c>
      <c r="M195" s="88" t="str">
        <f>VLOOKUP(L195,lookups!B:C,2,FALSE)</f>
        <v>Dave G</v>
      </c>
      <c r="N195" s="89" t="str">
        <f>VLOOKUP(K195,TeamLookup[],2,0)</f>
        <v>Cyber</v>
      </c>
      <c r="O195" s="84" t="e">
        <f>VLOOKUP(VALUE($S195),lookups!I:J,2,FALSE)</f>
        <v>#N/A</v>
      </c>
      <c r="P195" s="84">
        <f>VLOOKUP(VALUE($S195),lookups!F:G,2,FALSE)</f>
        <v>26</v>
      </c>
      <c r="Q195" s="84" t="str">
        <f t="shared" si="12"/>
        <v/>
      </c>
      <c r="R195" s="84">
        <f t="shared" si="13"/>
        <v>244386</v>
      </c>
      <c r="S195" s="84">
        <f t="shared" si="14"/>
        <v>364204</v>
      </c>
      <c r="T195" s="84">
        <f t="shared" si="15"/>
        <v>375074</v>
      </c>
      <c r="V195" s="94"/>
    </row>
    <row r="196" spans="1:22" ht="28.8" x14ac:dyDescent="0.3">
      <c r="B196" s="84">
        <v>364204</v>
      </c>
      <c r="C196" s="85">
        <v>244386</v>
      </c>
      <c r="D196" s="84" t="s">
        <v>24</v>
      </c>
      <c r="E196" s="84" t="s">
        <v>345</v>
      </c>
      <c r="F196" s="86" t="s">
        <v>656</v>
      </c>
      <c r="G196" s="87" t="s">
        <v>1347</v>
      </c>
      <c r="H196" s="87"/>
      <c r="I196" s="89" t="s">
        <v>48</v>
      </c>
      <c r="J196" s="89"/>
      <c r="K196" s="106" t="s">
        <v>1614</v>
      </c>
      <c r="L196" s="84" t="s">
        <v>125</v>
      </c>
      <c r="M196" s="88" t="str">
        <f>VLOOKUP(L196,lookups!B:C,2,FALSE)</f>
        <v>Dave C</v>
      </c>
      <c r="N196" s="89" t="str">
        <f>VLOOKUP(K196,TeamLookup[],2,0)</f>
        <v>Cyber</v>
      </c>
      <c r="O196" s="84" t="e">
        <f>VLOOKUP(VALUE($S196),lookups!I:J,2,FALSE)</f>
        <v>#N/A</v>
      </c>
      <c r="P196" s="84">
        <f>VLOOKUP(VALUE($S196),lookups!F:G,2,FALSE)</f>
        <v>26</v>
      </c>
      <c r="Q196" s="84" t="str">
        <f t="shared" si="12"/>
        <v>ParentNotInCyberQuery</v>
      </c>
      <c r="R196" s="84">
        <f t="shared" si="13"/>
        <v>244386</v>
      </c>
      <c r="S196" s="84">
        <f t="shared" si="14"/>
        <v>364204</v>
      </c>
      <c r="T196" s="84">
        <f t="shared" si="15"/>
        <v>0</v>
      </c>
    </row>
    <row r="197" spans="1:22" x14ac:dyDescent="0.3">
      <c r="B197" s="84">
        <v>385266</v>
      </c>
      <c r="C197" s="85">
        <v>385260</v>
      </c>
      <c r="D197" s="84" t="s">
        <v>6</v>
      </c>
      <c r="E197" s="84" t="s">
        <v>345</v>
      </c>
      <c r="F197" s="86" t="s">
        <v>463</v>
      </c>
      <c r="G197" s="87" t="s">
        <v>1349</v>
      </c>
      <c r="H197" s="103">
        <v>5</v>
      </c>
      <c r="I197" s="89"/>
      <c r="J197" s="89" t="s">
        <v>464</v>
      </c>
      <c r="K197" s="89" t="s">
        <v>1614</v>
      </c>
      <c r="L197" s="107" t="s">
        <v>125</v>
      </c>
      <c r="M197" s="88" t="str">
        <f>VLOOKUP(L197,lookups!B:C,2,FALSE)</f>
        <v>Dave C</v>
      </c>
      <c r="N197" s="89" t="str">
        <f>VLOOKUP(K197,TeamLookup[],2,0)</f>
        <v>Cyber</v>
      </c>
      <c r="O197" s="84" t="e">
        <f>VLOOKUP(VALUE($S197),lookups!I:J,2,FALSE)</f>
        <v>#N/A</v>
      </c>
      <c r="P197" s="84">
        <f>VLOOKUP(VALUE($S197),lookups!F:G,2,FALSE)</f>
        <v>28</v>
      </c>
      <c r="Q197" s="84" t="str">
        <f t="shared" si="12"/>
        <v/>
      </c>
      <c r="R197" s="84">
        <f t="shared" si="13"/>
        <v>244386</v>
      </c>
      <c r="S197" s="84">
        <f t="shared" si="14"/>
        <v>385260</v>
      </c>
      <c r="T197" s="84">
        <f t="shared" si="15"/>
        <v>385266</v>
      </c>
    </row>
    <row r="198" spans="1:22" x14ac:dyDescent="0.3">
      <c r="B198" s="84">
        <v>385273</v>
      </c>
      <c r="C198" s="85">
        <v>385260</v>
      </c>
      <c r="D198" s="84" t="s">
        <v>6</v>
      </c>
      <c r="E198" s="84" t="s">
        <v>345</v>
      </c>
      <c r="F198" s="86" t="s">
        <v>461</v>
      </c>
      <c r="G198" s="87" t="s">
        <v>1344</v>
      </c>
      <c r="H198" s="87">
        <v>3</v>
      </c>
      <c r="I198" s="89"/>
      <c r="J198" s="89" t="s">
        <v>462</v>
      </c>
      <c r="K198" s="89" t="s">
        <v>1614</v>
      </c>
      <c r="L198" s="84" t="s">
        <v>213</v>
      </c>
      <c r="M198" s="88" t="str">
        <f>VLOOKUP(L198,lookups!B:C,2,FALSE)</f>
        <v>Alice</v>
      </c>
      <c r="N198" s="89" t="str">
        <f>VLOOKUP(K198,TeamLookup[],2,0)</f>
        <v>Cyber</v>
      </c>
      <c r="O198" s="84" t="e">
        <f>VLOOKUP(VALUE($S198),lookups!I:J,2,FALSE)</f>
        <v>#N/A</v>
      </c>
      <c r="P198" s="84">
        <f>VLOOKUP(VALUE($S198),lookups!F:G,2,FALSE)</f>
        <v>28</v>
      </c>
      <c r="Q198" s="84" t="str">
        <f t="shared" si="12"/>
        <v/>
      </c>
      <c r="R198" s="84">
        <f t="shared" si="13"/>
        <v>244386</v>
      </c>
      <c r="S198" s="84">
        <f t="shared" si="14"/>
        <v>385260</v>
      </c>
      <c r="T198" s="84">
        <f t="shared" si="15"/>
        <v>385273</v>
      </c>
    </row>
    <row r="199" spans="1:22" x14ac:dyDescent="0.3">
      <c r="B199" s="84">
        <v>385260</v>
      </c>
      <c r="C199" s="85">
        <v>244386</v>
      </c>
      <c r="D199" s="84" t="s">
        <v>24</v>
      </c>
      <c r="E199" s="84" t="s">
        <v>345</v>
      </c>
      <c r="F199" s="86" t="s">
        <v>465</v>
      </c>
      <c r="G199" s="87" t="s">
        <v>1343</v>
      </c>
      <c r="H199" s="87"/>
      <c r="I199" s="89" t="s">
        <v>48</v>
      </c>
      <c r="J199" s="89"/>
      <c r="K199" s="89" t="s">
        <v>1614</v>
      </c>
      <c r="L199" s="84" t="s">
        <v>129</v>
      </c>
      <c r="M199" s="88" t="str">
        <f>VLOOKUP(L199,lookups!B:C,2,FALSE)</f>
        <v>Derek</v>
      </c>
      <c r="N199" s="89" t="str">
        <f>VLOOKUP(K199,TeamLookup[],2,0)</f>
        <v>Cyber</v>
      </c>
      <c r="O199" s="84" t="e">
        <f>VLOOKUP(VALUE($S199),lookups!I:J,2,FALSE)</f>
        <v>#N/A</v>
      </c>
      <c r="P199" s="84">
        <f>VLOOKUP(VALUE($S199),lookups!F:G,2,FALSE)</f>
        <v>28</v>
      </c>
      <c r="Q199" s="84" t="str">
        <f t="shared" si="12"/>
        <v>ParentNotInCyberQuery</v>
      </c>
      <c r="R199" s="84">
        <f t="shared" si="13"/>
        <v>244386</v>
      </c>
      <c r="S199" s="84">
        <f t="shared" si="14"/>
        <v>385260</v>
      </c>
      <c r="T199" s="84">
        <f t="shared" si="15"/>
        <v>0</v>
      </c>
    </row>
    <row r="200" spans="1:22" ht="28.8" x14ac:dyDescent="0.3">
      <c r="A200" s="96"/>
      <c r="B200" s="84">
        <v>365530</v>
      </c>
      <c r="C200" s="85">
        <v>245559</v>
      </c>
      <c r="D200" s="84" t="s">
        <v>24</v>
      </c>
      <c r="E200" s="84" t="s">
        <v>653</v>
      </c>
      <c r="F200" s="86" t="s">
        <v>654</v>
      </c>
      <c r="G200" s="87" t="s">
        <v>442</v>
      </c>
      <c r="H200" s="87"/>
      <c r="I200" s="84"/>
      <c r="J200" s="84"/>
      <c r="K200" s="84" t="s">
        <v>1614</v>
      </c>
      <c r="L200" s="84" t="s">
        <v>129</v>
      </c>
      <c r="M200" s="88" t="str">
        <f>VLOOKUP(L200,lookups!B:C,2,FALSE)</f>
        <v>Derek</v>
      </c>
      <c r="N200" s="89" t="str">
        <f>VLOOKUP(K200,TeamLookup[],2,0)</f>
        <v>Cyber</v>
      </c>
      <c r="O200" s="84" t="e">
        <f>VLOOKUP(VALUE($S200),lookups!I:J,2,FALSE)</f>
        <v>#N/A</v>
      </c>
      <c r="P200" s="84" t="e">
        <f>VLOOKUP(VALUE($S200),lookups!F:G,2,FALSE)</f>
        <v>#N/A</v>
      </c>
      <c r="Q200" s="84" t="str">
        <f t="shared" si="12"/>
        <v>ParentNotInCyberQuery</v>
      </c>
      <c r="R200" s="84">
        <f t="shared" si="13"/>
        <v>245559</v>
      </c>
      <c r="S200" s="84">
        <f t="shared" si="14"/>
        <v>365530</v>
      </c>
      <c r="T200" s="84">
        <f t="shared" si="15"/>
        <v>0</v>
      </c>
    </row>
    <row r="201" spans="1:22" x14ac:dyDescent="0.3">
      <c r="A201" s="96"/>
      <c r="B201" s="84">
        <v>342538</v>
      </c>
      <c r="C201" s="85">
        <v>342384</v>
      </c>
      <c r="D201" s="84" t="s">
        <v>6</v>
      </c>
      <c r="E201" s="84" t="s">
        <v>7</v>
      </c>
      <c r="F201" s="86" t="s">
        <v>730</v>
      </c>
      <c r="G201" s="87" t="s">
        <v>442</v>
      </c>
      <c r="H201" s="87">
        <v>3</v>
      </c>
      <c r="I201" s="89"/>
      <c r="J201" s="89"/>
      <c r="K201" s="89" t="s">
        <v>1614</v>
      </c>
      <c r="L201" s="84" t="s">
        <v>8</v>
      </c>
      <c r="M201" s="88" t="str">
        <f>VLOOKUP(L201,lookups!B:C,2,FALSE)</f>
        <v>TBD</v>
      </c>
      <c r="N201" s="89" t="str">
        <f>VLOOKUP(K201,TeamLookup[],2,0)</f>
        <v>Cyber</v>
      </c>
      <c r="O201" s="84" t="e">
        <f>VLOOKUP(VALUE($S201),lookups!I:J,2,FALSE)</f>
        <v>#N/A</v>
      </c>
      <c r="P201" s="84" t="e">
        <f>VLOOKUP(VALUE($S201),lookups!F:G,2,FALSE)</f>
        <v>#N/A</v>
      </c>
      <c r="Q201" s="84" t="str">
        <f t="shared" si="12"/>
        <v/>
      </c>
      <c r="R201" s="84">
        <f t="shared" si="13"/>
        <v>245560</v>
      </c>
      <c r="S201" s="84">
        <f t="shared" si="14"/>
        <v>342384</v>
      </c>
      <c r="T201" s="84">
        <f t="shared" si="15"/>
        <v>342538</v>
      </c>
    </row>
    <row r="202" spans="1:22" x14ac:dyDescent="0.3">
      <c r="B202" s="84">
        <v>342537</v>
      </c>
      <c r="C202" s="85">
        <v>342384</v>
      </c>
      <c r="D202" s="84" t="s">
        <v>6</v>
      </c>
      <c r="E202" s="84" t="s">
        <v>7</v>
      </c>
      <c r="F202" s="86" t="s">
        <v>731</v>
      </c>
      <c r="G202" s="109" t="s">
        <v>442</v>
      </c>
      <c r="H202" s="87">
        <v>3</v>
      </c>
      <c r="I202" s="89"/>
      <c r="J202" s="89"/>
      <c r="K202" s="89" t="s">
        <v>1614</v>
      </c>
      <c r="L202" s="84" t="s">
        <v>8</v>
      </c>
      <c r="M202" s="88" t="str">
        <f>VLOOKUP(L202,lookups!B:C,2,FALSE)</f>
        <v>TBD</v>
      </c>
      <c r="N202" s="89" t="str">
        <f>VLOOKUP(K202,TeamLookup[],2,0)</f>
        <v>Cyber</v>
      </c>
      <c r="O202" s="84" t="e">
        <f>VLOOKUP(VALUE($S202),lookups!I:J,2,FALSE)</f>
        <v>#N/A</v>
      </c>
      <c r="P202" s="84" t="e">
        <f>VLOOKUP(VALUE($S202),lookups!F:G,2,FALSE)</f>
        <v>#N/A</v>
      </c>
      <c r="Q202" s="84" t="str">
        <f t="shared" si="12"/>
        <v/>
      </c>
      <c r="R202" s="84">
        <f t="shared" si="13"/>
        <v>245560</v>
      </c>
      <c r="S202" s="84">
        <f t="shared" si="14"/>
        <v>342384</v>
      </c>
      <c r="T202" s="84">
        <f t="shared" si="15"/>
        <v>342537</v>
      </c>
    </row>
    <row r="203" spans="1:22" x14ac:dyDescent="0.3">
      <c r="B203" s="84">
        <v>342536</v>
      </c>
      <c r="C203" s="85">
        <v>342384</v>
      </c>
      <c r="D203" s="84" t="s">
        <v>6</v>
      </c>
      <c r="E203" s="84" t="s">
        <v>7</v>
      </c>
      <c r="F203" s="86" t="s">
        <v>732</v>
      </c>
      <c r="G203" s="109" t="s">
        <v>442</v>
      </c>
      <c r="H203" s="87">
        <v>3</v>
      </c>
      <c r="I203" s="84"/>
      <c r="J203" s="84"/>
      <c r="K203" s="84" t="s">
        <v>1614</v>
      </c>
      <c r="L203" s="84" t="s">
        <v>8</v>
      </c>
      <c r="M203" s="88" t="str">
        <f>VLOOKUP(L203,lookups!B:C,2,FALSE)</f>
        <v>TBD</v>
      </c>
      <c r="N203" s="89" t="str">
        <f>VLOOKUP(K203,TeamLookup[],2,0)</f>
        <v>Cyber</v>
      </c>
      <c r="O203" s="84" t="e">
        <f>VLOOKUP(VALUE($S203),lookups!I:J,2,FALSE)</f>
        <v>#N/A</v>
      </c>
      <c r="P203" s="84" t="e">
        <f>VLOOKUP(VALUE($S203),lookups!F:G,2,FALSE)</f>
        <v>#N/A</v>
      </c>
      <c r="Q203" s="84" t="str">
        <f t="shared" si="12"/>
        <v/>
      </c>
      <c r="R203" s="84">
        <f t="shared" si="13"/>
        <v>245560</v>
      </c>
      <c r="S203" s="84">
        <f t="shared" si="14"/>
        <v>342384</v>
      </c>
      <c r="T203" s="84">
        <f t="shared" si="15"/>
        <v>342536</v>
      </c>
    </row>
    <row r="204" spans="1:22" x14ac:dyDescent="0.3">
      <c r="B204" s="84">
        <v>342398</v>
      </c>
      <c r="C204" s="85">
        <v>342384</v>
      </c>
      <c r="D204" s="84" t="s">
        <v>344</v>
      </c>
      <c r="E204" s="84" t="s">
        <v>7</v>
      </c>
      <c r="F204" s="86" t="s">
        <v>733</v>
      </c>
      <c r="G204" s="87" t="s">
        <v>442</v>
      </c>
      <c r="H204" s="87"/>
      <c r="I204" s="89"/>
      <c r="J204" s="89"/>
      <c r="K204" s="89" t="s">
        <v>1614</v>
      </c>
      <c r="L204" s="84" t="s">
        <v>8</v>
      </c>
      <c r="M204" s="88" t="str">
        <f>VLOOKUP(L204,lookups!B:C,2,FALSE)</f>
        <v>TBD</v>
      </c>
      <c r="N204" s="89" t="str">
        <f>VLOOKUP(K204,TeamLookup[],2,0)</f>
        <v>Cyber</v>
      </c>
      <c r="O204" s="84" t="e">
        <f>VLOOKUP(VALUE($S204),lookups!I:J,2,FALSE)</f>
        <v>#N/A</v>
      </c>
      <c r="P204" s="84" t="e">
        <f>VLOOKUP(VALUE($S204),lookups!F:G,2,FALSE)</f>
        <v>#N/A</v>
      </c>
      <c r="Q204" s="84" t="str">
        <f t="shared" si="12"/>
        <v/>
      </c>
      <c r="R204" s="84">
        <f t="shared" si="13"/>
        <v>245560</v>
      </c>
      <c r="S204" s="84">
        <f t="shared" si="14"/>
        <v>342384</v>
      </c>
      <c r="T204" s="84">
        <f t="shared" si="15"/>
        <v>342398</v>
      </c>
    </row>
    <row r="205" spans="1:22" x14ac:dyDescent="0.3">
      <c r="B205" s="84">
        <v>342396</v>
      </c>
      <c r="C205" s="85">
        <v>342384</v>
      </c>
      <c r="D205" s="84" t="s">
        <v>6</v>
      </c>
      <c r="E205" s="84" t="s">
        <v>7</v>
      </c>
      <c r="F205" s="86" t="s">
        <v>734</v>
      </c>
      <c r="G205" s="109" t="s">
        <v>442</v>
      </c>
      <c r="H205" s="103">
        <v>1</v>
      </c>
      <c r="I205" s="89"/>
      <c r="J205" s="89"/>
      <c r="K205" s="89" t="s">
        <v>1614</v>
      </c>
      <c r="L205" s="107" t="s">
        <v>8</v>
      </c>
      <c r="M205" s="88" t="str">
        <f>VLOOKUP(L205,lookups!B:C,2,FALSE)</f>
        <v>TBD</v>
      </c>
      <c r="N205" s="89" t="str">
        <f>VLOOKUP(K205,TeamLookup[],2,0)</f>
        <v>Cyber</v>
      </c>
      <c r="O205" s="84" t="e">
        <f>VLOOKUP(VALUE($S205),lookups!I:J,2,FALSE)</f>
        <v>#N/A</v>
      </c>
      <c r="P205" s="84" t="e">
        <f>VLOOKUP(VALUE($S205),lookups!F:G,2,FALSE)</f>
        <v>#N/A</v>
      </c>
      <c r="Q205" s="84" t="str">
        <f t="shared" si="12"/>
        <v/>
      </c>
      <c r="R205" s="84">
        <f t="shared" si="13"/>
        <v>245560</v>
      </c>
      <c r="S205" s="84">
        <f t="shared" si="14"/>
        <v>342384</v>
      </c>
      <c r="T205" s="84">
        <f t="shared" si="15"/>
        <v>342396</v>
      </c>
    </row>
    <row r="206" spans="1:22" x14ac:dyDescent="0.3">
      <c r="B206" s="84">
        <v>342394</v>
      </c>
      <c r="C206" s="85">
        <v>342384</v>
      </c>
      <c r="D206" s="84" t="s">
        <v>6</v>
      </c>
      <c r="E206" s="84" t="s">
        <v>7</v>
      </c>
      <c r="F206" s="86" t="s">
        <v>735</v>
      </c>
      <c r="G206" s="87" t="s">
        <v>442</v>
      </c>
      <c r="H206" s="87">
        <v>5</v>
      </c>
      <c r="I206" s="89"/>
      <c r="J206" s="89"/>
      <c r="K206" s="89" t="s">
        <v>1614</v>
      </c>
      <c r="L206" s="84" t="s">
        <v>8</v>
      </c>
      <c r="M206" s="88" t="str">
        <f>VLOOKUP(L206,lookups!B:C,2,FALSE)</f>
        <v>TBD</v>
      </c>
      <c r="N206" s="89" t="str">
        <f>VLOOKUP(K206,TeamLookup[],2,0)</f>
        <v>Cyber</v>
      </c>
      <c r="O206" s="84" t="e">
        <f>VLOOKUP(VALUE($S206),lookups!I:J,2,FALSE)</f>
        <v>#N/A</v>
      </c>
      <c r="P206" s="84" t="e">
        <f>VLOOKUP(VALUE($S206),lookups!F:G,2,FALSE)</f>
        <v>#N/A</v>
      </c>
      <c r="Q206" s="84" t="str">
        <f t="shared" si="12"/>
        <v/>
      </c>
      <c r="R206" s="84">
        <f t="shared" si="13"/>
        <v>245560</v>
      </c>
      <c r="S206" s="84">
        <f t="shared" si="14"/>
        <v>342384</v>
      </c>
      <c r="T206" s="84">
        <f t="shared" si="15"/>
        <v>342394</v>
      </c>
    </row>
    <row r="207" spans="1:22" x14ac:dyDescent="0.3">
      <c r="B207" s="84">
        <v>342393</v>
      </c>
      <c r="C207" s="85">
        <v>342384</v>
      </c>
      <c r="D207" s="84" t="s">
        <v>6</v>
      </c>
      <c r="E207" s="84" t="s">
        <v>7</v>
      </c>
      <c r="F207" s="86" t="s">
        <v>736</v>
      </c>
      <c r="G207" s="87" t="s">
        <v>442</v>
      </c>
      <c r="H207" s="87">
        <v>1</v>
      </c>
      <c r="I207" s="84"/>
      <c r="J207" s="84" t="s">
        <v>737</v>
      </c>
      <c r="K207" s="116" t="s">
        <v>1614</v>
      </c>
      <c r="L207" s="84" t="s">
        <v>8</v>
      </c>
      <c r="M207" s="88" t="str">
        <f>VLOOKUP(L207,lookups!B:C,2,FALSE)</f>
        <v>TBD</v>
      </c>
      <c r="N207" s="89" t="str">
        <f>VLOOKUP(K207,TeamLookup[],2,0)</f>
        <v>Cyber</v>
      </c>
      <c r="O207" s="84" t="e">
        <f>VLOOKUP(VALUE($S207),lookups!I:J,2,FALSE)</f>
        <v>#N/A</v>
      </c>
      <c r="P207" s="84" t="e">
        <f>VLOOKUP(VALUE($S207),lookups!F:G,2,FALSE)</f>
        <v>#N/A</v>
      </c>
      <c r="Q207" s="84" t="str">
        <f t="shared" si="12"/>
        <v/>
      </c>
      <c r="R207" s="84">
        <f t="shared" si="13"/>
        <v>245560</v>
      </c>
      <c r="S207" s="84">
        <f t="shared" si="14"/>
        <v>342384</v>
      </c>
      <c r="T207" s="84">
        <f t="shared" si="15"/>
        <v>342393</v>
      </c>
    </row>
    <row r="208" spans="1:22" x14ac:dyDescent="0.3">
      <c r="B208" s="84">
        <v>342392</v>
      </c>
      <c r="C208" s="85">
        <v>342384</v>
      </c>
      <c r="D208" s="84" t="s">
        <v>6</v>
      </c>
      <c r="E208" s="84" t="s">
        <v>7</v>
      </c>
      <c r="F208" s="86" t="s">
        <v>738</v>
      </c>
      <c r="G208" s="87" t="s">
        <v>442</v>
      </c>
      <c r="H208" s="87">
        <v>3</v>
      </c>
      <c r="I208" s="84"/>
      <c r="J208" s="84" t="s">
        <v>739</v>
      </c>
      <c r="K208" s="84" t="s">
        <v>1634</v>
      </c>
      <c r="L208" s="84" t="s">
        <v>8</v>
      </c>
      <c r="M208" s="88" t="str">
        <f>VLOOKUP(L208,lookups!B:C,2,FALSE)</f>
        <v>TBD</v>
      </c>
      <c r="N208" s="89" t="e">
        <f>VLOOKUP(K208,TeamLookup[],2,0)</f>
        <v>#N/A</v>
      </c>
      <c r="O208" s="84" t="e">
        <f>VLOOKUP(VALUE($S208),lookups!I:J,2,FALSE)</f>
        <v>#N/A</v>
      </c>
      <c r="P208" s="84" t="e">
        <f>VLOOKUP(VALUE($S208),lookups!F:G,2,FALSE)</f>
        <v>#N/A</v>
      </c>
      <c r="Q208" s="84" t="str">
        <f t="shared" si="12"/>
        <v/>
      </c>
      <c r="R208" s="84">
        <f t="shared" si="13"/>
        <v>245560</v>
      </c>
      <c r="S208" s="84">
        <f t="shared" si="14"/>
        <v>342384</v>
      </c>
      <c r="T208" s="84">
        <f t="shared" si="15"/>
        <v>342392</v>
      </c>
    </row>
    <row r="209" spans="1:20" x14ac:dyDescent="0.3">
      <c r="A209" s="96"/>
      <c r="B209" s="84">
        <v>342391</v>
      </c>
      <c r="C209" s="85">
        <v>342384</v>
      </c>
      <c r="D209" s="84" t="s">
        <v>6</v>
      </c>
      <c r="E209" s="84" t="s">
        <v>7</v>
      </c>
      <c r="F209" s="86" t="s">
        <v>740</v>
      </c>
      <c r="G209" s="87" t="s">
        <v>442</v>
      </c>
      <c r="H209" s="87">
        <v>2</v>
      </c>
      <c r="I209" s="84"/>
      <c r="J209" s="84"/>
      <c r="K209" s="84" t="s">
        <v>1614</v>
      </c>
      <c r="L209" s="84" t="s">
        <v>8</v>
      </c>
      <c r="M209" s="88" t="str">
        <f>VLOOKUP(L209,lookups!B:C,2,FALSE)</f>
        <v>TBD</v>
      </c>
      <c r="N209" s="89" t="str">
        <f>VLOOKUP(K209,TeamLookup[],2,0)</f>
        <v>Cyber</v>
      </c>
      <c r="O209" s="84" t="e">
        <f>VLOOKUP(VALUE($S209),lookups!I:J,2,FALSE)</f>
        <v>#N/A</v>
      </c>
      <c r="P209" s="84" t="e">
        <f>VLOOKUP(VALUE($S209),lookups!F:G,2,FALSE)</f>
        <v>#N/A</v>
      </c>
      <c r="Q209" s="84" t="str">
        <f t="shared" si="12"/>
        <v/>
      </c>
      <c r="R209" s="84">
        <f t="shared" si="13"/>
        <v>245560</v>
      </c>
      <c r="S209" s="84">
        <f t="shared" si="14"/>
        <v>342384</v>
      </c>
      <c r="T209" s="84">
        <f t="shared" si="15"/>
        <v>342391</v>
      </c>
    </row>
    <row r="210" spans="1:20" x14ac:dyDescent="0.3">
      <c r="B210" s="84">
        <v>342390</v>
      </c>
      <c r="C210" s="85">
        <v>342384</v>
      </c>
      <c r="D210" s="84" t="s">
        <v>6</v>
      </c>
      <c r="E210" s="84" t="s">
        <v>7</v>
      </c>
      <c r="F210" s="86" t="s">
        <v>741</v>
      </c>
      <c r="G210" s="87" t="s">
        <v>442</v>
      </c>
      <c r="H210" s="103">
        <v>3</v>
      </c>
      <c r="I210" s="89"/>
      <c r="J210" s="89" t="s">
        <v>742</v>
      </c>
      <c r="K210" s="89" t="s">
        <v>1614</v>
      </c>
      <c r="L210" s="107" t="s">
        <v>8</v>
      </c>
      <c r="M210" s="88" t="str">
        <f>VLOOKUP(L210,lookups!B:C,2,FALSE)</f>
        <v>TBD</v>
      </c>
      <c r="N210" s="89" t="str">
        <f>VLOOKUP(K210,TeamLookup[],2,0)</f>
        <v>Cyber</v>
      </c>
      <c r="O210" s="84" t="e">
        <f>VLOOKUP(VALUE($S210),lookups!I:J,2,FALSE)</f>
        <v>#N/A</v>
      </c>
      <c r="P210" s="84" t="e">
        <f>VLOOKUP(VALUE($S210),lookups!F:G,2,FALSE)</f>
        <v>#N/A</v>
      </c>
      <c r="Q210" s="84" t="str">
        <f t="shared" si="12"/>
        <v/>
      </c>
      <c r="R210" s="84">
        <f t="shared" si="13"/>
        <v>245560</v>
      </c>
      <c r="S210" s="84">
        <f t="shared" si="14"/>
        <v>342384</v>
      </c>
      <c r="T210" s="84">
        <f t="shared" si="15"/>
        <v>342390</v>
      </c>
    </row>
    <row r="211" spans="1:20" x14ac:dyDescent="0.3">
      <c r="B211" s="84">
        <v>342389</v>
      </c>
      <c r="C211" s="85">
        <v>342384</v>
      </c>
      <c r="D211" s="84" t="s">
        <v>6</v>
      </c>
      <c r="E211" s="84" t="s">
        <v>7</v>
      </c>
      <c r="F211" s="86" t="s">
        <v>743</v>
      </c>
      <c r="G211" s="87" t="s">
        <v>442</v>
      </c>
      <c r="H211" s="87">
        <v>2</v>
      </c>
      <c r="I211" s="89"/>
      <c r="J211" s="89"/>
      <c r="K211" s="89" t="s">
        <v>1614</v>
      </c>
      <c r="L211" s="84" t="s">
        <v>8</v>
      </c>
      <c r="M211" s="88" t="str">
        <f>VLOOKUP(L211,lookups!B:C,2,FALSE)</f>
        <v>TBD</v>
      </c>
      <c r="N211" s="89" t="str">
        <f>VLOOKUP(K211,TeamLookup[],2,0)</f>
        <v>Cyber</v>
      </c>
      <c r="O211" s="84" t="e">
        <f>VLOOKUP(VALUE($S211),lookups!I:J,2,FALSE)</f>
        <v>#N/A</v>
      </c>
      <c r="P211" s="84" t="e">
        <f>VLOOKUP(VALUE($S211),lookups!F:G,2,FALSE)</f>
        <v>#N/A</v>
      </c>
      <c r="Q211" s="84" t="str">
        <f t="shared" si="12"/>
        <v/>
      </c>
      <c r="R211" s="84">
        <f t="shared" si="13"/>
        <v>245560</v>
      </c>
      <c r="S211" s="84">
        <f t="shared" si="14"/>
        <v>342384</v>
      </c>
      <c r="T211" s="84">
        <f t="shared" si="15"/>
        <v>342389</v>
      </c>
    </row>
    <row r="212" spans="1:20" x14ac:dyDescent="0.3">
      <c r="B212" s="84">
        <v>342388</v>
      </c>
      <c r="C212" s="85">
        <v>342384</v>
      </c>
      <c r="D212" s="84" t="s">
        <v>6</v>
      </c>
      <c r="E212" s="84" t="s">
        <v>7</v>
      </c>
      <c r="F212" s="86" t="s">
        <v>744</v>
      </c>
      <c r="G212" s="87" t="s">
        <v>442</v>
      </c>
      <c r="H212" s="87">
        <v>3</v>
      </c>
      <c r="I212" s="89"/>
      <c r="J212" s="89"/>
      <c r="K212" s="89" t="s">
        <v>1614</v>
      </c>
      <c r="L212" s="84" t="s">
        <v>8</v>
      </c>
      <c r="M212" s="88" t="str">
        <f>VLOOKUP(L212,lookups!B:C,2,FALSE)</f>
        <v>TBD</v>
      </c>
      <c r="N212" s="89" t="str">
        <f>VLOOKUP(K212,TeamLookup[],2,0)</f>
        <v>Cyber</v>
      </c>
      <c r="O212" s="84" t="e">
        <f>VLOOKUP(VALUE($S212),lookups!I:J,2,FALSE)</f>
        <v>#N/A</v>
      </c>
      <c r="P212" s="84" t="e">
        <f>VLOOKUP(VALUE($S212),lookups!F:G,2,FALSE)</f>
        <v>#N/A</v>
      </c>
      <c r="Q212" s="84" t="str">
        <f t="shared" si="12"/>
        <v/>
      </c>
      <c r="R212" s="84">
        <f t="shared" si="13"/>
        <v>245560</v>
      </c>
      <c r="S212" s="84">
        <f t="shared" si="14"/>
        <v>342384</v>
      </c>
      <c r="T212" s="84">
        <f t="shared" si="15"/>
        <v>342388</v>
      </c>
    </row>
    <row r="213" spans="1:20" x14ac:dyDescent="0.3">
      <c r="A213" s="96"/>
      <c r="B213" s="84">
        <v>342387</v>
      </c>
      <c r="C213" s="85">
        <v>342384</v>
      </c>
      <c r="D213" s="84" t="s">
        <v>6</v>
      </c>
      <c r="E213" s="84" t="s">
        <v>7</v>
      </c>
      <c r="F213" s="86" t="s">
        <v>745</v>
      </c>
      <c r="G213" s="87" t="s">
        <v>442</v>
      </c>
      <c r="H213" s="87">
        <v>3</v>
      </c>
      <c r="I213" s="89"/>
      <c r="J213" s="89" t="s">
        <v>746</v>
      </c>
      <c r="K213" s="89" t="s">
        <v>1614</v>
      </c>
      <c r="L213" s="84" t="s">
        <v>8</v>
      </c>
      <c r="M213" s="88" t="str">
        <f>VLOOKUP(L213,lookups!B:C,2,FALSE)</f>
        <v>TBD</v>
      </c>
      <c r="N213" s="89" t="str">
        <f>VLOOKUP(K213,TeamLookup[],2,0)</f>
        <v>Cyber</v>
      </c>
      <c r="O213" s="84" t="e">
        <f>VLOOKUP(VALUE($S213),lookups!I:J,2,FALSE)</f>
        <v>#N/A</v>
      </c>
      <c r="P213" s="84" t="e">
        <f>VLOOKUP(VALUE($S213),lookups!F:G,2,FALSE)</f>
        <v>#N/A</v>
      </c>
      <c r="Q213" s="84" t="str">
        <f t="shared" si="12"/>
        <v/>
      </c>
      <c r="R213" s="84">
        <f t="shared" si="13"/>
        <v>245560</v>
      </c>
      <c r="S213" s="84">
        <f t="shared" si="14"/>
        <v>342384</v>
      </c>
      <c r="T213" s="84">
        <f t="shared" si="15"/>
        <v>342387</v>
      </c>
    </row>
    <row r="214" spans="1:20" ht="28.8" x14ac:dyDescent="0.3">
      <c r="B214" s="84">
        <v>342386</v>
      </c>
      <c r="C214" s="85">
        <v>342384</v>
      </c>
      <c r="D214" s="84" t="s">
        <v>6</v>
      </c>
      <c r="E214" s="84" t="s">
        <v>7</v>
      </c>
      <c r="F214" s="86" t="s">
        <v>747</v>
      </c>
      <c r="G214" s="87" t="s">
        <v>442</v>
      </c>
      <c r="H214" s="103">
        <v>1</v>
      </c>
      <c r="I214" s="89"/>
      <c r="J214" s="89" t="s">
        <v>748</v>
      </c>
      <c r="K214" s="89" t="s">
        <v>1614</v>
      </c>
      <c r="L214" s="107" t="s">
        <v>8</v>
      </c>
      <c r="M214" s="88" t="str">
        <f>VLOOKUP(L214,lookups!B:C,2,FALSE)</f>
        <v>TBD</v>
      </c>
      <c r="N214" s="89" t="str">
        <f>VLOOKUP(K214,TeamLookup[],2,0)</f>
        <v>Cyber</v>
      </c>
      <c r="O214" s="84" t="e">
        <f>VLOOKUP(VALUE($S214),lookups!I:J,2,FALSE)</f>
        <v>#N/A</v>
      </c>
      <c r="P214" s="84" t="e">
        <f>VLOOKUP(VALUE($S214),lookups!F:G,2,FALSE)</f>
        <v>#N/A</v>
      </c>
      <c r="Q214" s="84" t="str">
        <f t="shared" si="12"/>
        <v/>
      </c>
      <c r="R214" s="84">
        <f t="shared" si="13"/>
        <v>245560</v>
      </c>
      <c r="S214" s="84">
        <f t="shared" si="14"/>
        <v>342384</v>
      </c>
      <c r="T214" s="84">
        <f t="shared" si="15"/>
        <v>342386</v>
      </c>
    </row>
    <row r="215" spans="1:20" x14ac:dyDescent="0.3">
      <c r="A215" s="96"/>
      <c r="B215" s="84">
        <v>342385</v>
      </c>
      <c r="C215" s="85">
        <v>342384</v>
      </c>
      <c r="D215" s="84" t="s">
        <v>6</v>
      </c>
      <c r="E215" s="84" t="s">
        <v>7</v>
      </c>
      <c r="F215" s="86" t="s">
        <v>749</v>
      </c>
      <c r="G215" s="87" t="s">
        <v>442</v>
      </c>
      <c r="H215" s="103">
        <v>2</v>
      </c>
      <c r="I215" s="105"/>
      <c r="J215" s="105"/>
      <c r="K215" s="89" t="s">
        <v>1614</v>
      </c>
      <c r="L215" s="107" t="s">
        <v>8</v>
      </c>
      <c r="M215" s="88" t="str">
        <f>VLOOKUP(L215,lookups!B:C,2,FALSE)</f>
        <v>TBD</v>
      </c>
      <c r="N215" s="89" t="str">
        <f>VLOOKUP(K215,TeamLookup[],2,0)</f>
        <v>Cyber</v>
      </c>
      <c r="O215" s="84" t="e">
        <f>VLOOKUP(VALUE($S215),lookups!I:J,2,FALSE)</f>
        <v>#N/A</v>
      </c>
      <c r="P215" s="84" t="e">
        <f>VLOOKUP(VALUE($S215),lookups!F:G,2,FALSE)</f>
        <v>#N/A</v>
      </c>
      <c r="Q215" s="84" t="str">
        <f t="shared" si="12"/>
        <v/>
      </c>
      <c r="R215" s="84">
        <f t="shared" si="13"/>
        <v>245560</v>
      </c>
      <c r="S215" s="84">
        <f t="shared" si="14"/>
        <v>342384</v>
      </c>
      <c r="T215" s="84">
        <f t="shared" si="15"/>
        <v>342385</v>
      </c>
    </row>
    <row r="216" spans="1:20" x14ac:dyDescent="0.3">
      <c r="B216" s="84">
        <v>342384</v>
      </c>
      <c r="C216" s="85">
        <v>245560</v>
      </c>
      <c r="D216" s="84" t="s">
        <v>24</v>
      </c>
      <c r="E216" s="84" t="s">
        <v>723</v>
      </c>
      <c r="F216" s="91" t="s">
        <v>750</v>
      </c>
      <c r="G216" s="87" t="s">
        <v>442</v>
      </c>
      <c r="H216" s="87"/>
      <c r="I216" s="89"/>
      <c r="J216" s="89"/>
      <c r="K216" s="89" t="s">
        <v>1614</v>
      </c>
      <c r="L216" s="84" t="s">
        <v>129</v>
      </c>
      <c r="M216" s="88" t="str">
        <f>VLOOKUP(L216,lookups!B:C,2,FALSE)</f>
        <v>Derek</v>
      </c>
      <c r="N216" s="89" t="str">
        <f>VLOOKUP(K216,TeamLookup[],2,0)</f>
        <v>Cyber</v>
      </c>
      <c r="O216" s="84" t="e">
        <f>VLOOKUP(VALUE($S216),lookups!I:J,2,FALSE)</f>
        <v>#N/A</v>
      </c>
      <c r="P216" s="84" t="e">
        <f>VLOOKUP(VALUE($S216),lookups!F:G,2,FALSE)</f>
        <v>#N/A</v>
      </c>
      <c r="Q216" s="84" t="str">
        <f t="shared" si="12"/>
        <v>ParentNotInCyberQuery</v>
      </c>
      <c r="R216" s="84">
        <f t="shared" si="13"/>
        <v>245560</v>
      </c>
      <c r="S216" s="84">
        <f t="shared" si="14"/>
        <v>342384</v>
      </c>
      <c r="T216" s="84">
        <f t="shared" si="15"/>
        <v>0</v>
      </c>
    </row>
    <row r="217" spans="1:20" x14ac:dyDescent="0.3">
      <c r="B217" s="84">
        <v>371476</v>
      </c>
      <c r="C217" s="85">
        <v>360670</v>
      </c>
      <c r="D217" s="84" t="s">
        <v>6</v>
      </c>
      <c r="E217" s="84" t="s">
        <v>345</v>
      </c>
      <c r="F217" s="86" t="s">
        <v>584</v>
      </c>
      <c r="G217" s="87" t="s">
        <v>543</v>
      </c>
      <c r="H217" s="87">
        <v>2</v>
      </c>
      <c r="I217" s="104"/>
      <c r="J217" s="104"/>
      <c r="K217" s="116" t="s">
        <v>1614</v>
      </c>
      <c r="L217" s="84" t="s">
        <v>1342</v>
      </c>
      <c r="M217" s="88" t="str">
        <f>VLOOKUP(L217,lookups!B:C,2,FALSE)</f>
        <v>John</v>
      </c>
      <c r="N217" s="89" t="str">
        <f>VLOOKUP(K217,TeamLookup[],2,0)</f>
        <v>Cyber</v>
      </c>
      <c r="O217" s="84" t="e">
        <f>VLOOKUP(VALUE($S217),lookups!I:J,2,FALSE)</f>
        <v>#N/A</v>
      </c>
      <c r="P217" s="84" t="e">
        <f>VLOOKUP(VALUE($S217),lookups!F:G,2,FALSE)</f>
        <v>#N/A</v>
      </c>
      <c r="Q217" s="84" t="str">
        <f t="shared" si="12"/>
        <v/>
      </c>
      <c r="R217" s="84">
        <f t="shared" si="13"/>
        <v>245560</v>
      </c>
      <c r="S217" s="84">
        <f t="shared" si="14"/>
        <v>360670</v>
      </c>
      <c r="T217" s="84">
        <f t="shared" si="15"/>
        <v>371476</v>
      </c>
    </row>
    <row r="218" spans="1:20" ht="28.8" x14ac:dyDescent="0.3">
      <c r="B218" s="84">
        <v>370548</v>
      </c>
      <c r="C218" s="85">
        <v>360670</v>
      </c>
      <c r="D218" s="84" t="s">
        <v>6</v>
      </c>
      <c r="E218" s="84" t="s">
        <v>345</v>
      </c>
      <c r="F218" s="86" t="s">
        <v>628</v>
      </c>
      <c r="G218" s="87" t="s">
        <v>543</v>
      </c>
      <c r="H218" s="87">
        <v>1</v>
      </c>
      <c r="I218" s="89" t="s">
        <v>397</v>
      </c>
      <c r="J218" s="89"/>
      <c r="K218" s="89" t="s">
        <v>1617</v>
      </c>
      <c r="L218" s="84" t="s">
        <v>169</v>
      </c>
      <c r="M218" s="88" t="str">
        <f>VLOOKUP(L218,lookups!B:C,2,FALSE)</f>
        <v>Mark K</v>
      </c>
      <c r="N218" s="89" t="str">
        <f>VLOOKUP(K218,TeamLookup[],2,0)</f>
        <v>SIC</v>
      </c>
      <c r="O218" s="84" t="e">
        <f>VLOOKUP(VALUE($S218),lookups!I:J,2,FALSE)</f>
        <v>#N/A</v>
      </c>
      <c r="P218" s="84" t="e">
        <f>VLOOKUP(VALUE($S218),lookups!F:G,2,FALSE)</f>
        <v>#N/A</v>
      </c>
      <c r="Q218" s="84" t="str">
        <f t="shared" si="12"/>
        <v/>
      </c>
      <c r="R218" s="84">
        <f t="shared" si="13"/>
        <v>245560</v>
      </c>
      <c r="S218" s="84">
        <f t="shared" si="14"/>
        <v>360670</v>
      </c>
      <c r="T218" s="84">
        <f t="shared" si="15"/>
        <v>370548</v>
      </c>
    </row>
    <row r="219" spans="1:20" x14ac:dyDescent="0.3">
      <c r="B219" s="84">
        <v>370545</v>
      </c>
      <c r="C219" s="85">
        <v>360670</v>
      </c>
      <c r="D219" s="84" t="s">
        <v>6</v>
      </c>
      <c r="E219" s="84" t="s">
        <v>345</v>
      </c>
      <c r="F219" s="86" t="s">
        <v>629</v>
      </c>
      <c r="G219" s="87" t="s">
        <v>543</v>
      </c>
      <c r="H219" s="87">
        <v>1</v>
      </c>
      <c r="I219" s="84"/>
      <c r="J219" s="84"/>
      <c r="K219" s="89" t="s">
        <v>1614</v>
      </c>
      <c r="L219" s="84" t="s">
        <v>121</v>
      </c>
      <c r="M219" s="88" t="str">
        <f>VLOOKUP(L219,lookups!B:C,2,FALSE)</f>
        <v>Tony</v>
      </c>
      <c r="N219" s="89" t="str">
        <f>VLOOKUP(K219,TeamLookup[],2,0)</f>
        <v>Cyber</v>
      </c>
      <c r="O219" s="84" t="e">
        <f>VLOOKUP(VALUE($S219),lookups!I:J,2,FALSE)</f>
        <v>#N/A</v>
      </c>
      <c r="P219" s="84" t="e">
        <f>VLOOKUP(VALUE($S219),lookups!F:G,2,FALSE)</f>
        <v>#N/A</v>
      </c>
      <c r="Q219" s="84" t="str">
        <f t="shared" si="12"/>
        <v/>
      </c>
      <c r="R219" s="84">
        <f t="shared" si="13"/>
        <v>245560</v>
      </c>
      <c r="S219" s="84">
        <f t="shared" si="14"/>
        <v>360670</v>
      </c>
      <c r="T219" s="84">
        <f t="shared" si="15"/>
        <v>370545</v>
      </c>
    </row>
    <row r="220" spans="1:20" x14ac:dyDescent="0.3">
      <c r="B220" s="84">
        <v>370543</v>
      </c>
      <c r="C220" s="85">
        <v>360670</v>
      </c>
      <c r="D220" s="84" t="s">
        <v>6</v>
      </c>
      <c r="E220" s="84" t="s">
        <v>345</v>
      </c>
      <c r="F220" s="86" t="s">
        <v>630</v>
      </c>
      <c r="G220" s="87" t="s">
        <v>543</v>
      </c>
      <c r="H220" s="103">
        <v>2</v>
      </c>
      <c r="I220" s="89"/>
      <c r="J220" s="89"/>
      <c r="K220" s="89" t="s">
        <v>1614</v>
      </c>
      <c r="L220" s="84" t="s">
        <v>1342</v>
      </c>
      <c r="M220" s="88" t="str">
        <f>VLOOKUP(L220,lookups!B:C,2,FALSE)</f>
        <v>John</v>
      </c>
      <c r="N220" s="89" t="str">
        <f>VLOOKUP(K220,TeamLookup[],2,0)</f>
        <v>Cyber</v>
      </c>
      <c r="O220" s="84" t="e">
        <f>VLOOKUP(VALUE($S220),lookups!I:J,2,FALSE)</f>
        <v>#N/A</v>
      </c>
      <c r="P220" s="84" t="e">
        <f>VLOOKUP(VALUE($S220),lookups!F:G,2,FALSE)</f>
        <v>#N/A</v>
      </c>
      <c r="Q220" s="84" t="str">
        <f t="shared" si="12"/>
        <v/>
      </c>
      <c r="R220" s="84">
        <f t="shared" si="13"/>
        <v>245560</v>
      </c>
      <c r="S220" s="84">
        <f t="shared" si="14"/>
        <v>360670</v>
      </c>
      <c r="T220" s="84">
        <f t="shared" si="15"/>
        <v>370543</v>
      </c>
    </row>
    <row r="221" spans="1:20" x14ac:dyDescent="0.3">
      <c r="B221" s="84">
        <v>359690</v>
      </c>
      <c r="C221" s="85">
        <v>360670</v>
      </c>
      <c r="D221" s="84" t="s">
        <v>6</v>
      </c>
      <c r="E221" s="84" t="s">
        <v>345</v>
      </c>
      <c r="F221" s="86" t="s">
        <v>670</v>
      </c>
      <c r="G221" s="87" t="s">
        <v>543</v>
      </c>
      <c r="H221" s="103">
        <v>1</v>
      </c>
      <c r="I221" s="89"/>
      <c r="J221" s="89"/>
      <c r="K221" s="105" t="s">
        <v>1614</v>
      </c>
      <c r="L221" s="107" t="s">
        <v>1342</v>
      </c>
      <c r="M221" s="88" t="str">
        <f>VLOOKUP(L221,lookups!B:C,2,FALSE)</f>
        <v>John</v>
      </c>
      <c r="N221" s="89" t="str">
        <f>VLOOKUP(K221,TeamLookup[],2,0)</f>
        <v>Cyber</v>
      </c>
      <c r="O221" s="84" t="e">
        <f>VLOOKUP(VALUE($S221),lookups!I:J,2,FALSE)</f>
        <v>#N/A</v>
      </c>
      <c r="P221" s="84" t="e">
        <f>VLOOKUP(VALUE($S221),lookups!F:G,2,FALSE)</f>
        <v>#N/A</v>
      </c>
      <c r="Q221" s="84" t="str">
        <f t="shared" si="12"/>
        <v/>
      </c>
      <c r="R221" s="84">
        <f t="shared" si="13"/>
        <v>245560</v>
      </c>
      <c r="S221" s="84">
        <f t="shared" si="14"/>
        <v>360670</v>
      </c>
      <c r="T221" s="84">
        <f t="shared" si="15"/>
        <v>359690</v>
      </c>
    </row>
    <row r="222" spans="1:20" x14ac:dyDescent="0.3">
      <c r="B222" s="84">
        <v>370550</v>
      </c>
      <c r="C222" s="85">
        <v>360670</v>
      </c>
      <c r="D222" s="84" t="s">
        <v>6</v>
      </c>
      <c r="E222" s="84" t="s">
        <v>345</v>
      </c>
      <c r="F222" s="86" t="s">
        <v>627</v>
      </c>
      <c r="G222" s="87" t="s">
        <v>541</v>
      </c>
      <c r="H222" s="103">
        <v>2</v>
      </c>
      <c r="I222" s="105"/>
      <c r="J222" s="105"/>
      <c r="K222" s="106" t="s">
        <v>1614</v>
      </c>
      <c r="L222" s="107" t="s">
        <v>1342</v>
      </c>
      <c r="M222" s="88" t="str">
        <f>VLOOKUP(L222,lookups!B:C,2,FALSE)</f>
        <v>John</v>
      </c>
      <c r="N222" s="89" t="str">
        <f>VLOOKUP(K222,TeamLookup[],2,0)</f>
        <v>Cyber</v>
      </c>
      <c r="O222" s="84" t="e">
        <f>VLOOKUP(VALUE($S222),lookups!I:J,2,FALSE)</f>
        <v>#N/A</v>
      </c>
      <c r="P222" s="84" t="e">
        <f>VLOOKUP(VALUE($S222),lookups!F:G,2,FALSE)</f>
        <v>#N/A</v>
      </c>
      <c r="Q222" s="84" t="str">
        <f t="shared" si="12"/>
        <v/>
      </c>
      <c r="R222" s="84">
        <f t="shared" si="13"/>
        <v>245560</v>
      </c>
      <c r="S222" s="84">
        <f t="shared" si="14"/>
        <v>360670</v>
      </c>
      <c r="T222" s="84">
        <f t="shared" si="15"/>
        <v>370550</v>
      </c>
    </row>
    <row r="223" spans="1:20" x14ac:dyDescent="0.3">
      <c r="A223" s="96"/>
      <c r="B223" s="84">
        <v>370556</v>
      </c>
      <c r="C223" s="85">
        <v>360670</v>
      </c>
      <c r="D223" s="84" t="s">
        <v>6</v>
      </c>
      <c r="E223" s="84" t="s">
        <v>345</v>
      </c>
      <c r="F223" s="86" t="s">
        <v>623</v>
      </c>
      <c r="G223" s="109" t="s">
        <v>508</v>
      </c>
      <c r="H223" s="87">
        <v>1</v>
      </c>
      <c r="I223" s="105"/>
      <c r="J223" s="105"/>
      <c r="K223" s="106" t="s">
        <v>1614</v>
      </c>
      <c r="L223" s="84" t="s">
        <v>1342</v>
      </c>
      <c r="M223" s="88" t="str">
        <f>VLOOKUP(L223,lookups!B:C,2,FALSE)</f>
        <v>John</v>
      </c>
      <c r="N223" s="89" t="str">
        <f>VLOOKUP(K223,TeamLookup[],2,0)</f>
        <v>Cyber</v>
      </c>
      <c r="O223" s="84" t="e">
        <f>VLOOKUP(VALUE($S223),lookups!I:J,2,FALSE)</f>
        <v>#N/A</v>
      </c>
      <c r="P223" s="84" t="e">
        <f>VLOOKUP(VALUE($S223),lookups!F:G,2,FALSE)</f>
        <v>#N/A</v>
      </c>
      <c r="Q223" s="84" t="str">
        <f t="shared" si="12"/>
        <v/>
      </c>
      <c r="R223" s="84">
        <f t="shared" si="13"/>
        <v>245560</v>
      </c>
      <c r="S223" s="84">
        <f t="shared" si="14"/>
        <v>360670</v>
      </c>
      <c r="T223" s="84">
        <f t="shared" si="15"/>
        <v>370556</v>
      </c>
    </row>
    <row r="224" spans="1:20" x14ac:dyDescent="0.3">
      <c r="B224" s="84">
        <v>370555</v>
      </c>
      <c r="C224" s="85">
        <v>360670</v>
      </c>
      <c r="D224" s="84" t="s">
        <v>6</v>
      </c>
      <c r="E224" s="84" t="s">
        <v>345</v>
      </c>
      <c r="F224" s="86" t="s">
        <v>624</v>
      </c>
      <c r="G224" s="109" t="s">
        <v>508</v>
      </c>
      <c r="H224" s="87">
        <v>5</v>
      </c>
      <c r="I224" s="89"/>
      <c r="J224" s="89"/>
      <c r="K224" s="106" t="s">
        <v>1614</v>
      </c>
      <c r="L224" s="107" t="s">
        <v>121</v>
      </c>
      <c r="M224" s="88" t="str">
        <f>VLOOKUP(L224,lookups!B:C,2,FALSE)</f>
        <v>Tony</v>
      </c>
      <c r="N224" s="89" t="str">
        <f>VLOOKUP(K224,TeamLookup[],2,0)</f>
        <v>Cyber</v>
      </c>
      <c r="O224" s="84" t="e">
        <f>VLOOKUP(VALUE($S224),lookups!I:J,2,FALSE)</f>
        <v>#N/A</v>
      </c>
      <c r="P224" s="84" t="e">
        <f>VLOOKUP(VALUE($S224),lookups!F:G,2,FALSE)</f>
        <v>#N/A</v>
      </c>
      <c r="Q224" s="84" t="str">
        <f t="shared" si="12"/>
        <v/>
      </c>
      <c r="R224" s="84">
        <f t="shared" si="13"/>
        <v>245560</v>
      </c>
      <c r="S224" s="84">
        <f t="shared" si="14"/>
        <v>360670</v>
      </c>
      <c r="T224" s="84">
        <f t="shared" si="15"/>
        <v>370555</v>
      </c>
    </row>
    <row r="225" spans="1:20" x14ac:dyDescent="0.3">
      <c r="A225" s="96"/>
      <c r="B225" s="84">
        <v>370553</v>
      </c>
      <c r="C225" s="85">
        <v>360670</v>
      </c>
      <c r="D225" s="84" t="s">
        <v>6</v>
      </c>
      <c r="E225" s="84" t="s">
        <v>345</v>
      </c>
      <c r="F225" s="86" t="s">
        <v>625</v>
      </c>
      <c r="G225" s="87" t="s">
        <v>508</v>
      </c>
      <c r="H225" s="87">
        <v>0</v>
      </c>
      <c r="I225" s="105"/>
      <c r="J225" s="105"/>
      <c r="K225" s="106" t="s">
        <v>1619</v>
      </c>
      <c r="L225" s="84" t="s">
        <v>113</v>
      </c>
      <c r="M225" s="88" t="str">
        <f>VLOOKUP(L225,lookups!B:C,2,FALSE)</f>
        <v>Robert S</v>
      </c>
      <c r="N225" s="89" t="str">
        <f>VLOOKUP(K225,TeamLookup[],2,0)</f>
        <v>TOFF</v>
      </c>
      <c r="O225" s="84" t="e">
        <f>VLOOKUP(VALUE($S225),lookups!I:J,2,FALSE)</f>
        <v>#N/A</v>
      </c>
      <c r="P225" s="84" t="e">
        <f>VLOOKUP(VALUE($S225),lookups!F:G,2,FALSE)</f>
        <v>#N/A</v>
      </c>
      <c r="Q225" s="84" t="str">
        <f t="shared" si="12"/>
        <v/>
      </c>
      <c r="R225" s="84">
        <f t="shared" si="13"/>
        <v>245560</v>
      </c>
      <c r="S225" s="84">
        <f t="shared" si="14"/>
        <v>360670</v>
      </c>
      <c r="T225" s="84">
        <f t="shared" si="15"/>
        <v>370553</v>
      </c>
    </row>
    <row r="226" spans="1:20" x14ac:dyDescent="0.3">
      <c r="B226" s="84">
        <v>370551</v>
      </c>
      <c r="C226" s="85">
        <v>360670</v>
      </c>
      <c r="D226" s="84" t="s">
        <v>6</v>
      </c>
      <c r="E226" s="84" t="s">
        <v>345</v>
      </c>
      <c r="F226" s="86" t="s">
        <v>626</v>
      </c>
      <c r="G226" s="87" t="s">
        <v>508</v>
      </c>
      <c r="H226" s="87">
        <v>5</v>
      </c>
      <c r="I226" s="89"/>
      <c r="J226" s="89"/>
      <c r="K226" s="106" t="s">
        <v>1614</v>
      </c>
      <c r="L226" s="84" t="s">
        <v>1342</v>
      </c>
      <c r="M226" s="88" t="str">
        <f>VLOOKUP(L226,lookups!B:C,2,FALSE)</f>
        <v>John</v>
      </c>
      <c r="N226" s="89" t="str">
        <f>VLOOKUP(K226,TeamLookup[],2,0)</f>
        <v>Cyber</v>
      </c>
      <c r="O226" s="84" t="e">
        <f>VLOOKUP(VALUE($S226),lookups!I:J,2,FALSE)</f>
        <v>#N/A</v>
      </c>
      <c r="P226" s="84" t="e">
        <f>VLOOKUP(VALUE($S226),lookups!F:G,2,FALSE)</f>
        <v>#N/A</v>
      </c>
      <c r="Q226" s="84" t="str">
        <f t="shared" si="12"/>
        <v/>
      </c>
      <c r="R226" s="84">
        <f t="shared" si="13"/>
        <v>245560</v>
      </c>
      <c r="S226" s="84">
        <f t="shared" si="14"/>
        <v>360670</v>
      </c>
      <c r="T226" s="84">
        <f t="shared" si="15"/>
        <v>370551</v>
      </c>
    </row>
    <row r="227" spans="1:20" x14ac:dyDescent="0.3">
      <c r="B227" s="84">
        <v>370549</v>
      </c>
      <c r="C227" s="85">
        <v>360670</v>
      </c>
      <c r="D227" s="84" t="s">
        <v>6</v>
      </c>
      <c r="E227" s="84" t="s">
        <v>345</v>
      </c>
      <c r="F227" s="86" t="s">
        <v>153</v>
      </c>
      <c r="G227" s="87" t="s">
        <v>508</v>
      </c>
      <c r="H227" s="87">
        <v>3</v>
      </c>
      <c r="I227" s="89"/>
      <c r="J227" s="89"/>
      <c r="K227" s="89" t="s">
        <v>1614</v>
      </c>
      <c r="L227" s="84" t="s">
        <v>1342</v>
      </c>
      <c r="M227" s="88" t="str">
        <f>VLOOKUP(L227,lookups!B:C,2,FALSE)</f>
        <v>John</v>
      </c>
      <c r="N227" s="89" t="str">
        <f>VLOOKUP(K227,TeamLookup[],2,0)</f>
        <v>Cyber</v>
      </c>
      <c r="O227" s="84" t="e">
        <f>VLOOKUP(VALUE($S227),lookups!I:J,2,FALSE)</f>
        <v>#N/A</v>
      </c>
      <c r="P227" s="84" t="e">
        <f>VLOOKUP(VALUE($S227),lookups!F:G,2,FALSE)</f>
        <v>#N/A</v>
      </c>
      <c r="Q227" s="84" t="str">
        <f t="shared" si="12"/>
        <v/>
      </c>
      <c r="R227" s="84">
        <f t="shared" si="13"/>
        <v>245560</v>
      </c>
      <c r="S227" s="84">
        <f t="shared" si="14"/>
        <v>360670</v>
      </c>
      <c r="T227" s="84">
        <f t="shared" si="15"/>
        <v>370549</v>
      </c>
    </row>
    <row r="228" spans="1:20" x14ac:dyDescent="0.3">
      <c r="A228" s="96"/>
      <c r="B228" s="84">
        <v>382408</v>
      </c>
      <c r="C228" s="85">
        <v>360670</v>
      </c>
      <c r="D228" s="84" t="s">
        <v>6</v>
      </c>
      <c r="E228" s="84" t="s">
        <v>345</v>
      </c>
      <c r="F228" s="86" t="s">
        <v>485</v>
      </c>
      <c r="G228" s="87" t="s">
        <v>482</v>
      </c>
      <c r="H228" s="87">
        <v>2</v>
      </c>
      <c r="I228" s="89"/>
      <c r="J228" s="89"/>
      <c r="K228" s="89" t="s">
        <v>1614</v>
      </c>
      <c r="L228" s="84" t="s">
        <v>121</v>
      </c>
      <c r="M228" s="88" t="str">
        <f>VLOOKUP(L228,lookups!B:C,2,FALSE)</f>
        <v>Tony</v>
      </c>
      <c r="N228" s="89" t="str">
        <f>VLOOKUP(K228,TeamLookup[],2,0)</f>
        <v>Cyber</v>
      </c>
      <c r="O228" s="84" t="e">
        <f>VLOOKUP(VALUE($S228),lookups!I:J,2,FALSE)</f>
        <v>#N/A</v>
      </c>
      <c r="P228" s="84" t="e">
        <f>VLOOKUP(VALUE($S228),lookups!F:G,2,FALSE)</f>
        <v>#N/A</v>
      </c>
      <c r="Q228" s="84" t="str">
        <f t="shared" si="12"/>
        <v/>
      </c>
      <c r="R228" s="84">
        <f t="shared" si="13"/>
        <v>245560</v>
      </c>
      <c r="S228" s="84">
        <f t="shared" si="14"/>
        <v>360670</v>
      </c>
      <c r="T228" s="84">
        <f t="shared" si="15"/>
        <v>382408</v>
      </c>
    </row>
    <row r="229" spans="1:20" x14ac:dyDescent="0.3">
      <c r="A229" s="96"/>
      <c r="B229" s="84">
        <v>377691</v>
      </c>
      <c r="C229" s="85">
        <v>360670</v>
      </c>
      <c r="D229" s="84" t="s">
        <v>6</v>
      </c>
      <c r="E229" s="84" t="s">
        <v>345</v>
      </c>
      <c r="F229" s="86" t="s">
        <v>544</v>
      </c>
      <c r="G229" s="87" t="s">
        <v>482</v>
      </c>
      <c r="H229" s="103">
        <v>2</v>
      </c>
      <c r="I229" s="89"/>
      <c r="J229" s="89"/>
      <c r="K229" s="89" t="s">
        <v>1614</v>
      </c>
      <c r="L229" s="107" t="s">
        <v>121</v>
      </c>
      <c r="M229" s="88" t="str">
        <f>VLOOKUP(L229,lookups!B:C,2,FALSE)</f>
        <v>Tony</v>
      </c>
      <c r="N229" s="89" t="str">
        <f>VLOOKUP(K229,TeamLookup[],2,0)</f>
        <v>Cyber</v>
      </c>
      <c r="O229" s="84" t="e">
        <f>VLOOKUP(VALUE($S229),lookups!I:J,2,FALSE)</f>
        <v>#N/A</v>
      </c>
      <c r="P229" s="84" t="e">
        <f>VLOOKUP(VALUE($S229),lookups!F:G,2,FALSE)</f>
        <v>#N/A</v>
      </c>
      <c r="Q229" s="84" t="str">
        <f t="shared" si="12"/>
        <v/>
      </c>
      <c r="R229" s="84">
        <f t="shared" si="13"/>
        <v>245560</v>
      </c>
      <c r="S229" s="84">
        <f t="shared" si="14"/>
        <v>360670</v>
      </c>
      <c r="T229" s="84">
        <f t="shared" si="15"/>
        <v>377691</v>
      </c>
    </row>
    <row r="230" spans="1:20" x14ac:dyDescent="0.3">
      <c r="B230" s="84">
        <v>370562</v>
      </c>
      <c r="C230" s="85">
        <v>360670</v>
      </c>
      <c r="D230" s="84" t="s">
        <v>6</v>
      </c>
      <c r="E230" s="84" t="s">
        <v>345</v>
      </c>
      <c r="F230" s="86" t="s">
        <v>621</v>
      </c>
      <c r="G230" s="87" t="s">
        <v>482</v>
      </c>
      <c r="H230" s="103">
        <v>3</v>
      </c>
      <c r="I230" s="84"/>
      <c r="J230" s="84"/>
      <c r="K230" s="84" t="s">
        <v>1614</v>
      </c>
      <c r="L230" s="107" t="s">
        <v>121</v>
      </c>
      <c r="M230" s="88" t="str">
        <f>VLOOKUP(L230,lookups!B:C,2,FALSE)</f>
        <v>Tony</v>
      </c>
      <c r="N230" s="89" t="str">
        <f>VLOOKUP(K230,TeamLookup[],2,0)</f>
        <v>Cyber</v>
      </c>
      <c r="O230" s="84" t="e">
        <f>VLOOKUP(VALUE($S230),lookups!I:J,2,FALSE)</f>
        <v>#N/A</v>
      </c>
      <c r="P230" s="84" t="e">
        <f>VLOOKUP(VALUE($S230),lookups!F:G,2,FALSE)</f>
        <v>#N/A</v>
      </c>
      <c r="Q230" s="84" t="str">
        <f t="shared" si="12"/>
        <v/>
      </c>
      <c r="R230" s="84">
        <f t="shared" si="13"/>
        <v>245560</v>
      </c>
      <c r="S230" s="84">
        <f t="shared" si="14"/>
        <v>360670</v>
      </c>
      <c r="T230" s="84">
        <f t="shared" si="15"/>
        <v>370562</v>
      </c>
    </row>
    <row r="231" spans="1:20" x14ac:dyDescent="0.3">
      <c r="B231" s="84">
        <v>370561</v>
      </c>
      <c r="C231" s="85">
        <v>360670</v>
      </c>
      <c r="D231" s="84" t="s">
        <v>6</v>
      </c>
      <c r="E231" s="84" t="s">
        <v>345</v>
      </c>
      <c r="F231" s="86" t="s">
        <v>152</v>
      </c>
      <c r="G231" s="109" t="s">
        <v>482</v>
      </c>
      <c r="H231" s="87">
        <v>3</v>
      </c>
      <c r="I231" s="89"/>
      <c r="J231" s="89"/>
      <c r="K231" s="89" t="s">
        <v>1614</v>
      </c>
      <c r="L231" s="84" t="s">
        <v>1342</v>
      </c>
      <c r="M231" s="88" t="str">
        <f>VLOOKUP(L231,lookups!B:C,2,FALSE)</f>
        <v>John</v>
      </c>
      <c r="N231" s="89" t="str">
        <f>VLOOKUP(K231,TeamLookup[],2,0)</f>
        <v>Cyber</v>
      </c>
      <c r="O231" s="84" t="e">
        <f>VLOOKUP(VALUE($S231),lookups!I:J,2,FALSE)</f>
        <v>#N/A</v>
      </c>
      <c r="P231" s="84" t="e">
        <f>VLOOKUP(VALUE($S231),lookups!F:G,2,FALSE)</f>
        <v>#N/A</v>
      </c>
      <c r="Q231" s="84" t="str">
        <f t="shared" si="12"/>
        <v/>
      </c>
      <c r="R231" s="84">
        <f t="shared" si="13"/>
        <v>245560</v>
      </c>
      <c r="S231" s="84">
        <f t="shared" si="14"/>
        <v>360670</v>
      </c>
      <c r="T231" s="84">
        <f t="shared" si="15"/>
        <v>370561</v>
      </c>
    </row>
    <row r="232" spans="1:20" x14ac:dyDescent="0.3">
      <c r="B232" s="84">
        <v>370560</v>
      </c>
      <c r="C232" s="85">
        <v>360670</v>
      </c>
      <c r="D232" s="84" t="s">
        <v>6</v>
      </c>
      <c r="E232" s="84" t="s">
        <v>345</v>
      </c>
      <c r="F232" s="86" t="s">
        <v>123</v>
      </c>
      <c r="G232" s="87" t="s">
        <v>482</v>
      </c>
      <c r="H232" s="103">
        <v>3</v>
      </c>
      <c r="I232" s="89"/>
      <c r="J232" s="89"/>
      <c r="K232" s="89" t="s">
        <v>1614</v>
      </c>
      <c r="L232" s="107" t="s">
        <v>1342</v>
      </c>
      <c r="M232" s="88" t="str">
        <f>VLOOKUP(L232,lookups!B:C,2,FALSE)</f>
        <v>John</v>
      </c>
      <c r="N232" s="89" t="str">
        <f>VLOOKUP(K232,TeamLookup[],2,0)</f>
        <v>Cyber</v>
      </c>
      <c r="O232" s="84" t="e">
        <f>VLOOKUP(VALUE($S232),lookups!I:J,2,FALSE)</f>
        <v>#N/A</v>
      </c>
      <c r="P232" s="84" t="e">
        <f>VLOOKUP(VALUE($S232),lookups!F:G,2,FALSE)</f>
        <v>#N/A</v>
      </c>
      <c r="Q232" s="84" t="str">
        <f t="shared" si="12"/>
        <v/>
      </c>
      <c r="R232" s="84">
        <f t="shared" si="13"/>
        <v>245560</v>
      </c>
      <c r="S232" s="84">
        <f t="shared" si="14"/>
        <v>360670</v>
      </c>
      <c r="T232" s="84">
        <f t="shared" si="15"/>
        <v>370560</v>
      </c>
    </row>
    <row r="233" spans="1:20" x14ac:dyDescent="0.3">
      <c r="B233" s="84">
        <v>370559</v>
      </c>
      <c r="C233" s="85">
        <v>360670</v>
      </c>
      <c r="D233" s="84" t="s">
        <v>6</v>
      </c>
      <c r="E233" s="84" t="s">
        <v>345</v>
      </c>
      <c r="F233" s="86" t="s">
        <v>622</v>
      </c>
      <c r="G233" s="109" t="s">
        <v>482</v>
      </c>
      <c r="H233" s="87">
        <v>0</v>
      </c>
      <c r="I233" s="89" t="s">
        <v>397</v>
      </c>
      <c r="J233" s="89"/>
      <c r="K233" s="89" t="s">
        <v>1617</v>
      </c>
      <c r="L233" s="84" t="s">
        <v>169</v>
      </c>
      <c r="M233" s="88" t="str">
        <f>VLOOKUP(L233,lookups!B:C,2,FALSE)</f>
        <v>Mark K</v>
      </c>
      <c r="N233" s="89" t="str">
        <f>VLOOKUP(K233,TeamLookup[],2,0)</f>
        <v>SIC</v>
      </c>
      <c r="O233" s="84" t="e">
        <f>VLOOKUP(VALUE($S233),lookups!I:J,2,FALSE)</f>
        <v>#N/A</v>
      </c>
      <c r="P233" s="84" t="e">
        <f>VLOOKUP(VALUE($S233),lookups!F:G,2,FALSE)</f>
        <v>#N/A</v>
      </c>
      <c r="Q233" s="84" t="str">
        <f t="shared" si="12"/>
        <v/>
      </c>
      <c r="R233" s="84">
        <f t="shared" si="13"/>
        <v>245560</v>
      </c>
      <c r="S233" s="84">
        <f t="shared" si="14"/>
        <v>360670</v>
      </c>
      <c r="T233" s="84">
        <f t="shared" si="15"/>
        <v>370559</v>
      </c>
    </row>
    <row r="234" spans="1:20" x14ac:dyDescent="0.3">
      <c r="B234" s="84">
        <v>370570</v>
      </c>
      <c r="C234" s="85">
        <v>360670</v>
      </c>
      <c r="D234" s="84" t="s">
        <v>6</v>
      </c>
      <c r="E234" s="84" t="s">
        <v>345</v>
      </c>
      <c r="F234" s="86" t="s">
        <v>616</v>
      </c>
      <c r="G234" s="109" t="s">
        <v>446</v>
      </c>
      <c r="H234" s="87">
        <v>2</v>
      </c>
      <c r="I234" s="89"/>
      <c r="J234" s="89"/>
      <c r="K234" s="89" t="s">
        <v>1614</v>
      </c>
      <c r="L234" s="84" t="s">
        <v>1342</v>
      </c>
      <c r="M234" s="88" t="str">
        <f>VLOOKUP(L234,lookups!B:C,2,FALSE)</f>
        <v>John</v>
      </c>
      <c r="N234" s="89" t="str">
        <f>VLOOKUP(K234,TeamLookup[],2,0)</f>
        <v>Cyber</v>
      </c>
      <c r="O234" s="84" t="e">
        <f>VLOOKUP(VALUE($S234),lookups!I:J,2,FALSE)</f>
        <v>#N/A</v>
      </c>
      <c r="P234" s="84" t="e">
        <f>VLOOKUP(VALUE($S234),lookups!F:G,2,FALSE)</f>
        <v>#N/A</v>
      </c>
      <c r="Q234" s="84" t="str">
        <f t="shared" si="12"/>
        <v/>
      </c>
      <c r="R234" s="84">
        <f t="shared" si="13"/>
        <v>245560</v>
      </c>
      <c r="S234" s="84">
        <f t="shared" si="14"/>
        <v>360670</v>
      </c>
      <c r="T234" s="84">
        <f t="shared" si="15"/>
        <v>370570</v>
      </c>
    </row>
    <row r="235" spans="1:20" x14ac:dyDescent="0.3">
      <c r="B235" s="84">
        <v>370568</v>
      </c>
      <c r="C235" s="85">
        <v>360670</v>
      </c>
      <c r="D235" s="84" t="s">
        <v>6</v>
      </c>
      <c r="E235" s="84" t="s">
        <v>345</v>
      </c>
      <c r="F235" s="86" t="s">
        <v>120</v>
      </c>
      <c r="G235" s="109" t="s">
        <v>446</v>
      </c>
      <c r="H235" s="87">
        <v>2</v>
      </c>
      <c r="I235" s="89"/>
      <c r="J235" s="89"/>
      <c r="K235" s="89" t="s">
        <v>1614</v>
      </c>
      <c r="L235" s="84" t="s">
        <v>1342</v>
      </c>
      <c r="M235" s="88" t="str">
        <f>VLOOKUP(L235,lookups!B:C,2,FALSE)</f>
        <v>John</v>
      </c>
      <c r="N235" s="89" t="str">
        <f>VLOOKUP(K235,TeamLookup[],2,0)</f>
        <v>Cyber</v>
      </c>
      <c r="O235" s="84" t="e">
        <f>VLOOKUP(VALUE($S235),lookups!I:J,2,FALSE)</f>
        <v>#N/A</v>
      </c>
      <c r="P235" s="84" t="e">
        <f>VLOOKUP(VALUE($S235),lookups!F:G,2,FALSE)</f>
        <v>#N/A</v>
      </c>
      <c r="Q235" s="84" t="str">
        <f t="shared" si="12"/>
        <v/>
      </c>
      <c r="R235" s="84">
        <f t="shared" si="13"/>
        <v>245560</v>
      </c>
      <c r="S235" s="84">
        <f t="shared" si="14"/>
        <v>360670</v>
      </c>
      <c r="T235" s="84">
        <f t="shared" si="15"/>
        <v>370568</v>
      </c>
    </row>
    <row r="236" spans="1:20" ht="28.8" x14ac:dyDescent="0.3">
      <c r="B236" s="84">
        <v>370567</v>
      </c>
      <c r="C236" s="85">
        <v>360670</v>
      </c>
      <c r="D236" s="84" t="s">
        <v>6</v>
      </c>
      <c r="E236" s="84" t="s">
        <v>345</v>
      </c>
      <c r="F236" s="86" t="s">
        <v>122</v>
      </c>
      <c r="G236" s="109" t="s">
        <v>446</v>
      </c>
      <c r="H236" s="87">
        <v>3</v>
      </c>
      <c r="I236" s="89"/>
      <c r="J236" s="89"/>
      <c r="K236" s="89" t="s">
        <v>1614</v>
      </c>
      <c r="L236" s="84" t="s">
        <v>1342</v>
      </c>
      <c r="M236" s="88" t="str">
        <f>VLOOKUP(L236,lookups!B:C,2,FALSE)</f>
        <v>John</v>
      </c>
      <c r="N236" s="89" t="str">
        <f>VLOOKUP(K236,TeamLookup[],2,0)</f>
        <v>Cyber</v>
      </c>
      <c r="O236" s="84" t="e">
        <f>VLOOKUP(VALUE($S236),lookups!I:J,2,FALSE)</f>
        <v>#N/A</v>
      </c>
      <c r="P236" s="84" t="e">
        <f>VLOOKUP(VALUE($S236),lookups!F:G,2,FALSE)</f>
        <v>#N/A</v>
      </c>
      <c r="Q236" s="84" t="str">
        <f t="shared" si="12"/>
        <v/>
      </c>
      <c r="R236" s="84">
        <f t="shared" si="13"/>
        <v>245560</v>
      </c>
      <c r="S236" s="84">
        <f t="shared" si="14"/>
        <v>360670</v>
      </c>
      <c r="T236" s="84">
        <f t="shared" si="15"/>
        <v>370567</v>
      </c>
    </row>
    <row r="237" spans="1:20" x14ac:dyDescent="0.3">
      <c r="B237" s="84">
        <v>370566</v>
      </c>
      <c r="C237" s="85">
        <v>360670</v>
      </c>
      <c r="D237" s="84" t="s">
        <v>6</v>
      </c>
      <c r="E237" s="84" t="s">
        <v>345</v>
      </c>
      <c r="F237" s="86" t="s">
        <v>618</v>
      </c>
      <c r="G237" s="109" t="s">
        <v>446</v>
      </c>
      <c r="H237" s="87">
        <v>3</v>
      </c>
      <c r="I237" s="89"/>
      <c r="J237" s="89"/>
      <c r="K237" s="89" t="s">
        <v>1614</v>
      </c>
      <c r="L237" s="84" t="s">
        <v>121</v>
      </c>
      <c r="M237" s="88" t="str">
        <f>VLOOKUP(L237,lookups!B:C,2,FALSE)</f>
        <v>Tony</v>
      </c>
      <c r="N237" s="89" t="str">
        <f>VLOOKUP(K237,TeamLookup[],2,0)</f>
        <v>Cyber</v>
      </c>
      <c r="O237" s="84" t="e">
        <f>VLOOKUP(VALUE($S237),lookups!I:J,2,FALSE)</f>
        <v>#N/A</v>
      </c>
      <c r="P237" s="84" t="e">
        <f>VLOOKUP(VALUE($S237),lookups!F:G,2,FALSE)</f>
        <v>#N/A</v>
      </c>
      <c r="Q237" s="84" t="str">
        <f t="shared" si="12"/>
        <v/>
      </c>
      <c r="R237" s="84">
        <f t="shared" si="13"/>
        <v>245560</v>
      </c>
      <c r="S237" s="84">
        <f t="shared" si="14"/>
        <v>360670</v>
      </c>
      <c r="T237" s="84">
        <f t="shared" si="15"/>
        <v>370566</v>
      </c>
    </row>
    <row r="238" spans="1:20" x14ac:dyDescent="0.3">
      <c r="B238" s="84">
        <v>370564</v>
      </c>
      <c r="C238" s="85">
        <v>360670</v>
      </c>
      <c r="D238" s="84" t="s">
        <v>6</v>
      </c>
      <c r="E238" s="84" t="s">
        <v>345</v>
      </c>
      <c r="F238" s="86" t="s">
        <v>619</v>
      </c>
      <c r="G238" s="109" t="s">
        <v>446</v>
      </c>
      <c r="H238" s="87">
        <v>5</v>
      </c>
      <c r="I238" s="89"/>
      <c r="J238" s="89"/>
      <c r="K238" s="89" t="s">
        <v>1614</v>
      </c>
      <c r="L238" s="84" t="s">
        <v>1342</v>
      </c>
      <c r="M238" s="88" t="str">
        <f>VLOOKUP(L238,lookups!B:C,2,FALSE)</f>
        <v>John</v>
      </c>
      <c r="N238" s="89" t="str">
        <f>VLOOKUP(K238,TeamLookup[],2,0)</f>
        <v>Cyber</v>
      </c>
      <c r="O238" s="84" t="e">
        <f>VLOOKUP(VALUE($S238),lookups!I:J,2,FALSE)</f>
        <v>#N/A</v>
      </c>
      <c r="P238" s="84" t="e">
        <f>VLOOKUP(VALUE($S238),lookups!F:G,2,FALSE)</f>
        <v>#N/A</v>
      </c>
      <c r="Q238" s="84" t="str">
        <f t="shared" si="12"/>
        <v/>
      </c>
      <c r="R238" s="84">
        <f t="shared" si="13"/>
        <v>245560</v>
      </c>
      <c r="S238" s="84">
        <f t="shared" si="14"/>
        <v>360670</v>
      </c>
      <c r="T238" s="84">
        <f t="shared" si="15"/>
        <v>370564</v>
      </c>
    </row>
    <row r="239" spans="1:20" ht="28.8" x14ac:dyDescent="0.3">
      <c r="B239" s="84">
        <v>370563</v>
      </c>
      <c r="C239" s="85">
        <v>360670</v>
      </c>
      <c r="D239" s="84" t="s">
        <v>6</v>
      </c>
      <c r="E239" s="84" t="s">
        <v>345</v>
      </c>
      <c r="F239" s="86" t="s">
        <v>620</v>
      </c>
      <c r="G239" s="109" t="s">
        <v>446</v>
      </c>
      <c r="H239" s="87">
        <v>3</v>
      </c>
      <c r="I239" s="89"/>
      <c r="J239" s="89"/>
      <c r="K239" s="89" t="s">
        <v>1614</v>
      </c>
      <c r="L239" s="84" t="s">
        <v>121</v>
      </c>
      <c r="M239" s="88" t="str">
        <f>VLOOKUP(L239,lookups!B:C,2,FALSE)</f>
        <v>Tony</v>
      </c>
      <c r="N239" s="89" t="str">
        <f>VLOOKUP(K239,TeamLookup[],2,0)</f>
        <v>Cyber</v>
      </c>
      <c r="O239" s="84" t="e">
        <f>VLOOKUP(VALUE($S239),lookups!I:J,2,FALSE)</f>
        <v>#N/A</v>
      </c>
      <c r="P239" s="84" t="e">
        <f>VLOOKUP(VALUE($S239),lookups!F:G,2,FALSE)</f>
        <v>#N/A</v>
      </c>
      <c r="Q239" s="84" t="str">
        <f t="shared" si="12"/>
        <v/>
      </c>
      <c r="R239" s="84">
        <f t="shared" si="13"/>
        <v>245560</v>
      </c>
      <c r="S239" s="84">
        <f t="shared" si="14"/>
        <v>360670</v>
      </c>
      <c r="T239" s="84">
        <f t="shared" si="15"/>
        <v>370563</v>
      </c>
    </row>
    <row r="240" spans="1:20" x14ac:dyDescent="0.3">
      <c r="B240" s="84">
        <v>385649</v>
      </c>
      <c r="C240" s="85">
        <v>360670</v>
      </c>
      <c r="D240" s="84" t="s">
        <v>6</v>
      </c>
      <c r="E240" s="84" t="s">
        <v>345</v>
      </c>
      <c r="F240" s="86" t="s">
        <v>186</v>
      </c>
      <c r="G240" s="109" t="s">
        <v>444</v>
      </c>
      <c r="H240" s="87">
        <v>3</v>
      </c>
      <c r="I240" s="84"/>
      <c r="J240" s="84"/>
      <c r="K240" s="84" t="s">
        <v>1614</v>
      </c>
      <c r="L240" s="84" t="s">
        <v>1342</v>
      </c>
      <c r="M240" s="88" t="str">
        <f>VLOOKUP(L240,lookups!B:C,2,FALSE)</f>
        <v>John</v>
      </c>
      <c r="N240" s="89" t="str">
        <f>VLOOKUP(K240,TeamLookup[],2,0)</f>
        <v>Cyber</v>
      </c>
      <c r="O240" s="84" t="e">
        <f>VLOOKUP(VALUE($S240),lookups!I:J,2,FALSE)</f>
        <v>#N/A</v>
      </c>
      <c r="P240" s="84" t="e">
        <f>VLOOKUP(VALUE($S240),lookups!F:G,2,FALSE)</f>
        <v>#N/A</v>
      </c>
      <c r="Q240" s="84" t="str">
        <f t="shared" si="12"/>
        <v/>
      </c>
      <c r="R240" s="84">
        <f t="shared" si="13"/>
        <v>245560</v>
      </c>
      <c r="S240" s="84">
        <f t="shared" si="14"/>
        <v>360670</v>
      </c>
      <c r="T240" s="84">
        <f t="shared" si="15"/>
        <v>385649</v>
      </c>
    </row>
    <row r="241" spans="1:24" x14ac:dyDescent="0.3">
      <c r="B241" s="84">
        <v>385648</v>
      </c>
      <c r="C241" s="85">
        <v>360670</v>
      </c>
      <c r="D241" s="84" t="s">
        <v>6</v>
      </c>
      <c r="E241" s="84" t="s">
        <v>345</v>
      </c>
      <c r="F241" s="86" t="s">
        <v>153</v>
      </c>
      <c r="G241" s="109" t="s">
        <v>444</v>
      </c>
      <c r="H241" s="87">
        <v>1</v>
      </c>
      <c r="I241" s="89"/>
      <c r="J241" s="89"/>
      <c r="K241" s="89" t="s">
        <v>1614</v>
      </c>
      <c r="L241" s="84" t="s">
        <v>1342</v>
      </c>
      <c r="M241" s="88" t="str">
        <f>VLOOKUP(L241,lookups!B:C,2,FALSE)</f>
        <v>John</v>
      </c>
      <c r="N241" s="89" t="str">
        <f>VLOOKUP(K241,TeamLookup[],2,0)</f>
        <v>Cyber</v>
      </c>
      <c r="O241" s="84" t="e">
        <f>VLOOKUP(VALUE($S241),lookups!I:J,2,FALSE)</f>
        <v>#N/A</v>
      </c>
      <c r="P241" s="84" t="e">
        <f>VLOOKUP(VALUE($S241),lookups!F:G,2,FALSE)</f>
        <v>#N/A</v>
      </c>
      <c r="Q241" s="84" t="str">
        <f t="shared" si="12"/>
        <v/>
      </c>
      <c r="R241" s="84">
        <f t="shared" si="13"/>
        <v>245560</v>
      </c>
      <c r="S241" s="84">
        <f t="shared" si="14"/>
        <v>360670</v>
      </c>
      <c r="T241" s="84">
        <f t="shared" si="15"/>
        <v>385648</v>
      </c>
    </row>
    <row r="242" spans="1:24" x14ac:dyDescent="0.3">
      <c r="B242" s="84">
        <v>385646</v>
      </c>
      <c r="C242" s="85">
        <v>360670</v>
      </c>
      <c r="D242" s="84" t="s">
        <v>6</v>
      </c>
      <c r="E242" s="84" t="s">
        <v>345</v>
      </c>
      <c r="F242" s="86" t="s">
        <v>459</v>
      </c>
      <c r="G242" s="87" t="s">
        <v>444</v>
      </c>
      <c r="H242" s="87">
        <v>2</v>
      </c>
      <c r="I242" s="89"/>
      <c r="J242" s="89"/>
      <c r="K242" s="89" t="s">
        <v>1614</v>
      </c>
      <c r="L242" s="84" t="s">
        <v>1342</v>
      </c>
      <c r="M242" s="88" t="str">
        <f>VLOOKUP(L242,lookups!B:C,2,FALSE)</f>
        <v>John</v>
      </c>
      <c r="N242" s="89" t="str">
        <f>VLOOKUP(K242,TeamLookup[],2,0)</f>
        <v>Cyber</v>
      </c>
      <c r="O242" s="84" t="e">
        <f>VLOOKUP(VALUE($S242),lookups!I:J,2,FALSE)</f>
        <v>#N/A</v>
      </c>
      <c r="P242" s="84" t="e">
        <f>VLOOKUP(VALUE($S242),lookups!F:G,2,FALSE)</f>
        <v>#N/A</v>
      </c>
      <c r="Q242" s="84" t="str">
        <f t="shared" si="12"/>
        <v/>
      </c>
      <c r="R242" s="84">
        <f t="shared" si="13"/>
        <v>245560</v>
      </c>
      <c r="S242" s="84">
        <f t="shared" si="14"/>
        <v>360670</v>
      </c>
      <c r="T242" s="84">
        <f t="shared" si="15"/>
        <v>385646</v>
      </c>
    </row>
    <row r="243" spans="1:24" x14ac:dyDescent="0.3">
      <c r="A243" s="96"/>
      <c r="B243" s="84">
        <v>385645</v>
      </c>
      <c r="C243" s="85">
        <v>360670</v>
      </c>
      <c r="D243" s="84" t="s">
        <v>6</v>
      </c>
      <c r="E243" s="84" t="s">
        <v>345</v>
      </c>
      <c r="F243" s="86" t="s">
        <v>460</v>
      </c>
      <c r="G243" s="87" t="s">
        <v>444</v>
      </c>
      <c r="H243" s="87">
        <v>1</v>
      </c>
      <c r="I243" s="89"/>
      <c r="J243" s="89"/>
      <c r="K243" s="89" t="s">
        <v>1614</v>
      </c>
      <c r="L243" s="84" t="s">
        <v>1342</v>
      </c>
      <c r="M243" s="88" t="str">
        <f>VLOOKUP(L243,lookups!B:C,2,FALSE)</f>
        <v>John</v>
      </c>
      <c r="N243" s="89" t="str">
        <f>VLOOKUP(K243,TeamLookup[],2,0)</f>
        <v>Cyber</v>
      </c>
      <c r="O243" s="84" t="e">
        <f>VLOOKUP(VALUE($S243),lookups!I:J,2,FALSE)</f>
        <v>#N/A</v>
      </c>
      <c r="P243" s="84" t="e">
        <f>VLOOKUP(VALUE($S243),lookups!F:G,2,FALSE)</f>
        <v>#N/A</v>
      </c>
      <c r="Q243" s="84" t="str">
        <f t="shared" si="12"/>
        <v/>
      </c>
      <c r="R243" s="84">
        <f t="shared" si="13"/>
        <v>245560</v>
      </c>
      <c r="S243" s="84">
        <f t="shared" si="14"/>
        <v>360670</v>
      </c>
      <c r="T243" s="84">
        <f t="shared" si="15"/>
        <v>385645</v>
      </c>
    </row>
    <row r="244" spans="1:24" x14ac:dyDescent="0.3">
      <c r="A244" s="96"/>
      <c r="B244" s="84">
        <v>370569</v>
      </c>
      <c r="C244" s="85">
        <v>360670</v>
      </c>
      <c r="D244" s="84" t="s">
        <v>6</v>
      </c>
      <c r="E244" s="84" t="s">
        <v>345</v>
      </c>
      <c r="F244" s="86" t="s">
        <v>617</v>
      </c>
      <c r="G244" s="87" t="s">
        <v>444</v>
      </c>
      <c r="H244" s="87">
        <v>1</v>
      </c>
      <c r="I244" s="89"/>
      <c r="J244" s="89"/>
      <c r="K244" s="89" t="s">
        <v>1614</v>
      </c>
      <c r="L244" s="84" t="s">
        <v>182</v>
      </c>
      <c r="M244" s="88" t="str">
        <f>VLOOKUP(L244,lookups!B:C,2,FALSE)</f>
        <v>Ted</v>
      </c>
      <c r="N244" s="89" t="str">
        <f>VLOOKUP(K244,TeamLookup[],2,0)</f>
        <v>Cyber</v>
      </c>
      <c r="O244" s="84" t="e">
        <f>VLOOKUP(VALUE($S244),lookups!I:J,2,FALSE)</f>
        <v>#N/A</v>
      </c>
      <c r="P244" s="84" t="e">
        <f>VLOOKUP(VALUE($S244),lookups!F:G,2,FALSE)</f>
        <v>#N/A</v>
      </c>
      <c r="Q244" s="84" t="str">
        <f t="shared" si="12"/>
        <v/>
      </c>
      <c r="R244" s="84">
        <f t="shared" si="13"/>
        <v>245560</v>
      </c>
      <c r="S244" s="84">
        <f t="shared" si="14"/>
        <v>360670</v>
      </c>
      <c r="T244" s="84">
        <f t="shared" si="15"/>
        <v>370569</v>
      </c>
    </row>
    <row r="245" spans="1:24" x14ac:dyDescent="0.3">
      <c r="B245" s="84">
        <v>385655</v>
      </c>
      <c r="C245" s="85">
        <v>360670</v>
      </c>
      <c r="D245" s="84" t="s">
        <v>6</v>
      </c>
      <c r="E245" s="84" t="s">
        <v>345</v>
      </c>
      <c r="F245" s="86" t="s">
        <v>152</v>
      </c>
      <c r="G245" s="87" t="s">
        <v>434</v>
      </c>
      <c r="H245" s="87">
        <v>3</v>
      </c>
      <c r="I245" s="89"/>
      <c r="J245" s="89"/>
      <c r="K245" s="89" t="s">
        <v>1614</v>
      </c>
      <c r="L245" s="84" t="s">
        <v>1342</v>
      </c>
      <c r="M245" s="88" t="str">
        <f>VLOOKUP(L245,lookups!B:C,2,FALSE)</f>
        <v>John</v>
      </c>
      <c r="N245" s="89" t="str">
        <f>VLOOKUP(K245,TeamLookup[],2,0)</f>
        <v>Cyber</v>
      </c>
      <c r="O245" s="84" t="e">
        <f>VLOOKUP(VALUE($S245),lookups!I:J,2,FALSE)</f>
        <v>#N/A</v>
      </c>
      <c r="P245" s="84" t="e">
        <f>VLOOKUP(VALUE($S245),lookups!F:G,2,FALSE)</f>
        <v>#N/A</v>
      </c>
      <c r="Q245" s="84" t="str">
        <f t="shared" si="12"/>
        <v/>
      </c>
      <c r="R245" s="84">
        <f t="shared" si="13"/>
        <v>245560</v>
      </c>
      <c r="S245" s="84">
        <f t="shared" si="14"/>
        <v>360670</v>
      </c>
      <c r="T245" s="84">
        <f t="shared" si="15"/>
        <v>385655</v>
      </c>
      <c r="V245" s="94"/>
    </row>
    <row r="246" spans="1:24" x14ac:dyDescent="0.3">
      <c r="B246" s="84">
        <v>385654</v>
      </c>
      <c r="C246" s="85">
        <v>360670</v>
      </c>
      <c r="D246" s="84" t="s">
        <v>6</v>
      </c>
      <c r="E246" s="84" t="s">
        <v>345</v>
      </c>
      <c r="F246" s="86" t="s">
        <v>457</v>
      </c>
      <c r="G246" s="87" t="s">
        <v>434</v>
      </c>
      <c r="H246" s="87">
        <v>3</v>
      </c>
      <c r="I246" s="89"/>
      <c r="J246" s="89"/>
      <c r="K246" s="89" t="s">
        <v>1614</v>
      </c>
      <c r="L246" s="84" t="s">
        <v>182</v>
      </c>
      <c r="M246" s="88" t="str">
        <f>VLOOKUP(L246,lookups!B:C,2,FALSE)</f>
        <v>Ted</v>
      </c>
      <c r="N246" s="89" t="str">
        <f>VLOOKUP(K246,TeamLookup[],2,0)</f>
        <v>Cyber</v>
      </c>
      <c r="O246" s="84" t="e">
        <f>VLOOKUP(VALUE($S246),lookups!I:J,2,FALSE)</f>
        <v>#N/A</v>
      </c>
      <c r="P246" s="84" t="e">
        <f>VLOOKUP(VALUE($S246),lookups!F:G,2,FALSE)</f>
        <v>#N/A</v>
      </c>
      <c r="Q246" s="84" t="str">
        <f t="shared" si="12"/>
        <v/>
      </c>
      <c r="R246" s="84">
        <f t="shared" si="13"/>
        <v>245560</v>
      </c>
      <c r="S246" s="84">
        <f t="shared" si="14"/>
        <v>360670</v>
      </c>
      <c r="T246" s="84">
        <f t="shared" si="15"/>
        <v>385654</v>
      </c>
    </row>
    <row r="247" spans="1:24" x14ac:dyDescent="0.3">
      <c r="B247" s="84">
        <v>385653</v>
      </c>
      <c r="C247" s="85">
        <v>360670</v>
      </c>
      <c r="D247" s="84" t="s">
        <v>6</v>
      </c>
      <c r="E247" s="84" t="s">
        <v>345</v>
      </c>
      <c r="F247" s="86" t="s">
        <v>123</v>
      </c>
      <c r="G247" s="87" t="s">
        <v>434</v>
      </c>
      <c r="H247" s="87">
        <v>3</v>
      </c>
      <c r="I247" s="89"/>
      <c r="J247" s="89"/>
      <c r="K247" s="89" t="s">
        <v>1614</v>
      </c>
      <c r="L247" s="84" t="s">
        <v>1342</v>
      </c>
      <c r="M247" s="88" t="str">
        <f>VLOOKUP(L247,lookups!B:C,2,FALSE)</f>
        <v>John</v>
      </c>
      <c r="N247" s="89" t="str">
        <f>VLOOKUP(K247,TeamLookup[],2,0)</f>
        <v>Cyber</v>
      </c>
      <c r="O247" s="84" t="e">
        <f>VLOOKUP(VALUE($S247),lookups!I:J,2,FALSE)</f>
        <v>#N/A</v>
      </c>
      <c r="P247" s="84" t="e">
        <f>VLOOKUP(VALUE($S247),lookups!F:G,2,FALSE)</f>
        <v>#N/A</v>
      </c>
      <c r="Q247" s="84" t="str">
        <f t="shared" si="12"/>
        <v/>
      </c>
      <c r="R247" s="84">
        <f t="shared" si="13"/>
        <v>245560</v>
      </c>
      <c r="S247" s="84">
        <f t="shared" si="14"/>
        <v>360670</v>
      </c>
      <c r="T247" s="84">
        <f t="shared" si="15"/>
        <v>385653</v>
      </c>
    </row>
    <row r="248" spans="1:24" s="94" customFormat="1" ht="28.2" customHeight="1" x14ac:dyDescent="0.3">
      <c r="A248" s="96"/>
      <c r="B248" s="84">
        <v>385652</v>
      </c>
      <c r="C248" s="85">
        <v>360670</v>
      </c>
      <c r="D248" s="84" t="s">
        <v>6</v>
      </c>
      <c r="E248" s="84" t="s">
        <v>345</v>
      </c>
      <c r="F248" s="86" t="s">
        <v>184</v>
      </c>
      <c r="G248" s="87" t="s">
        <v>434</v>
      </c>
      <c r="H248" s="87">
        <v>3</v>
      </c>
      <c r="I248" s="89"/>
      <c r="J248" s="89"/>
      <c r="K248" s="89" t="s">
        <v>1614</v>
      </c>
      <c r="L248" s="84" t="s">
        <v>182</v>
      </c>
      <c r="M248" s="88" t="str">
        <f>VLOOKUP(L248,lookups!B:C,2,FALSE)</f>
        <v>Ted</v>
      </c>
      <c r="N248" s="89" t="str">
        <f>VLOOKUP(K248,TeamLookup[],2,0)</f>
        <v>Cyber</v>
      </c>
      <c r="O248" s="84" t="e">
        <f>VLOOKUP(VALUE($S248),lookups!I:J,2,FALSE)</f>
        <v>#N/A</v>
      </c>
      <c r="P248" s="84" t="e">
        <f>VLOOKUP(VALUE($S248),lookups!F:G,2,FALSE)</f>
        <v>#N/A</v>
      </c>
      <c r="Q248" s="84" t="str">
        <f t="shared" si="12"/>
        <v/>
      </c>
      <c r="R248" s="84">
        <f t="shared" si="13"/>
        <v>245560</v>
      </c>
      <c r="S248" s="84">
        <f t="shared" si="14"/>
        <v>360670</v>
      </c>
      <c r="T248" s="84">
        <f t="shared" si="15"/>
        <v>385652</v>
      </c>
      <c r="U248" s="90"/>
      <c r="V248" s="90"/>
      <c r="W248" s="90"/>
      <c r="X248" s="90"/>
    </row>
    <row r="249" spans="1:24" s="94" customFormat="1" x14ac:dyDescent="0.3">
      <c r="A249" s="96"/>
      <c r="B249" s="84">
        <v>385651</v>
      </c>
      <c r="C249" s="85">
        <v>360670</v>
      </c>
      <c r="D249" s="84" t="s">
        <v>6</v>
      </c>
      <c r="E249" s="84" t="s">
        <v>345</v>
      </c>
      <c r="F249" s="86" t="s">
        <v>185</v>
      </c>
      <c r="G249" s="87" t="s">
        <v>434</v>
      </c>
      <c r="H249" s="87">
        <v>1</v>
      </c>
      <c r="I249" s="89"/>
      <c r="J249" s="89"/>
      <c r="K249" s="89" t="s">
        <v>1614</v>
      </c>
      <c r="L249" s="84" t="s">
        <v>1342</v>
      </c>
      <c r="M249" s="88" t="str">
        <f>VLOOKUP(L249,lookups!B:C,2,FALSE)</f>
        <v>John</v>
      </c>
      <c r="N249" s="89" t="str">
        <f>VLOOKUP(K249,TeamLookup[],2,0)</f>
        <v>Cyber</v>
      </c>
      <c r="O249" s="84" t="e">
        <f>VLOOKUP(VALUE($S249),lookups!I:J,2,FALSE)</f>
        <v>#N/A</v>
      </c>
      <c r="P249" s="84" t="e">
        <f>VLOOKUP(VALUE($S249),lookups!F:G,2,FALSE)</f>
        <v>#N/A</v>
      </c>
      <c r="Q249" s="84" t="str">
        <f t="shared" si="12"/>
        <v/>
      </c>
      <c r="R249" s="84">
        <f t="shared" si="13"/>
        <v>245560</v>
      </c>
      <c r="S249" s="84">
        <f t="shared" si="14"/>
        <v>360670</v>
      </c>
      <c r="T249" s="84">
        <f t="shared" si="15"/>
        <v>385651</v>
      </c>
      <c r="U249" s="90"/>
      <c r="V249" s="90"/>
      <c r="W249" s="90"/>
      <c r="X249" s="90"/>
    </row>
    <row r="250" spans="1:24" s="94" customFormat="1" ht="28.8" x14ac:dyDescent="0.3">
      <c r="A250" s="47"/>
      <c r="B250" s="84">
        <v>385650</v>
      </c>
      <c r="C250" s="85">
        <v>360670</v>
      </c>
      <c r="D250" s="84" t="s">
        <v>6</v>
      </c>
      <c r="E250" s="84" t="s">
        <v>345</v>
      </c>
      <c r="F250" s="86" t="s">
        <v>458</v>
      </c>
      <c r="G250" s="87" t="s">
        <v>434</v>
      </c>
      <c r="H250" s="87">
        <v>2</v>
      </c>
      <c r="I250" s="89"/>
      <c r="J250" s="89"/>
      <c r="K250" s="89" t="s">
        <v>1614</v>
      </c>
      <c r="L250" s="84" t="s">
        <v>182</v>
      </c>
      <c r="M250" s="88" t="str">
        <f>VLOOKUP(L250,lookups!B:C,2,FALSE)</f>
        <v>Ted</v>
      </c>
      <c r="N250" s="89" t="str">
        <f>VLOOKUP(K250,TeamLookup[],2,0)</f>
        <v>Cyber</v>
      </c>
      <c r="O250" s="84" t="e">
        <f>VLOOKUP(VALUE($S250),lookups!I:J,2,FALSE)</f>
        <v>#N/A</v>
      </c>
      <c r="P250" s="84" t="e">
        <f>VLOOKUP(VALUE($S250),lookups!F:G,2,FALSE)</f>
        <v>#N/A</v>
      </c>
      <c r="Q250" s="84" t="str">
        <f t="shared" si="12"/>
        <v/>
      </c>
      <c r="R250" s="84">
        <f t="shared" si="13"/>
        <v>245560</v>
      </c>
      <c r="S250" s="84">
        <f t="shared" si="14"/>
        <v>360670</v>
      </c>
      <c r="T250" s="84">
        <f t="shared" si="15"/>
        <v>385650</v>
      </c>
      <c r="U250" s="90"/>
      <c r="V250" s="90"/>
      <c r="W250" s="90"/>
      <c r="X250" s="90"/>
    </row>
    <row r="251" spans="1:24" s="94" customFormat="1" x14ac:dyDescent="0.3">
      <c r="A251" s="47"/>
      <c r="B251" s="84">
        <v>376751</v>
      </c>
      <c r="C251" s="85">
        <v>360670</v>
      </c>
      <c r="D251" s="84" t="s">
        <v>6</v>
      </c>
      <c r="E251" s="84" t="s">
        <v>345</v>
      </c>
      <c r="F251" s="86" t="s">
        <v>550</v>
      </c>
      <c r="G251" s="87" t="s">
        <v>434</v>
      </c>
      <c r="H251" s="87">
        <v>1</v>
      </c>
      <c r="I251" s="89"/>
      <c r="J251" s="89"/>
      <c r="K251" s="89" t="s">
        <v>1635</v>
      </c>
      <c r="L251" s="84" t="s">
        <v>171</v>
      </c>
      <c r="M251" s="88" t="str">
        <f>VLOOKUP(L251,lookups!B:C,2,FALSE)</f>
        <v>Dave H</v>
      </c>
      <c r="N251" s="89" t="e">
        <f>VLOOKUP(K251,TeamLookup[],2,0)</f>
        <v>#N/A</v>
      </c>
      <c r="O251" s="84" t="e">
        <f>VLOOKUP(VALUE($S251),lookups!I:J,2,FALSE)</f>
        <v>#N/A</v>
      </c>
      <c r="P251" s="84" t="e">
        <f>VLOOKUP(VALUE($S251),lookups!F:G,2,FALSE)</f>
        <v>#N/A</v>
      </c>
      <c r="Q251" s="84" t="str">
        <f t="shared" si="12"/>
        <v/>
      </c>
      <c r="R251" s="84">
        <f t="shared" si="13"/>
        <v>245560</v>
      </c>
      <c r="S251" s="84">
        <f t="shared" si="14"/>
        <v>360670</v>
      </c>
      <c r="T251" s="84">
        <f t="shared" si="15"/>
        <v>376751</v>
      </c>
      <c r="U251" s="90"/>
      <c r="V251" s="90"/>
      <c r="W251" s="90"/>
      <c r="X251" s="90"/>
    </row>
    <row r="252" spans="1:24" s="94" customFormat="1" x14ac:dyDescent="0.3">
      <c r="A252" s="47"/>
      <c r="B252" s="84">
        <v>360670</v>
      </c>
      <c r="C252" s="85">
        <v>245560</v>
      </c>
      <c r="D252" s="84" t="s">
        <v>24</v>
      </c>
      <c r="E252" s="84" t="s">
        <v>345</v>
      </c>
      <c r="F252" s="86" t="s">
        <v>667</v>
      </c>
      <c r="G252" s="87" t="s">
        <v>434</v>
      </c>
      <c r="H252" s="87"/>
      <c r="I252" s="89" t="s">
        <v>397</v>
      </c>
      <c r="J252" s="89"/>
      <c r="K252" s="89" t="s">
        <v>1614</v>
      </c>
      <c r="L252" s="84" t="s">
        <v>129</v>
      </c>
      <c r="M252" s="88" t="str">
        <f>VLOOKUP(L252,lookups!B:C,2,FALSE)</f>
        <v>Derek</v>
      </c>
      <c r="N252" s="89" t="str">
        <f>VLOOKUP(K252,TeamLookup[],2,0)</f>
        <v>Cyber</v>
      </c>
      <c r="O252" s="84" t="e">
        <f>VLOOKUP(VALUE($S252),lookups!I:J,2,FALSE)</f>
        <v>#N/A</v>
      </c>
      <c r="P252" s="84" t="e">
        <f>VLOOKUP(VALUE($S252),lookups!F:G,2,FALSE)</f>
        <v>#N/A</v>
      </c>
      <c r="Q252" s="84" t="str">
        <f t="shared" si="12"/>
        <v>ParentNotInCyberQuery</v>
      </c>
      <c r="R252" s="84">
        <f t="shared" si="13"/>
        <v>245560</v>
      </c>
      <c r="S252" s="84">
        <f t="shared" si="14"/>
        <v>360670</v>
      </c>
      <c r="T252" s="84">
        <f t="shared" si="15"/>
        <v>0</v>
      </c>
      <c r="U252" s="90"/>
      <c r="V252" s="90"/>
      <c r="W252" s="90"/>
      <c r="X252" s="90"/>
    </row>
    <row r="253" spans="1:24" s="94" customFormat="1" x14ac:dyDescent="0.3">
      <c r="A253" s="47"/>
      <c r="B253" s="84">
        <v>370097</v>
      </c>
      <c r="C253" s="85">
        <v>369840</v>
      </c>
      <c r="D253" s="84" t="s">
        <v>6</v>
      </c>
      <c r="E253" s="84" t="s">
        <v>345</v>
      </c>
      <c r="F253" s="86" t="s">
        <v>633</v>
      </c>
      <c r="G253" s="87" t="s">
        <v>543</v>
      </c>
      <c r="H253" s="87">
        <v>1</v>
      </c>
      <c r="I253" s="84"/>
      <c r="J253" s="84"/>
      <c r="K253" s="84" t="s">
        <v>1619</v>
      </c>
      <c r="L253" s="84" t="s">
        <v>113</v>
      </c>
      <c r="M253" s="88" t="str">
        <f>VLOOKUP(L253,lookups!B:C,2,FALSE)</f>
        <v>Robert S</v>
      </c>
      <c r="N253" s="89" t="str">
        <f>VLOOKUP(K253,TeamLookup[],2,0)</f>
        <v>TOFF</v>
      </c>
      <c r="O253" s="84" t="e">
        <f>VLOOKUP(VALUE($S253),lookups!I:J,2,FALSE)</f>
        <v>#N/A</v>
      </c>
      <c r="P253" s="84" t="e">
        <f>VLOOKUP(VALUE($S253),lookups!F:G,2,FALSE)</f>
        <v>#N/A</v>
      </c>
      <c r="Q253" s="84" t="str">
        <f t="shared" si="12"/>
        <v/>
      </c>
      <c r="R253" s="84">
        <f t="shared" si="13"/>
        <v>245560</v>
      </c>
      <c r="S253" s="84">
        <f t="shared" si="14"/>
        <v>369840</v>
      </c>
      <c r="T253" s="84">
        <f t="shared" si="15"/>
        <v>370097</v>
      </c>
      <c r="U253" s="90"/>
      <c r="V253" s="90"/>
      <c r="W253" s="90"/>
      <c r="X253" s="90"/>
    </row>
    <row r="254" spans="1:24" s="94" customFormat="1" x14ac:dyDescent="0.3">
      <c r="A254" s="47"/>
      <c r="B254" s="84">
        <v>370089</v>
      </c>
      <c r="C254" s="85">
        <v>369840</v>
      </c>
      <c r="D254" s="84" t="s">
        <v>6</v>
      </c>
      <c r="E254" s="84" t="s">
        <v>345</v>
      </c>
      <c r="F254" s="86" t="s">
        <v>635</v>
      </c>
      <c r="G254" s="87" t="s">
        <v>543</v>
      </c>
      <c r="H254" s="87">
        <v>2</v>
      </c>
      <c r="I254" s="89"/>
      <c r="J254" s="89"/>
      <c r="K254" s="89" t="s">
        <v>1614</v>
      </c>
      <c r="L254" s="84" t="s">
        <v>88</v>
      </c>
      <c r="M254" s="88" t="str">
        <f>VLOOKUP(L254,lookups!B:C,2,FALSE)</f>
        <v>Will</v>
      </c>
      <c r="N254" s="89" t="str">
        <f>VLOOKUP(K254,TeamLookup[],2,0)</f>
        <v>Cyber</v>
      </c>
      <c r="O254" s="84" t="e">
        <f>VLOOKUP(VALUE($S254),lookups!I:J,2,FALSE)</f>
        <v>#N/A</v>
      </c>
      <c r="P254" s="84" t="e">
        <f>VLOOKUP(VALUE($S254),lookups!F:G,2,FALSE)</f>
        <v>#N/A</v>
      </c>
      <c r="Q254" s="84" t="str">
        <f t="shared" si="12"/>
        <v/>
      </c>
      <c r="R254" s="84">
        <f t="shared" si="13"/>
        <v>245560</v>
      </c>
      <c r="S254" s="84">
        <f t="shared" si="14"/>
        <v>369840</v>
      </c>
      <c r="T254" s="84">
        <f t="shared" si="15"/>
        <v>370089</v>
      </c>
      <c r="U254" s="90"/>
      <c r="V254" s="90"/>
      <c r="W254" s="90"/>
      <c r="X254" s="90"/>
    </row>
    <row r="255" spans="1:24" x14ac:dyDescent="0.3">
      <c r="B255" s="84">
        <v>370162</v>
      </c>
      <c r="C255" s="85">
        <v>369840</v>
      </c>
      <c r="D255" s="84" t="s">
        <v>6</v>
      </c>
      <c r="E255" s="84" t="s">
        <v>345</v>
      </c>
      <c r="F255" s="86" t="s">
        <v>631</v>
      </c>
      <c r="G255" s="87" t="s">
        <v>541</v>
      </c>
      <c r="H255" s="87">
        <v>1</v>
      </c>
      <c r="I255" s="89"/>
      <c r="J255" s="89"/>
      <c r="K255" s="89" t="s">
        <v>1618</v>
      </c>
      <c r="L255" s="84" t="s">
        <v>108</v>
      </c>
      <c r="M255" s="88" t="str">
        <f>VLOOKUP(L255,lookups!B:C,2,FALSE)</f>
        <v>Conan</v>
      </c>
      <c r="N255" s="89" t="str">
        <f>VLOOKUP(K255,TeamLookup[],2,0)</f>
        <v>System Engineering</v>
      </c>
      <c r="O255" s="84" t="e">
        <f>VLOOKUP(VALUE($S255),lookups!I:J,2,FALSE)</f>
        <v>#N/A</v>
      </c>
      <c r="P255" s="84" t="e">
        <f>VLOOKUP(VALUE($S255),lookups!F:G,2,FALSE)</f>
        <v>#N/A</v>
      </c>
      <c r="Q255" s="84" t="str">
        <f t="shared" si="12"/>
        <v/>
      </c>
      <c r="R255" s="84">
        <f t="shared" si="13"/>
        <v>245560</v>
      </c>
      <c r="S255" s="84">
        <f t="shared" si="14"/>
        <v>369840</v>
      </c>
      <c r="T255" s="84">
        <f t="shared" si="15"/>
        <v>370162</v>
      </c>
    </row>
    <row r="256" spans="1:24" ht="60" customHeight="1" x14ac:dyDescent="0.3">
      <c r="B256" s="84">
        <v>370098</v>
      </c>
      <c r="C256" s="85">
        <v>369840</v>
      </c>
      <c r="D256" s="84" t="s">
        <v>6</v>
      </c>
      <c r="E256" s="84" t="s">
        <v>345</v>
      </c>
      <c r="F256" s="86" t="s">
        <v>632</v>
      </c>
      <c r="G256" s="87" t="s">
        <v>541</v>
      </c>
      <c r="H256" s="87">
        <v>1</v>
      </c>
      <c r="I256" s="89"/>
      <c r="J256" s="89"/>
      <c r="K256" s="89" t="s">
        <v>1619</v>
      </c>
      <c r="L256" s="84" t="s">
        <v>113</v>
      </c>
      <c r="M256" s="88" t="str">
        <f>VLOOKUP(L256,lookups!B:C,2,FALSE)</f>
        <v>Robert S</v>
      </c>
      <c r="N256" s="89" t="str">
        <f>VLOOKUP(K256,TeamLookup[],2,0)</f>
        <v>TOFF</v>
      </c>
      <c r="O256" s="84" t="e">
        <f>VLOOKUP(VALUE($S256),lookups!I:J,2,FALSE)</f>
        <v>#N/A</v>
      </c>
      <c r="P256" s="84" t="e">
        <f>VLOOKUP(VALUE($S256),lookups!F:G,2,FALSE)</f>
        <v>#N/A</v>
      </c>
      <c r="Q256" s="84" t="str">
        <f t="shared" si="12"/>
        <v/>
      </c>
      <c r="R256" s="84">
        <f t="shared" si="13"/>
        <v>245560</v>
      </c>
      <c r="S256" s="84">
        <f t="shared" si="14"/>
        <v>369840</v>
      </c>
      <c r="T256" s="84">
        <f t="shared" si="15"/>
        <v>370098</v>
      </c>
    </row>
    <row r="257" spans="1:20" x14ac:dyDescent="0.3">
      <c r="B257" s="84">
        <v>370092</v>
      </c>
      <c r="C257" s="85">
        <v>369840</v>
      </c>
      <c r="D257" s="84" t="s">
        <v>6</v>
      </c>
      <c r="E257" s="84" t="s">
        <v>345</v>
      </c>
      <c r="F257" s="86" t="s">
        <v>634</v>
      </c>
      <c r="G257" s="87" t="s">
        <v>482</v>
      </c>
      <c r="H257" s="87">
        <v>2</v>
      </c>
      <c r="I257" s="89"/>
      <c r="J257" s="89"/>
      <c r="K257" s="89" t="s">
        <v>1614</v>
      </c>
      <c r="L257" s="84" t="s">
        <v>88</v>
      </c>
      <c r="M257" s="88" t="str">
        <f>VLOOKUP(L257,lookups!B:C,2,FALSE)</f>
        <v>Will</v>
      </c>
      <c r="N257" s="89" t="str">
        <f>VLOOKUP(K257,TeamLookup[],2,0)</f>
        <v>Cyber</v>
      </c>
      <c r="O257" s="84" t="e">
        <f>VLOOKUP(VALUE($S257),lookups!I:J,2,FALSE)</f>
        <v>#N/A</v>
      </c>
      <c r="P257" s="84" t="e">
        <f>VLOOKUP(VALUE($S257),lookups!F:G,2,FALSE)</f>
        <v>#N/A</v>
      </c>
      <c r="Q257" s="84" t="str">
        <f t="shared" si="12"/>
        <v/>
      </c>
      <c r="R257" s="84">
        <f t="shared" si="13"/>
        <v>245560</v>
      </c>
      <c r="S257" s="84">
        <f t="shared" si="14"/>
        <v>369840</v>
      </c>
      <c r="T257" s="84">
        <f t="shared" si="15"/>
        <v>370092</v>
      </c>
    </row>
    <row r="258" spans="1:20" x14ac:dyDescent="0.3">
      <c r="B258" s="84">
        <v>369840</v>
      </c>
      <c r="C258" s="85">
        <v>245560</v>
      </c>
      <c r="D258" s="84" t="s">
        <v>24</v>
      </c>
      <c r="E258" s="84" t="s">
        <v>345</v>
      </c>
      <c r="F258" s="86" t="s">
        <v>636</v>
      </c>
      <c r="G258" s="87" t="s">
        <v>482</v>
      </c>
      <c r="H258" s="87"/>
      <c r="I258" s="89" t="s">
        <v>48</v>
      </c>
      <c r="J258" s="89"/>
      <c r="K258" s="89" t="s">
        <v>1614</v>
      </c>
      <c r="L258" s="84" t="s">
        <v>108</v>
      </c>
      <c r="M258" s="88" t="str">
        <f>VLOOKUP(L258,lookups!B:C,2,FALSE)</f>
        <v>Conan</v>
      </c>
      <c r="N258" s="89" t="str">
        <f>VLOOKUP(K258,TeamLookup[],2,0)</f>
        <v>Cyber</v>
      </c>
      <c r="O258" s="84" t="e">
        <f>VLOOKUP(VALUE($S258),lookups!I:J,2,FALSE)</f>
        <v>#N/A</v>
      </c>
      <c r="P258" s="84" t="e">
        <f>VLOOKUP(VALUE($S258),lookups!F:G,2,FALSE)</f>
        <v>#N/A</v>
      </c>
      <c r="Q258" s="84" t="str">
        <f t="shared" ref="Q258:Q321" si="16">IF($B258="","ZeroEntry",
IF($D258="Program Epic","",
IF(OR($D258="Feature",$D258="Story",$D258="Task"),
  IF($C258="","Missing_ParentEntry",
IF(ISERROR(MATCH(VALUE($C258),$B:$B,0)),"ParentNotInCyberQuery",
IF(AND($D258="Story",VLOOKUP(VALUE($C258),$B:$D,3,FALSE)&lt;&gt;"Feature"),"Warning: StoryParentIs_"&amp;VLOOKUP(VALUE($C258),$B:$D,3,FALSE)&amp;"_NotFeature",
IF(AND(OR($D258="Story",$D258="Task"),VLOOKUP(VALUE($C258),$B:$C,2,FALSE)=""),"MissingGrandparent",
IF(AND($D258="Feature",ISERROR(MATCH("#"&amp;$B258,$C:$C,0))),"FeatureHasNoStories",
IF(AND($D258="Feature",VLOOKUP(VALUE($C258),$B:$D,3,FALSE)&lt;&gt;"Program Epic"),"FeatureParentIs_"&amp;VLOOKUP(VALUE($C258),$B:$D,3,FALSE)&amp;"_NotEpic","")))))),"")))</f>
        <v>ParentNotInCyberQuery</v>
      </c>
      <c r="R258" s="84">
        <f t="shared" ref="R258:R321" si="17">IF(AND($Q258&lt;&gt;"FeatureHasNoStories","Warning: StoryParentIs_Program Epic_NotFeature"&lt;&gt;$Q258,$Q258&lt;&gt;"ParentNotInCyberQuery",$Q258&lt;&gt;""),$Q258,
IF($D258="Program Epic",B258,
IF($D258="Feature",VALUE($C258),
IF("Warning: StoryParentIs_Program Epic_NotFeature"=$Q258,VALUE($C258),
IF(AND($D258="Story",$Q258="ParentNotInCyberQuery"),"MT",
IF($C258=0,"N/A",
IF(OR($D258="Story",$D258="Task"),VALUE(VLOOKUP(VALUE($C258),$B:$C,2,FALSE)),"N/A")))))))</f>
        <v>245560</v>
      </c>
      <c r="S258" s="84">
        <f t="shared" ref="S258:S321" si="18">IF($D258="Program Epic",0,
IF($D258="Feature",$B258,
IF($C258=0,"NoParentFeature",VALUE($C258))))</f>
        <v>369840</v>
      </c>
      <c r="T258" s="84">
        <f t="shared" ref="T258:T321" si="19">IF(OR($D258="Story",$D258="Task"),$B258,0)</f>
        <v>0</v>
      </c>
    </row>
    <row r="259" spans="1:20" x14ac:dyDescent="0.3">
      <c r="B259" s="84">
        <v>371184</v>
      </c>
      <c r="C259" s="85">
        <v>370599</v>
      </c>
      <c r="D259" s="84" t="s">
        <v>6</v>
      </c>
      <c r="E259" s="84" t="s">
        <v>345</v>
      </c>
      <c r="F259" s="86" t="s">
        <v>602</v>
      </c>
      <c r="G259" s="87" t="s">
        <v>543</v>
      </c>
      <c r="H259" s="87">
        <v>1</v>
      </c>
      <c r="I259" s="89"/>
      <c r="J259" s="89"/>
      <c r="K259" s="89" t="s">
        <v>1614</v>
      </c>
      <c r="L259" s="84" t="s">
        <v>125</v>
      </c>
      <c r="M259" s="88" t="str">
        <f>VLOOKUP(L259,lookups!B:C,2,FALSE)</f>
        <v>Dave C</v>
      </c>
      <c r="N259" s="89" t="str">
        <f>VLOOKUP(K259,TeamLookup[],2,0)</f>
        <v>Cyber</v>
      </c>
      <c r="O259" s="84" t="e">
        <f>VLOOKUP(VALUE($S259),lookups!I:J,2,FALSE)</f>
        <v>#N/A</v>
      </c>
      <c r="P259" s="84" t="e">
        <f>VLOOKUP(VALUE($S259),lookups!F:G,2,FALSE)</f>
        <v>#N/A</v>
      </c>
      <c r="Q259" s="84" t="str">
        <f t="shared" si="16"/>
        <v/>
      </c>
      <c r="R259" s="84">
        <f t="shared" si="17"/>
        <v>245560</v>
      </c>
      <c r="S259" s="84">
        <f t="shared" si="18"/>
        <v>370599</v>
      </c>
      <c r="T259" s="84">
        <f t="shared" si="19"/>
        <v>371184</v>
      </c>
    </row>
    <row r="260" spans="1:20" ht="16.95" customHeight="1" x14ac:dyDescent="0.3">
      <c r="A260" s="96"/>
      <c r="B260" s="84">
        <v>371149</v>
      </c>
      <c r="C260" s="85">
        <v>370599</v>
      </c>
      <c r="D260" s="84" t="s">
        <v>6</v>
      </c>
      <c r="E260" s="84" t="s">
        <v>345</v>
      </c>
      <c r="F260" s="86" t="s">
        <v>604</v>
      </c>
      <c r="G260" s="87" t="s">
        <v>543</v>
      </c>
      <c r="H260" s="87">
        <v>3</v>
      </c>
      <c r="I260" s="89"/>
      <c r="J260" s="89"/>
      <c r="K260" s="89" t="s">
        <v>1614</v>
      </c>
      <c r="L260" s="84" t="s">
        <v>125</v>
      </c>
      <c r="M260" s="88" t="str">
        <f>VLOOKUP(L260,lookups!B:C,2,FALSE)</f>
        <v>Dave C</v>
      </c>
      <c r="N260" s="89" t="str">
        <f>VLOOKUP(K260,TeamLookup[],2,0)</f>
        <v>Cyber</v>
      </c>
      <c r="O260" s="84" t="e">
        <f>VLOOKUP(VALUE($S260),lookups!I:J,2,FALSE)</f>
        <v>#N/A</v>
      </c>
      <c r="P260" s="84" t="e">
        <f>VLOOKUP(VALUE($S260),lookups!F:G,2,FALSE)</f>
        <v>#N/A</v>
      </c>
      <c r="Q260" s="84" t="str">
        <f t="shared" si="16"/>
        <v/>
      </c>
      <c r="R260" s="84">
        <f t="shared" si="17"/>
        <v>245560</v>
      </c>
      <c r="S260" s="84">
        <f t="shared" si="18"/>
        <v>370599</v>
      </c>
      <c r="T260" s="84">
        <f t="shared" si="19"/>
        <v>371149</v>
      </c>
    </row>
    <row r="261" spans="1:20" x14ac:dyDescent="0.3">
      <c r="B261" s="84">
        <v>371186</v>
      </c>
      <c r="C261" s="85">
        <v>370599</v>
      </c>
      <c r="D261" s="84" t="s">
        <v>6</v>
      </c>
      <c r="E261" s="84" t="s">
        <v>345</v>
      </c>
      <c r="F261" s="86" t="s">
        <v>602</v>
      </c>
      <c r="G261" s="87" t="s">
        <v>541</v>
      </c>
      <c r="H261" s="87">
        <v>1</v>
      </c>
      <c r="I261" s="89"/>
      <c r="J261" s="89"/>
      <c r="K261" s="89" t="s">
        <v>1614</v>
      </c>
      <c r="L261" s="84" t="s">
        <v>125</v>
      </c>
      <c r="M261" s="88" t="str">
        <f>VLOOKUP(L261,lookups!B:C,2,FALSE)</f>
        <v>Dave C</v>
      </c>
      <c r="N261" s="89" t="str">
        <f>VLOOKUP(K261,TeamLookup[],2,0)</f>
        <v>Cyber</v>
      </c>
      <c r="O261" s="84" t="e">
        <f>VLOOKUP(VALUE($S261),lookups!I:J,2,FALSE)</f>
        <v>#N/A</v>
      </c>
      <c r="P261" s="84" t="e">
        <f>VLOOKUP(VALUE($S261),lookups!F:G,2,FALSE)</f>
        <v>#N/A</v>
      </c>
      <c r="Q261" s="84" t="str">
        <f t="shared" si="16"/>
        <v/>
      </c>
      <c r="R261" s="84">
        <f t="shared" si="17"/>
        <v>245560</v>
      </c>
      <c r="S261" s="84">
        <f t="shared" si="18"/>
        <v>370599</v>
      </c>
      <c r="T261" s="84">
        <f t="shared" si="19"/>
        <v>371186</v>
      </c>
    </row>
    <row r="262" spans="1:20" x14ac:dyDescent="0.3">
      <c r="B262" s="84">
        <v>371062</v>
      </c>
      <c r="C262" s="85">
        <v>370599</v>
      </c>
      <c r="D262" s="84" t="s">
        <v>6</v>
      </c>
      <c r="E262" s="84" t="s">
        <v>345</v>
      </c>
      <c r="F262" s="86" t="s">
        <v>610</v>
      </c>
      <c r="G262" s="87" t="s">
        <v>541</v>
      </c>
      <c r="H262" s="87">
        <v>2</v>
      </c>
      <c r="I262" s="89"/>
      <c r="J262" s="89"/>
      <c r="K262" s="89" t="s">
        <v>1614</v>
      </c>
      <c r="L262" s="84" t="s">
        <v>125</v>
      </c>
      <c r="M262" s="88" t="str">
        <f>VLOOKUP(L262,lookups!B:C,2,FALSE)</f>
        <v>Dave C</v>
      </c>
      <c r="N262" s="89" t="str">
        <f>VLOOKUP(K262,TeamLookup[],2,0)</f>
        <v>Cyber</v>
      </c>
      <c r="O262" s="84" t="e">
        <f>VLOOKUP(VALUE($S262),lookups!I:J,2,FALSE)</f>
        <v>#N/A</v>
      </c>
      <c r="P262" s="84" t="e">
        <f>VLOOKUP(VALUE($S262),lookups!F:G,2,FALSE)</f>
        <v>#N/A</v>
      </c>
      <c r="Q262" s="84" t="str">
        <f t="shared" si="16"/>
        <v/>
      </c>
      <c r="R262" s="84">
        <f t="shared" si="17"/>
        <v>245560</v>
      </c>
      <c r="S262" s="84">
        <f t="shared" si="18"/>
        <v>370599</v>
      </c>
      <c r="T262" s="84">
        <f t="shared" si="19"/>
        <v>371062</v>
      </c>
    </row>
    <row r="263" spans="1:20" ht="54" customHeight="1" x14ac:dyDescent="0.3">
      <c r="A263" s="96"/>
      <c r="B263" s="84">
        <v>370606</v>
      </c>
      <c r="C263" s="85">
        <v>370599</v>
      </c>
      <c r="D263" s="84" t="s">
        <v>6</v>
      </c>
      <c r="E263" s="84" t="s">
        <v>345</v>
      </c>
      <c r="F263" s="86" t="s">
        <v>614</v>
      </c>
      <c r="G263" s="87" t="s">
        <v>541</v>
      </c>
      <c r="H263" s="87">
        <v>2</v>
      </c>
      <c r="I263" s="89"/>
      <c r="J263" s="89"/>
      <c r="K263" s="89" t="s">
        <v>1614</v>
      </c>
      <c r="L263" s="84" t="s">
        <v>125</v>
      </c>
      <c r="M263" s="88" t="str">
        <f>VLOOKUP(L263,lookups!B:C,2,FALSE)</f>
        <v>Dave C</v>
      </c>
      <c r="N263" s="89" t="str">
        <f>VLOOKUP(K263,TeamLookup[],2,0)</f>
        <v>Cyber</v>
      </c>
      <c r="O263" s="84" t="e">
        <f>VLOOKUP(VALUE($S263),lookups!I:J,2,FALSE)</f>
        <v>#N/A</v>
      </c>
      <c r="P263" s="84" t="e">
        <f>VLOOKUP(VALUE($S263),lookups!F:G,2,FALSE)</f>
        <v>#N/A</v>
      </c>
      <c r="Q263" s="84" t="str">
        <f t="shared" si="16"/>
        <v/>
      </c>
      <c r="R263" s="84">
        <f t="shared" si="17"/>
        <v>245560</v>
      </c>
      <c r="S263" s="84">
        <f t="shared" si="18"/>
        <v>370599</v>
      </c>
      <c r="T263" s="84">
        <f t="shared" si="19"/>
        <v>370606</v>
      </c>
    </row>
    <row r="264" spans="1:20" ht="20.399999999999999" customHeight="1" x14ac:dyDescent="0.3">
      <c r="B264" s="84">
        <v>380895</v>
      </c>
      <c r="C264" s="85">
        <v>370599</v>
      </c>
      <c r="D264" s="84" t="s">
        <v>6</v>
      </c>
      <c r="E264" s="84" t="s">
        <v>345</v>
      </c>
      <c r="F264" s="86" t="s">
        <v>507</v>
      </c>
      <c r="G264" s="87" t="s">
        <v>508</v>
      </c>
      <c r="H264" s="87">
        <v>2</v>
      </c>
      <c r="I264" s="84"/>
      <c r="J264" s="84"/>
      <c r="K264" s="84" t="s">
        <v>1614</v>
      </c>
      <c r="L264" s="84" t="s">
        <v>88</v>
      </c>
      <c r="M264" s="88" t="str">
        <f>VLOOKUP(L264,lookups!B:C,2,FALSE)</f>
        <v>Will</v>
      </c>
      <c r="N264" s="89" t="str">
        <f>VLOOKUP(K264,TeamLookup[],2,0)</f>
        <v>Cyber</v>
      </c>
      <c r="O264" s="84" t="e">
        <f>VLOOKUP(VALUE($S264),lookups!I:J,2,FALSE)</f>
        <v>#N/A</v>
      </c>
      <c r="P264" s="84" t="e">
        <f>VLOOKUP(VALUE($S264),lookups!F:G,2,FALSE)</f>
        <v>#N/A</v>
      </c>
      <c r="Q264" s="84" t="str">
        <f t="shared" si="16"/>
        <v/>
      </c>
      <c r="R264" s="84">
        <f t="shared" si="17"/>
        <v>245560</v>
      </c>
      <c r="S264" s="84">
        <f t="shared" si="18"/>
        <v>370599</v>
      </c>
      <c r="T264" s="84">
        <f t="shared" si="19"/>
        <v>380895</v>
      </c>
    </row>
    <row r="265" spans="1:20" x14ac:dyDescent="0.3">
      <c r="B265" s="84">
        <v>380894</v>
      </c>
      <c r="C265" s="85">
        <v>370599</v>
      </c>
      <c r="D265" s="84" t="s">
        <v>6</v>
      </c>
      <c r="E265" s="84" t="s">
        <v>345</v>
      </c>
      <c r="F265" s="86" t="s">
        <v>509</v>
      </c>
      <c r="G265" s="87" t="s">
        <v>508</v>
      </c>
      <c r="H265" s="87">
        <v>3</v>
      </c>
      <c r="I265" s="84"/>
      <c r="J265" s="84"/>
      <c r="K265" s="84" t="s">
        <v>1614</v>
      </c>
      <c r="L265" s="84" t="s">
        <v>11</v>
      </c>
      <c r="M265" s="88" t="str">
        <f>VLOOKUP(L265,lookups!B:C,2,FALSE)</f>
        <v>Randy</v>
      </c>
      <c r="N265" s="89" t="str">
        <f>VLOOKUP(K265,TeamLookup[],2,0)</f>
        <v>Cyber</v>
      </c>
      <c r="O265" s="84" t="e">
        <f>VLOOKUP(VALUE($S265),lookups!I:J,2,FALSE)</f>
        <v>#N/A</v>
      </c>
      <c r="P265" s="84" t="e">
        <f>VLOOKUP(VALUE($S265),lookups!F:G,2,FALSE)</f>
        <v>#N/A</v>
      </c>
      <c r="Q265" s="84" t="str">
        <f t="shared" si="16"/>
        <v/>
      </c>
      <c r="R265" s="84">
        <f t="shared" si="17"/>
        <v>245560</v>
      </c>
      <c r="S265" s="84">
        <f t="shared" si="18"/>
        <v>370599</v>
      </c>
      <c r="T265" s="84">
        <f t="shared" si="19"/>
        <v>380894</v>
      </c>
    </row>
    <row r="266" spans="1:20" x14ac:dyDescent="0.3">
      <c r="B266" s="84">
        <v>371188</v>
      </c>
      <c r="C266" s="85">
        <v>370599</v>
      </c>
      <c r="D266" s="84" t="s">
        <v>6</v>
      </c>
      <c r="E266" s="84" t="s">
        <v>345</v>
      </c>
      <c r="F266" s="86" t="s">
        <v>602</v>
      </c>
      <c r="G266" s="87" t="s">
        <v>508</v>
      </c>
      <c r="H266" s="87">
        <v>1</v>
      </c>
      <c r="I266" s="84"/>
      <c r="J266" s="84"/>
      <c r="K266" s="84" t="s">
        <v>1614</v>
      </c>
      <c r="L266" s="84" t="s">
        <v>125</v>
      </c>
      <c r="M266" s="88" t="str">
        <f>VLOOKUP(L266,lookups!B:C,2,FALSE)</f>
        <v>Dave C</v>
      </c>
      <c r="N266" s="89" t="str">
        <f>VLOOKUP(K266,TeamLookup[],2,0)</f>
        <v>Cyber</v>
      </c>
      <c r="O266" s="84" t="e">
        <f>VLOOKUP(VALUE($S266),lookups!I:J,2,FALSE)</f>
        <v>#N/A</v>
      </c>
      <c r="P266" s="84" t="e">
        <f>VLOOKUP(VALUE($S266),lookups!F:G,2,FALSE)</f>
        <v>#N/A</v>
      </c>
      <c r="Q266" s="84" t="str">
        <f t="shared" si="16"/>
        <v/>
      </c>
      <c r="R266" s="84">
        <f t="shared" si="17"/>
        <v>245560</v>
      </c>
      <c r="S266" s="84">
        <f t="shared" si="18"/>
        <v>370599</v>
      </c>
      <c r="T266" s="84">
        <f t="shared" si="19"/>
        <v>371188</v>
      </c>
    </row>
    <row r="267" spans="1:20" x14ac:dyDescent="0.3">
      <c r="B267" s="84">
        <v>371065</v>
      </c>
      <c r="C267" s="85">
        <v>370599</v>
      </c>
      <c r="D267" s="84" t="s">
        <v>6</v>
      </c>
      <c r="E267" s="84" t="s">
        <v>345</v>
      </c>
      <c r="F267" s="86" t="s">
        <v>609</v>
      </c>
      <c r="G267" s="87" t="s">
        <v>508</v>
      </c>
      <c r="H267" s="87">
        <v>2</v>
      </c>
      <c r="I267" s="84"/>
      <c r="J267" s="84"/>
      <c r="K267" s="84" t="s">
        <v>1614</v>
      </c>
      <c r="L267" s="84" t="s">
        <v>125</v>
      </c>
      <c r="M267" s="88" t="str">
        <f>VLOOKUP(L267,lookups!B:C,2,FALSE)</f>
        <v>Dave C</v>
      </c>
      <c r="N267" s="89" t="str">
        <f>VLOOKUP(K267,TeamLookup[],2,0)</f>
        <v>Cyber</v>
      </c>
      <c r="O267" s="84" t="e">
        <f>VLOOKUP(VALUE($S267),lookups!I:J,2,FALSE)</f>
        <v>#N/A</v>
      </c>
      <c r="P267" s="84" t="e">
        <f>VLOOKUP(VALUE($S267),lookups!F:G,2,FALSE)</f>
        <v>#N/A</v>
      </c>
      <c r="Q267" s="84" t="str">
        <f t="shared" si="16"/>
        <v/>
      </c>
      <c r="R267" s="84">
        <f t="shared" si="17"/>
        <v>245560</v>
      </c>
      <c r="S267" s="84">
        <f t="shared" si="18"/>
        <v>370599</v>
      </c>
      <c r="T267" s="84">
        <f t="shared" si="19"/>
        <v>371065</v>
      </c>
    </row>
    <row r="268" spans="1:20" ht="66" customHeight="1" x14ac:dyDescent="0.3">
      <c r="B268" s="84">
        <v>371144</v>
      </c>
      <c r="C268" s="85">
        <v>370599</v>
      </c>
      <c r="D268" s="84" t="s">
        <v>6</v>
      </c>
      <c r="E268" s="84" t="s">
        <v>345</v>
      </c>
      <c r="F268" s="86" t="s">
        <v>606</v>
      </c>
      <c r="G268" s="87" t="s">
        <v>482</v>
      </c>
      <c r="H268" s="87">
        <v>1</v>
      </c>
      <c r="I268" s="89"/>
      <c r="J268" s="89"/>
      <c r="K268" s="89" t="s">
        <v>1614</v>
      </c>
      <c r="L268" s="84" t="s">
        <v>88</v>
      </c>
      <c r="M268" s="88" t="str">
        <f>VLOOKUP(L268,lookups!B:C,2,FALSE)</f>
        <v>Will</v>
      </c>
      <c r="N268" s="89" t="str">
        <f>VLOOKUP(K268,TeamLookup[],2,0)</f>
        <v>Cyber</v>
      </c>
      <c r="O268" s="84" t="e">
        <f>VLOOKUP(VALUE($S268),lookups!I:J,2,FALSE)</f>
        <v>#N/A</v>
      </c>
      <c r="P268" s="84" t="e">
        <f>VLOOKUP(VALUE($S268),lookups!F:G,2,FALSE)</f>
        <v>#N/A</v>
      </c>
      <c r="Q268" s="84" t="str">
        <f t="shared" si="16"/>
        <v/>
      </c>
      <c r="R268" s="84">
        <f t="shared" si="17"/>
        <v>245560</v>
      </c>
      <c r="S268" s="84">
        <f t="shared" si="18"/>
        <v>370599</v>
      </c>
      <c r="T268" s="84">
        <f t="shared" si="19"/>
        <v>371144</v>
      </c>
    </row>
    <row r="269" spans="1:20" x14ac:dyDescent="0.3">
      <c r="A269" s="136" t="s">
        <v>14</v>
      </c>
      <c r="B269" s="84">
        <v>371127</v>
      </c>
      <c r="C269" s="85">
        <v>370599</v>
      </c>
      <c r="D269" s="84" t="s">
        <v>6</v>
      </c>
      <c r="E269" s="84" t="s">
        <v>345</v>
      </c>
      <c r="F269" s="86" t="s">
        <v>607</v>
      </c>
      <c r="G269" s="87" t="s">
        <v>482</v>
      </c>
      <c r="H269" s="87">
        <v>2</v>
      </c>
      <c r="I269" s="84"/>
      <c r="J269" s="84"/>
      <c r="K269" s="84" t="s">
        <v>1614</v>
      </c>
      <c r="L269" s="84" t="s">
        <v>125</v>
      </c>
      <c r="M269" s="88" t="str">
        <f>VLOOKUP(L269,lookups!B:C,2,FALSE)</f>
        <v>Dave C</v>
      </c>
      <c r="N269" s="89" t="str">
        <f>VLOOKUP(K269,TeamLookup[],2,0)</f>
        <v>Cyber</v>
      </c>
      <c r="O269" s="84" t="e">
        <f>VLOOKUP(VALUE($S269),lookups!I:J,2,FALSE)</f>
        <v>#N/A</v>
      </c>
      <c r="P269" s="84" t="e">
        <f>VLOOKUP(VALUE($S269),lookups!F:G,2,FALSE)</f>
        <v>#N/A</v>
      </c>
      <c r="Q269" s="84" t="str">
        <f t="shared" si="16"/>
        <v/>
      </c>
      <c r="R269" s="84">
        <f t="shared" si="17"/>
        <v>245560</v>
      </c>
      <c r="S269" s="84">
        <f t="shared" si="18"/>
        <v>370599</v>
      </c>
      <c r="T269" s="84">
        <f t="shared" si="19"/>
        <v>371127</v>
      </c>
    </row>
    <row r="270" spans="1:20" x14ac:dyDescent="0.3">
      <c r="B270" s="84">
        <v>384919</v>
      </c>
      <c r="C270" s="85">
        <v>370599</v>
      </c>
      <c r="D270" s="84" t="s">
        <v>6</v>
      </c>
      <c r="E270" s="84" t="s">
        <v>345</v>
      </c>
      <c r="F270" s="86" t="s">
        <v>467</v>
      </c>
      <c r="G270" s="87" t="s">
        <v>446</v>
      </c>
      <c r="H270" s="87">
        <v>1</v>
      </c>
      <c r="I270" s="84"/>
      <c r="J270" s="84"/>
      <c r="K270" s="84" t="s">
        <v>1614</v>
      </c>
      <c r="L270" s="84" t="s">
        <v>125</v>
      </c>
      <c r="M270" s="88" t="str">
        <f>VLOOKUP(L270,lookups!B:C,2,FALSE)</f>
        <v>Dave C</v>
      </c>
      <c r="N270" s="89" t="str">
        <f>VLOOKUP(K270,TeamLookup[],2,0)</f>
        <v>Cyber</v>
      </c>
      <c r="O270" s="84" t="e">
        <f>VLOOKUP(VALUE($S270),lookups!I:J,2,FALSE)</f>
        <v>#N/A</v>
      </c>
      <c r="P270" s="84" t="e">
        <f>VLOOKUP(VALUE($S270),lookups!F:G,2,FALSE)</f>
        <v>#N/A</v>
      </c>
      <c r="Q270" s="84" t="str">
        <f t="shared" si="16"/>
        <v/>
      </c>
      <c r="R270" s="84">
        <f t="shared" si="17"/>
        <v>245560</v>
      </c>
      <c r="S270" s="84">
        <f t="shared" si="18"/>
        <v>370599</v>
      </c>
      <c r="T270" s="84">
        <f t="shared" si="19"/>
        <v>384919</v>
      </c>
    </row>
    <row r="271" spans="1:20" x14ac:dyDescent="0.3">
      <c r="B271" s="84">
        <v>371070</v>
      </c>
      <c r="C271" s="85">
        <v>370599</v>
      </c>
      <c r="D271" s="84" t="s">
        <v>6</v>
      </c>
      <c r="E271" s="84" t="s">
        <v>345</v>
      </c>
      <c r="F271" s="86" t="s">
        <v>608</v>
      </c>
      <c r="G271" s="87" t="s">
        <v>446</v>
      </c>
      <c r="H271" s="87">
        <v>2</v>
      </c>
      <c r="I271" s="89"/>
      <c r="J271" s="89"/>
      <c r="K271" s="89" t="s">
        <v>1614</v>
      </c>
      <c r="L271" s="84" t="s">
        <v>11</v>
      </c>
      <c r="M271" s="88" t="str">
        <f>VLOOKUP(L271,lookups!B:C,2,FALSE)</f>
        <v>Randy</v>
      </c>
      <c r="N271" s="89" t="str">
        <f>VLOOKUP(K271,TeamLookup[],2,0)</f>
        <v>Cyber</v>
      </c>
      <c r="O271" s="84" t="e">
        <f>VLOOKUP(VALUE($S271),lookups!I:J,2,FALSE)</f>
        <v>#N/A</v>
      </c>
      <c r="P271" s="84" t="e">
        <f>VLOOKUP(VALUE($S271),lookups!F:G,2,FALSE)</f>
        <v>#N/A</v>
      </c>
      <c r="Q271" s="84" t="str">
        <f t="shared" si="16"/>
        <v/>
      </c>
      <c r="R271" s="84">
        <f t="shared" si="17"/>
        <v>245560</v>
      </c>
      <c r="S271" s="84">
        <f t="shared" si="18"/>
        <v>370599</v>
      </c>
      <c r="T271" s="84">
        <f t="shared" si="19"/>
        <v>371070</v>
      </c>
    </row>
    <row r="272" spans="1:20" x14ac:dyDescent="0.3">
      <c r="B272" s="84">
        <v>387678</v>
      </c>
      <c r="C272" s="85">
        <v>370599</v>
      </c>
      <c r="D272" s="84" t="s">
        <v>6</v>
      </c>
      <c r="E272" s="84" t="s">
        <v>345</v>
      </c>
      <c r="F272" s="86" t="s">
        <v>443</v>
      </c>
      <c r="G272" s="87" t="s">
        <v>444</v>
      </c>
      <c r="H272" s="87">
        <v>1</v>
      </c>
      <c r="I272" s="89"/>
      <c r="J272" s="89"/>
      <c r="K272" s="89" t="s">
        <v>1614</v>
      </c>
      <c r="L272" s="84" t="s">
        <v>11</v>
      </c>
      <c r="M272" s="88" t="str">
        <f>VLOOKUP(L272,lookups!B:C,2,FALSE)</f>
        <v>Randy</v>
      </c>
      <c r="N272" s="89" t="str">
        <f>VLOOKUP(K272,TeamLookup[],2,0)</f>
        <v>Cyber</v>
      </c>
      <c r="O272" s="84" t="e">
        <f>VLOOKUP(VALUE($S272),lookups!I:J,2,FALSE)</f>
        <v>#N/A</v>
      </c>
      <c r="P272" s="84" t="e">
        <f>VLOOKUP(VALUE($S272),lookups!F:G,2,FALSE)</f>
        <v>#N/A</v>
      </c>
      <c r="Q272" s="84" t="str">
        <f t="shared" si="16"/>
        <v/>
      </c>
      <c r="R272" s="84">
        <f t="shared" si="17"/>
        <v>245560</v>
      </c>
      <c r="S272" s="84">
        <f t="shared" si="18"/>
        <v>370599</v>
      </c>
      <c r="T272" s="84">
        <f t="shared" si="19"/>
        <v>387678</v>
      </c>
    </row>
    <row r="273" spans="1:22" x14ac:dyDescent="0.3">
      <c r="B273" s="84">
        <v>371190</v>
      </c>
      <c r="C273" s="85">
        <v>370599</v>
      </c>
      <c r="D273" s="84" t="s">
        <v>6</v>
      </c>
      <c r="E273" s="84" t="s">
        <v>345</v>
      </c>
      <c r="F273" s="86" t="s">
        <v>602</v>
      </c>
      <c r="G273" s="87" t="s">
        <v>444</v>
      </c>
      <c r="H273" s="87">
        <v>1</v>
      </c>
      <c r="I273" s="89"/>
      <c r="J273" s="89"/>
      <c r="K273" s="89" t="s">
        <v>1614</v>
      </c>
      <c r="L273" s="84" t="s">
        <v>125</v>
      </c>
      <c r="M273" s="88" t="str">
        <f>VLOOKUP(L273,lookups!B:C,2,FALSE)</f>
        <v>Dave C</v>
      </c>
      <c r="N273" s="89" t="str">
        <f>VLOOKUP(K273,TeamLookup[],2,0)</f>
        <v>Cyber</v>
      </c>
      <c r="O273" s="84" t="e">
        <f>VLOOKUP(VALUE($S273),lookups!I:J,2,FALSE)</f>
        <v>#N/A</v>
      </c>
      <c r="P273" s="84" t="e">
        <f>VLOOKUP(VALUE($S273),lookups!F:G,2,FALSE)</f>
        <v>#N/A</v>
      </c>
      <c r="Q273" s="84" t="str">
        <f t="shared" si="16"/>
        <v/>
      </c>
      <c r="R273" s="84">
        <f t="shared" si="17"/>
        <v>245560</v>
      </c>
      <c r="S273" s="84">
        <f t="shared" si="18"/>
        <v>370599</v>
      </c>
      <c r="T273" s="84">
        <f t="shared" si="19"/>
        <v>371190</v>
      </c>
    </row>
    <row r="274" spans="1:22" x14ac:dyDescent="0.3">
      <c r="B274" s="84">
        <v>371150</v>
      </c>
      <c r="C274" s="85">
        <v>370599</v>
      </c>
      <c r="D274" s="84" t="s">
        <v>6</v>
      </c>
      <c r="E274" s="84" t="s">
        <v>345</v>
      </c>
      <c r="F274" s="86" t="s">
        <v>603</v>
      </c>
      <c r="G274" s="87" t="s">
        <v>444</v>
      </c>
      <c r="H274" s="87">
        <v>3</v>
      </c>
      <c r="I274" s="89"/>
      <c r="J274" s="89"/>
      <c r="K274" s="89" t="s">
        <v>1614</v>
      </c>
      <c r="L274" s="84" t="s">
        <v>125</v>
      </c>
      <c r="M274" s="88" t="str">
        <f>VLOOKUP(L274,lookups!B:C,2,FALSE)</f>
        <v>Dave C</v>
      </c>
      <c r="N274" s="89" t="str">
        <f>VLOOKUP(K274,TeamLookup[],2,0)</f>
        <v>Cyber</v>
      </c>
      <c r="O274" s="84" t="e">
        <f>VLOOKUP(VALUE($S274),lookups!I:J,2,FALSE)</f>
        <v>#N/A</v>
      </c>
      <c r="P274" s="84" t="e">
        <f>VLOOKUP(VALUE($S274),lookups!F:G,2,FALSE)</f>
        <v>#N/A</v>
      </c>
      <c r="Q274" s="84" t="str">
        <f t="shared" si="16"/>
        <v/>
      </c>
      <c r="R274" s="84">
        <f t="shared" si="17"/>
        <v>245560</v>
      </c>
      <c r="S274" s="84">
        <f t="shared" si="18"/>
        <v>370599</v>
      </c>
      <c r="T274" s="84">
        <f t="shared" si="19"/>
        <v>371150</v>
      </c>
    </row>
    <row r="275" spans="1:22" x14ac:dyDescent="0.3">
      <c r="B275" s="84">
        <v>371147</v>
      </c>
      <c r="C275" s="85">
        <v>370599</v>
      </c>
      <c r="D275" s="84" t="s">
        <v>6</v>
      </c>
      <c r="E275" s="84" t="s">
        <v>345</v>
      </c>
      <c r="F275" s="86" t="s">
        <v>605</v>
      </c>
      <c r="G275" s="87" t="s">
        <v>444</v>
      </c>
      <c r="H275" s="87">
        <v>1</v>
      </c>
      <c r="I275" s="89"/>
      <c r="J275" s="89"/>
      <c r="K275" s="89" t="s">
        <v>1614</v>
      </c>
      <c r="L275" s="84" t="s">
        <v>182</v>
      </c>
      <c r="M275" s="88" t="str">
        <f>VLOOKUP(L275,lookups!B:C,2,FALSE)</f>
        <v>Ted</v>
      </c>
      <c r="N275" s="89" t="str">
        <f>VLOOKUP(K275,TeamLookup[],2,0)</f>
        <v>Cyber</v>
      </c>
      <c r="O275" s="84" t="e">
        <f>VLOOKUP(VALUE($S275),lookups!I:J,2,FALSE)</f>
        <v>#N/A</v>
      </c>
      <c r="P275" s="84" t="e">
        <f>VLOOKUP(VALUE($S275),lookups!F:G,2,FALSE)</f>
        <v>#N/A</v>
      </c>
      <c r="Q275" s="84" t="str">
        <f t="shared" si="16"/>
        <v/>
      </c>
      <c r="R275" s="84">
        <f t="shared" si="17"/>
        <v>245560</v>
      </c>
      <c r="S275" s="84">
        <f t="shared" si="18"/>
        <v>370599</v>
      </c>
      <c r="T275" s="84">
        <f t="shared" si="19"/>
        <v>371147</v>
      </c>
    </row>
    <row r="276" spans="1:22" ht="22.95" customHeight="1" x14ac:dyDescent="0.3">
      <c r="B276" s="84">
        <v>371189</v>
      </c>
      <c r="C276" s="85">
        <v>370599</v>
      </c>
      <c r="D276" s="84" t="s">
        <v>6</v>
      </c>
      <c r="E276" s="84" t="s">
        <v>345</v>
      </c>
      <c r="F276" s="86" t="s">
        <v>602</v>
      </c>
      <c r="G276" s="93" t="s">
        <v>434</v>
      </c>
      <c r="H276" s="87">
        <v>1</v>
      </c>
      <c r="I276" s="84"/>
      <c r="J276" s="84"/>
      <c r="K276" s="89" t="s">
        <v>1614</v>
      </c>
      <c r="L276" s="84" t="s">
        <v>125</v>
      </c>
      <c r="M276" s="88" t="str">
        <f>VLOOKUP(L276,lookups!B:C,2,FALSE)</f>
        <v>Dave C</v>
      </c>
      <c r="N276" s="89" t="str">
        <f>VLOOKUP(K276,TeamLookup[],2,0)</f>
        <v>Cyber</v>
      </c>
      <c r="O276" s="84" t="e">
        <f>VLOOKUP(VALUE($S276),lookups!I:J,2,FALSE)</f>
        <v>#N/A</v>
      </c>
      <c r="P276" s="84" t="e">
        <f>VLOOKUP(VALUE($S276),lookups!F:G,2,FALSE)</f>
        <v>#N/A</v>
      </c>
      <c r="Q276" s="84" t="str">
        <f t="shared" si="16"/>
        <v/>
      </c>
      <c r="R276" s="84">
        <f t="shared" si="17"/>
        <v>245560</v>
      </c>
      <c r="S276" s="84">
        <f t="shared" si="18"/>
        <v>370599</v>
      </c>
      <c r="T276" s="84">
        <f t="shared" si="19"/>
        <v>371189</v>
      </c>
    </row>
    <row r="277" spans="1:22" x14ac:dyDescent="0.3">
      <c r="B277" s="84">
        <v>371058</v>
      </c>
      <c r="C277" s="85">
        <v>370599</v>
      </c>
      <c r="D277" s="84" t="s">
        <v>6</v>
      </c>
      <c r="E277" s="84" t="s">
        <v>345</v>
      </c>
      <c r="F277" s="86" t="s">
        <v>611</v>
      </c>
      <c r="G277" s="87" t="s">
        <v>434</v>
      </c>
      <c r="H277" s="87">
        <v>3</v>
      </c>
      <c r="I277" s="84"/>
      <c r="J277" s="84"/>
      <c r="K277" s="84" t="s">
        <v>1614</v>
      </c>
      <c r="L277" s="84" t="s">
        <v>125</v>
      </c>
      <c r="M277" s="88" t="str">
        <f>VLOOKUP(L277,lookups!B:C,2,FALSE)</f>
        <v>Dave C</v>
      </c>
      <c r="N277" s="89" t="str">
        <f>VLOOKUP(K277,TeamLookup[],2,0)</f>
        <v>Cyber</v>
      </c>
      <c r="O277" s="84" t="e">
        <f>VLOOKUP(VALUE($S277),lookups!I:J,2,FALSE)</f>
        <v>#N/A</v>
      </c>
      <c r="P277" s="84" t="e">
        <f>VLOOKUP(VALUE($S277),lookups!F:G,2,FALSE)</f>
        <v>#N/A</v>
      </c>
      <c r="Q277" s="84" t="str">
        <f t="shared" si="16"/>
        <v/>
      </c>
      <c r="R277" s="84">
        <f t="shared" si="17"/>
        <v>245560</v>
      </c>
      <c r="S277" s="84">
        <f t="shared" si="18"/>
        <v>370599</v>
      </c>
      <c r="T277" s="84">
        <f t="shared" si="19"/>
        <v>371058</v>
      </c>
    </row>
    <row r="278" spans="1:22" x14ac:dyDescent="0.3">
      <c r="B278" s="84">
        <v>370599</v>
      </c>
      <c r="C278" s="85">
        <v>245560</v>
      </c>
      <c r="D278" s="84" t="s">
        <v>24</v>
      </c>
      <c r="E278" s="84" t="s">
        <v>345</v>
      </c>
      <c r="F278" s="86" t="s">
        <v>615</v>
      </c>
      <c r="G278" s="87" t="s">
        <v>434</v>
      </c>
      <c r="H278" s="87"/>
      <c r="I278" s="84" t="s">
        <v>48</v>
      </c>
      <c r="J278" s="84"/>
      <c r="K278" s="84" t="s">
        <v>1614</v>
      </c>
      <c r="L278" s="84" t="s">
        <v>129</v>
      </c>
      <c r="M278" s="88" t="str">
        <f>VLOOKUP(L278,lookups!B:C,2,FALSE)</f>
        <v>Derek</v>
      </c>
      <c r="N278" s="89" t="str">
        <f>VLOOKUP(K278,TeamLookup[],2,0)</f>
        <v>Cyber</v>
      </c>
      <c r="O278" s="84" t="e">
        <f>VLOOKUP(VALUE($S278),lookups!I:J,2,FALSE)</f>
        <v>#N/A</v>
      </c>
      <c r="P278" s="84" t="e">
        <f>VLOOKUP(VALUE($S278),lookups!F:G,2,FALSE)</f>
        <v>#N/A</v>
      </c>
      <c r="Q278" s="84" t="str">
        <f t="shared" si="16"/>
        <v>ParentNotInCyberQuery</v>
      </c>
      <c r="R278" s="84">
        <f t="shared" si="17"/>
        <v>245560</v>
      </c>
      <c r="S278" s="84">
        <f t="shared" si="18"/>
        <v>370599</v>
      </c>
      <c r="T278" s="84">
        <f t="shared" si="19"/>
        <v>0</v>
      </c>
      <c r="V278" s="94"/>
    </row>
    <row r="279" spans="1:22" x14ac:dyDescent="0.3">
      <c r="B279" s="84">
        <v>371284</v>
      </c>
      <c r="C279" s="85">
        <v>371201</v>
      </c>
      <c r="D279" s="84" t="s">
        <v>6</v>
      </c>
      <c r="E279" s="84" t="s">
        <v>345</v>
      </c>
      <c r="F279" s="86" t="s">
        <v>591</v>
      </c>
      <c r="G279" s="87" t="s">
        <v>543</v>
      </c>
      <c r="H279" s="87">
        <v>3</v>
      </c>
      <c r="I279" s="84"/>
      <c r="J279" s="84"/>
      <c r="K279" s="84" t="s">
        <v>1614</v>
      </c>
      <c r="L279" s="84" t="s">
        <v>107</v>
      </c>
      <c r="M279" s="88" t="str">
        <f>VLOOKUP(L279,lookups!B:C,2,FALSE)</f>
        <v>Chris</v>
      </c>
      <c r="N279" s="89" t="str">
        <f>VLOOKUP(K279,TeamLookup[],2,0)</f>
        <v>Cyber</v>
      </c>
      <c r="O279" s="84" t="e">
        <f>VLOOKUP(VALUE($S279),lookups!I:J,2,FALSE)</f>
        <v>#N/A</v>
      </c>
      <c r="P279" s="84" t="e">
        <f>VLOOKUP(VALUE($S279),lookups!F:G,2,FALSE)</f>
        <v>#N/A</v>
      </c>
      <c r="Q279" s="84" t="str">
        <f t="shared" si="16"/>
        <v/>
      </c>
      <c r="R279" s="84">
        <f t="shared" si="17"/>
        <v>245560</v>
      </c>
      <c r="S279" s="84">
        <f t="shared" si="18"/>
        <v>371201</v>
      </c>
      <c r="T279" s="84">
        <f t="shared" si="19"/>
        <v>371284</v>
      </c>
    </row>
    <row r="280" spans="1:22" ht="28.8" x14ac:dyDescent="0.3">
      <c r="B280" s="84">
        <v>371267</v>
      </c>
      <c r="C280" s="85">
        <v>371201</v>
      </c>
      <c r="D280" s="84" t="s">
        <v>6</v>
      </c>
      <c r="E280" s="84" t="s">
        <v>345</v>
      </c>
      <c r="F280" s="86" t="s">
        <v>593</v>
      </c>
      <c r="G280" s="87" t="s">
        <v>543</v>
      </c>
      <c r="H280" s="87">
        <v>2</v>
      </c>
      <c r="I280" s="89"/>
      <c r="J280" s="89"/>
      <c r="K280" s="89" t="s">
        <v>1614</v>
      </c>
      <c r="L280" s="84" t="s">
        <v>121</v>
      </c>
      <c r="M280" s="88" t="str">
        <f>VLOOKUP(L280,lookups!B:C,2,FALSE)</f>
        <v>Tony</v>
      </c>
      <c r="N280" s="89" t="str">
        <f>VLOOKUP(K280,TeamLookup[],2,0)</f>
        <v>Cyber</v>
      </c>
      <c r="O280" s="84" t="e">
        <f>VLOOKUP(VALUE($S280),lookups!I:J,2,FALSE)</f>
        <v>#N/A</v>
      </c>
      <c r="P280" s="84" t="e">
        <f>VLOOKUP(VALUE($S280),lookups!F:G,2,FALSE)</f>
        <v>#N/A</v>
      </c>
      <c r="Q280" s="84" t="str">
        <f t="shared" si="16"/>
        <v/>
      </c>
      <c r="R280" s="84">
        <f t="shared" si="17"/>
        <v>245560</v>
      </c>
      <c r="S280" s="84">
        <f t="shared" si="18"/>
        <v>371201</v>
      </c>
      <c r="T280" s="84">
        <f t="shared" si="19"/>
        <v>371267</v>
      </c>
    </row>
    <row r="281" spans="1:22" ht="43.2" x14ac:dyDescent="0.3">
      <c r="B281" s="84">
        <v>371213</v>
      </c>
      <c r="C281" s="85">
        <v>371201</v>
      </c>
      <c r="D281" s="84" t="s">
        <v>6</v>
      </c>
      <c r="E281" s="84" t="s">
        <v>345</v>
      </c>
      <c r="F281" s="86" t="s">
        <v>600</v>
      </c>
      <c r="G281" s="87" t="s">
        <v>543</v>
      </c>
      <c r="H281" s="87">
        <v>2</v>
      </c>
      <c r="I281" s="89"/>
      <c r="J281" s="89"/>
      <c r="K281" s="89" t="s">
        <v>1614</v>
      </c>
      <c r="L281" s="84" t="s">
        <v>11</v>
      </c>
      <c r="M281" s="88" t="str">
        <f>VLOOKUP(L281,lookups!B:C,2,FALSE)</f>
        <v>Randy</v>
      </c>
      <c r="N281" s="89" t="str">
        <f>VLOOKUP(K281,TeamLookup[],2,0)</f>
        <v>Cyber</v>
      </c>
      <c r="O281" s="84" t="e">
        <f>VLOOKUP(VALUE($S281),lookups!I:J,2,FALSE)</f>
        <v>#N/A</v>
      </c>
      <c r="P281" s="84" t="e">
        <f>VLOOKUP(VALUE($S281),lookups!F:G,2,FALSE)</f>
        <v>#N/A</v>
      </c>
      <c r="Q281" s="84" t="str">
        <f t="shared" si="16"/>
        <v/>
      </c>
      <c r="R281" s="84">
        <f t="shared" si="17"/>
        <v>245560</v>
      </c>
      <c r="S281" s="84">
        <f t="shared" si="18"/>
        <v>371201</v>
      </c>
      <c r="T281" s="84">
        <f t="shared" si="19"/>
        <v>371213</v>
      </c>
    </row>
    <row r="282" spans="1:22" x14ac:dyDescent="0.3">
      <c r="B282" s="84">
        <v>371331</v>
      </c>
      <c r="C282" s="85">
        <v>371201</v>
      </c>
      <c r="D282" s="84" t="s">
        <v>6</v>
      </c>
      <c r="E282" s="84" t="s">
        <v>345</v>
      </c>
      <c r="F282" s="86" t="s">
        <v>589</v>
      </c>
      <c r="G282" s="87" t="s">
        <v>541</v>
      </c>
      <c r="H282" s="87">
        <v>3</v>
      </c>
      <c r="I282" s="89"/>
      <c r="J282" s="89"/>
      <c r="K282" s="89" t="s">
        <v>1614</v>
      </c>
      <c r="L282" s="84" t="s">
        <v>88</v>
      </c>
      <c r="M282" s="88" t="str">
        <f>VLOOKUP(L282,lookups!B:C,2,FALSE)</f>
        <v>Will</v>
      </c>
      <c r="N282" s="89" t="str">
        <f>VLOOKUP(K282,TeamLookup[],2,0)</f>
        <v>Cyber</v>
      </c>
      <c r="O282" s="84" t="e">
        <f>VLOOKUP(VALUE($S282),lookups!I:J,2,FALSE)</f>
        <v>#N/A</v>
      </c>
      <c r="P282" s="84" t="e">
        <f>VLOOKUP(VALUE($S282),lookups!F:G,2,FALSE)</f>
        <v>#N/A</v>
      </c>
      <c r="Q282" s="84" t="str">
        <f t="shared" si="16"/>
        <v/>
      </c>
      <c r="R282" s="84">
        <f t="shared" si="17"/>
        <v>245560</v>
      </c>
      <c r="S282" s="84">
        <f t="shared" si="18"/>
        <v>371201</v>
      </c>
      <c r="T282" s="84">
        <f t="shared" si="19"/>
        <v>371331</v>
      </c>
    </row>
    <row r="283" spans="1:22" x14ac:dyDescent="0.3">
      <c r="B283" s="84">
        <v>371246</v>
      </c>
      <c r="C283" s="85">
        <v>371201</v>
      </c>
      <c r="D283" s="84" t="s">
        <v>6</v>
      </c>
      <c r="E283" s="84" t="s">
        <v>345</v>
      </c>
      <c r="F283" s="86" t="s">
        <v>596</v>
      </c>
      <c r="G283" s="87" t="s">
        <v>541</v>
      </c>
      <c r="H283" s="87">
        <v>2</v>
      </c>
      <c r="I283" s="89"/>
      <c r="J283" s="89"/>
      <c r="K283" s="89" t="s">
        <v>1614</v>
      </c>
      <c r="L283" s="84" t="s">
        <v>88</v>
      </c>
      <c r="M283" s="88" t="str">
        <f>VLOOKUP(L283,lookups!B:C,2,FALSE)</f>
        <v>Will</v>
      </c>
      <c r="N283" s="89" t="str">
        <f>VLOOKUP(K283,TeamLookup[],2,0)</f>
        <v>Cyber</v>
      </c>
      <c r="O283" s="84" t="e">
        <f>VLOOKUP(VALUE($S283),lookups!I:J,2,FALSE)</f>
        <v>#N/A</v>
      </c>
      <c r="P283" s="84" t="e">
        <f>VLOOKUP(VALUE($S283),lookups!F:G,2,FALSE)</f>
        <v>#N/A</v>
      </c>
      <c r="Q283" s="84" t="str">
        <f t="shared" si="16"/>
        <v/>
      </c>
      <c r="R283" s="84">
        <f t="shared" si="17"/>
        <v>245560</v>
      </c>
      <c r="S283" s="84">
        <f t="shared" si="18"/>
        <v>371201</v>
      </c>
      <c r="T283" s="84">
        <f t="shared" si="19"/>
        <v>371246</v>
      </c>
    </row>
    <row r="284" spans="1:22" ht="43.2" x14ac:dyDescent="0.3">
      <c r="A284" s="96"/>
      <c r="B284" s="84">
        <v>371214</v>
      </c>
      <c r="C284" s="85">
        <v>371201</v>
      </c>
      <c r="D284" s="84" t="s">
        <v>6</v>
      </c>
      <c r="E284" s="84" t="s">
        <v>345</v>
      </c>
      <c r="F284" s="86" t="s">
        <v>440</v>
      </c>
      <c r="G284" s="87" t="s">
        <v>541</v>
      </c>
      <c r="H284" s="87">
        <v>2</v>
      </c>
      <c r="I284" s="89"/>
      <c r="J284" s="89"/>
      <c r="K284" s="89" t="s">
        <v>1614</v>
      </c>
      <c r="L284" s="84" t="s">
        <v>11</v>
      </c>
      <c r="M284" s="88" t="str">
        <f>VLOOKUP(L284,lookups!B:C,2,FALSE)</f>
        <v>Randy</v>
      </c>
      <c r="N284" s="89" t="str">
        <f>VLOOKUP(K284,TeamLookup[],2,0)</f>
        <v>Cyber</v>
      </c>
      <c r="O284" s="84" t="e">
        <f>VLOOKUP(VALUE($S284),lookups!I:J,2,FALSE)</f>
        <v>#N/A</v>
      </c>
      <c r="P284" s="84" t="e">
        <f>VLOOKUP(VALUE($S284),lookups!F:G,2,FALSE)</f>
        <v>#N/A</v>
      </c>
      <c r="Q284" s="84" t="str">
        <f t="shared" si="16"/>
        <v/>
      </c>
      <c r="R284" s="84">
        <f t="shared" si="17"/>
        <v>245560</v>
      </c>
      <c r="S284" s="84">
        <f t="shared" si="18"/>
        <v>371201</v>
      </c>
      <c r="T284" s="84">
        <f t="shared" si="19"/>
        <v>371214</v>
      </c>
    </row>
    <row r="285" spans="1:22" x14ac:dyDescent="0.3">
      <c r="A285" s="96"/>
      <c r="B285" s="84">
        <v>371335</v>
      </c>
      <c r="C285" s="85">
        <v>371201</v>
      </c>
      <c r="D285" s="84" t="s">
        <v>6</v>
      </c>
      <c r="E285" s="84" t="s">
        <v>345</v>
      </c>
      <c r="F285" s="86" t="s">
        <v>588</v>
      </c>
      <c r="G285" s="87" t="s">
        <v>508</v>
      </c>
      <c r="H285" s="87">
        <v>2</v>
      </c>
      <c r="I285" s="89"/>
      <c r="J285" s="89"/>
      <c r="K285" s="89" t="s">
        <v>1614</v>
      </c>
      <c r="L285" s="84" t="s">
        <v>107</v>
      </c>
      <c r="M285" s="88" t="str">
        <f>VLOOKUP(L285,lookups!B:C,2,FALSE)</f>
        <v>Chris</v>
      </c>
      <c r="N285" s="89" t="str">
        <f>VLOOKUP(K285,TeamLookup[],2,0)</f>
        <v>Cyber</v>
      </c>
      <c r="O285" s="84" t="e">
        <f>VLOOKUP(VALUE($S285),lookups!I:J,2,FALSE)</f>
        <v>#N/A</v>
      </c>
      <c r="P285" s="84" t="e">
        <f>VLOOKUP(VALUE($S285),lookups!F:G,2,FALSE)</f>
        <v>#N/A</v>
      </c>
      <c r="Q285" s="84" t="str">
        <f t="shared" si="16"/>
        <v/>
      </c>
      <c r="R285" s="84">
        <f t="shared" si="17"/>
        <v>245560</v>
      </c>
      <c r="S285" s="84">
        <f t="shared" si="18"/>
        <v>371201</v>
      </c>
      <c r="T285" s="84">
        <f t="shared" si="19"/>
        <v>371335</v>
      </c>
    </row>
    <row r="286" spans="1:22" ht="28.8" x14ac:dyDescent="0.3">
      <c r="B286" s="84">
        <v>371269</v>
      </c>
      <c r="C286" s="85">
        <v>371201</v>
      </c>
      <c r="D286" s="84" t="s">
        <v>6</v>
      </c>
      <c r="E286" s="84" t="s">
        <v>345</v>
      </c>
      <c r="F286" s="86" t="s">
        <v>592</v>
      </c>
      <c r="G286" s="87" t="s">
        <v>508</v>
      </c>
      <c r="H286" s="87">
        <v>1</v>
      </c>
      <c r="I286" s="89"/>
      <c r="J286" s="89"/>
      <c r="K286" s="89" t="s">
        <v>1614</v>
      </c>
      <c r="L286" s="84" t="s">
        <v>121</v>
      </c>
      <c r="M286" s="88" t="str">
        <f>VLOOKUP(L286,lookups!B:C,2,FALSE)</f>
        <v>Tony</v>
      </c>
      <c r="N286" s="89" t="str">
        <f>VLOOKUP(K286,TeamLookup[],2,0)</f>
        <v>Cyber</v>
      </c>
      <c r="O286" s="84" t="e">
        <f>VLOOKUP(VALUE($S286),lookups!I:J,2,FALSE)</f>
        <v>#N/A</v>
      </c>
      <c r="P286" s="84" t="e">
        <f>VLOOKUP(VALUE($S286),lookups!F:G,2,FALSE)</f>
        <v>#N/A</v>
      </c>
      <c r="Q286" s="84" t="str">
        <f t="shared" si="16"/>
        <v/>
      </c>
      <c r="R286" s="84">
        <f t="shared" si="17"/>
        <v>245560</v>
      </c>
      <c r="S286" s="84">
        <f t="shared" si="18"/>
        <v>371201</v>
      </c>
      <c r="T286" s="84">
        <f t="shared" si="19"/>
        <v>371269</v>
      </c>
    </row>
    <row r="287" spans="1:22" ht="43.2" x14ac:dyDescent="0.3">
      <c r="A287" s="110" t="s">
        <v>6</v>
      </c>
      <c r="B287" s="84">
        <v>371231</v>
      </c>
      <c r="C287" s="85">
        <v>371201</v>
      </c>
      <c r="D287" s="84" t="s">
        <v>6</v>
      </c>
      <c r="E287" s="84" t="s">
        <v>345</v>
      </c>
      <c r="F287" s="86" t="s">
        <v>599</v>
      </c>
      <c r="G287" s="87" t="s">
        <v>508</v>
      </c>
      <c r="H287" s="87">
        <v>2</v>
      </c>
      <c r="I287" s="89"/>
      <c r="J287" s="89"/>
      <c r="K287" s="89" t="s">
        <v>1614</v>
      </c>
      <c r="L287" s="84" t="s">
        <v>11</v>
      </c>
      <c r="M287" s="88" t="str">
        <f>VLOOKUP(L287,lookups!B:C,2,FALSE)</f>
        <v>Randy</v>
      </c>
      <c r="N287" s="89" t="str">
        <f>VLOOKUP(K287,TeamLookup[],2,0)</f>
        <v>Cyber</v>
      </c>
      <c r="O287" s="84" t="e">
        <f>VLOOKUP(VALUE($S287),lookups!I:J,2,FALSE)</f>
        <v>#N/A</v>
      </c>
      <c r="P287" s="84" t="e">
        <f>VLOOKUP(VALUE($S287),lookups!F:G,2,FALSE)</f>
        <v>#N/A</v>
      </c>
      <c r="Q287" s="84" t="str">
        <f t="shared" si="16"/>
        <v/>
      </c>
      <c r="R287" s="84">
        <f t="shared" si="17"/>
        <v>245560</v>
      </c>
      <c r="S287" s="84">
        <f t="shared" si="18"/>
        <v>371201</v>
      </c>
      <c r="T287" s="84">
        <f t="shared" si="19"/>
        <v>371231</v>
      </c>
    </row>
    <row r="288" spans="1:22" x14ac:dyDescent="0.3">
      <c r="B288" s="84">
        <v>371345</v>
      </c>
      <c r="C288" s="85">
        <v>371201</v>
      </c>
      <c r="D288" s="84" t="s">
        <v>6</v>
      </c>
      <c r="E288" s="84" t="s">
        <v>345</v>
      </c>
      <c r="F288" s="86" t="s">
        <v>586</v>
      </c>
      <c r="G288" s="87" t="s">
        <v>482</v>
      </c>
      <c r="H288" s="87">
        <v>3</v>
      </c>
      <c r="I288" s="89"/>
      <c r="J288" s="89"/>
      <c r="K288" s="89" t="s">
        <v>1614</v>
      </c>
      <c r="L288" s="84" t="s">
        <v>107</v>
      </c>
      <c r="M288" s="88" t="str">
        <f>VLOOKUP(L288,lookups!B:C,2,FALSE)</f>
        <v>Chris</v>
      </c>
      <c r="N288" s="89" t="str">
        <f>VLOOKUP(K288,TeamLookup[],2,0)</f>
        <v>Cyber</v>
      </c>
      <c r="O288" s="84" t="e">
        <f>VLOOKUP(VALUE($S288),lookups!I:J,2,FALSE)</f>
        <v>#N/A</v>
      </c>
      <c r="P288" s="84" t="e">
        <f>VLOOKUP(VALUE($S288),lookups!F:G,2,FALSE)</f>
        <v>#N/A</v>
      </c>
      <c r="Q288" s="84" t="str">
        <f t="shared" si="16"/>
        <v/>
      </c>
      <c r="R288" s="84">
        <f t="shared" si="17"/>
        <v>245560</v>
      </c>
      <c r="S288" s="84">
        <f t="shared" si="18"/>
        <v>371201</v>
      </c>
      <c r="T288" s="84">
        <f t="shared" si="19"/>
        <v>371345</v>
      </c>
    </row>
    <row r="289" spans="1:20" ht="43.2" x14ac:dyDescent="0.3">
      <c r="B289" s="84">
        <v>371232</v>
      </c>
      <c r="C289" s="85">
        <v>371201</v>
      </c>
      <c r="D289" s="84" t="s">
        <v>6</v>
      </c>
      <c r="E289" s="84" t="s">
        <v>345</v>
      </c>
      <c r="F289" s="86" t="s">
        <v>598</v>
      </c>
      <c r="G289" s="87" t="s">
        <v>482</v>
      </c>
      <c r="H289" s="87">
        <v>2</v>
      </c>
      <c r="I289" s="84"/>
      <c r="J289" s="84"/>
      <c r="K289" s="84" t="s">
        <v>1614</v>
      </c>
      <c r="L289" s="84" t="s">
        <v>11</v>
      </c>
      <c r="M289" s="88" t="str">
        <f>VLOOKUP(L289,lookups!B:C,2,FALSE)</f>
        <v>Randy</v>
      </c>
      <c r="N289" s="89" t="str">
        <f>VLOOKUP(K289,TeamLookup[],2,0)</f>
        <v>Cyber</v>
      </c>
      <c r="O289" s="84" t="e">
        <f>VLOOKUP(VALUE($S289),lookups!I:J,2,FALSE)</f>
        <v>#N/A</v>
      </c>
      <c r="P289" s="84" t="e">
        <f>VLOOKUP(VALUE($S289),lookups!F:G,2,FALSE)</f>
        <v>#N/A</v>
      </c>
      <c r="Q289" s="84" t="str">
        <f t="shared" si="16"/>
        <v/>
      </c>
      <c r="R289" s="84">
        <f t="shared" si="17"/>
        <v>245560</v>
      </c>
      <c r="S289" s="84">
        <f t="shared" si="18"/>
        <v>371201</v>
      </c>
      <c r="T289" s="84">
        <f t="shared" si="19"/>
        <v>371232</v>
      </c>
    </row>
    <row r="290" spans="1:20" x14ac:dyDescent="0.3">
      <c r="B290" s="84">
        <v>384725</v>
      </c>
      <c r="C290" s="85">
        <v>371201</v>
      </c>
      <c r="D290" s="84" t="s">
        <v>6</v>
      </c>
      <c r="E290" s="84" t="s">
        <v>345</v>
      </c>
      <c r="F290" s="86" t="s">
        <v>469</v>
      </c>
      <c r="G290" s="93" t="s">
        <v>446</v>
      </c>
      <c r="H290" s="87">
        <v>1</v>
      </c>
      <c r="I290" s="89"/>
      <c r="J290" s="89"/>
      <c r="K290" s="89" t="s">
        <v>1614</v>
      </c>
      <c r="L290" s="84" t="s">
        <v>88</v>
      </c>
      <c r="M290" s="88" t="str">
        <f>VLOOKUP(L290,lookups!B:C,2,FALSE)</f>
        <v>Will</v>
      </c>
      <c r="N290" s="89" t="str">
        <f>VLOOKUP(K290,TeamLookup[],2,0)</f>
        <v>Cyber</v>
      </c>
      <c r="O290" s="84" t="e">
        <f>VLOOKUP(VALUE($S290),lookups!I:J,2,FALSE)</f>
        <v>#N/A</v>
      </c>
      <c r="P290" s="84" t="e">
        <f>VLOOKUP(VALUE($S290),lookups!F:G,2,FALSE)</f>
        <v>#N/A</v>
      </c>
      <c r="Q290" s="84" t="str">
        <f t="shared" si="16"/>
        <v/>
      </c>
      <c r="R290" s="84">
        <f t="shared" si="17"/>
        <v>245560</v>
      </c>
      <c r="S290" s="84">
        <f t="shared" si="18"/>
        <v>371201</v>
      </c>
      <c r="T290" s="84">
        <f t="shared" si="19"/>
        <v>384725</v>
      </c>
    </row>
    <row r="291" spans="1:20" ht="43.2" x14ac:dyDescent="0.3">
      <c r="B291" s="84">
        <v>371238</v>
      </c>
      <c r="C291" s="85">
        <v>371201</v>
      </c>
      <c r="D291" s="84" t="s">
        <v>6</v>
      </c>
      <c r="E291" s="84" t="s">
        <v>345</v>
      </c>
      <c r="F291" s="86" t="s">
        <v>597</v>
      </c>
      <c r="G291" s="87" t="s">
        <v>446</v>
      </c>
      <c r="H291" s="87">
        <v>2</v>
      </c>
      <c r="I291" s="89"/>
      <c r="J291" s="89"/>
      <c r="K291" s="89" t="s">
        <v>1614</v>
      </c>
      <c r="L291" s="84" t="s">
        <v>11</v>
      </c>
      <c r="M291" s="88" t="str">
        <f>VLOOKUP(L291,lookups!B:C,2,FALSE)</f>
        <v>Randy</v>
      </c>
      <c r="N291" s="89" t="str">
        <f>VLOOKUP(K291,TeamLookup[],2,0)</f>
        <v>Cyber</v>
      </c>
      <c r="O291" s="84" t="e">
        <f>VLOOKUP(VALUE($S291),lookups!I:J,2,FALSE)</f>
        <v>#N/A</v>
      </c>
      <c r="P291" s="84" t="e">
        <f>VLOOKUP(VALUE($S291),lookups!F:G,2,FALSE)</f>
        <v>#N/A</v>
      </c>
      <c r="Q291" s="84" t="str">
        <f t="shared" si="16"/>
        <v/>
      </c>
      <c r="R291" s="84">
        <f t="shared" si="17"/>
        <v>245560</v>
      </c>
      <c r="S291" s="84">
        <f t="shared" si="18"/>
        <v>371201</v>
      </c>
      <c r="T291" s="84">
        <f t="shared" si="19"/>
        <v>371238</v>
      </c>
    </row>
    <row r="292" spans="1:20" ht="28.8" x14ac:dyDescent="0.3">
      <c r="B292" s="84">
        <v>375664</v>
      </c>
      <c r="C292" s="85">
        <v>371201</v>
      </c>
      <c r="D292" s="84" t="s">
        <v>6</v>
      </c>
      <c r="E292" s="84" t="s">
        <v>345</v>
      </c>
      <c r="F292" s="86" t="s">
        <v>563</v>
      </c>
      <c r="G292" s="87" t="s">
        <v>444</v>
      </c>
      <c r="H292" s="87">
        <v>0</v>
      </c>
      <c r="I292" s="84"/>
      <c r="J292" s="84"/>
      <c r="K292" s="84" t="s">
        <v>1614</v>
      </c>
      <c r="L292" s="84" t="s">
        <v>182</v>
      </c>
      <c r="M292" s="88" t="str">
        <f>VLOOKUP(L292,lookups!B:C,2,FALSE)</f>
        <v>Ted</v>
      </c>
      <c r="N292" s="89" t="str">
        <f>VLOOKUP(K292,TeamLookup[],2,0)</f>
        <v>Cyber</v>
      </c>
      <c r="O292" s="84" t="e">
        <f>VLOOKUP(VALUE($S292),lookups!I:J,2,FALSE)</f>
        <v>#N/A</v>
      </c>
      <c r="P292" s="84" t="e">
        <f>VLOOKUP(VALUE($S292),lookups!F:G,2,FALSE)</f>
        <v>#N/A</v>
      </c>
      <c r="Q292" s="84" t="str">
        <f t="shared" si="16"/>
        <v/>
      </c>
      <c r="R292" s="84">
        <f t="shared" si="17"/>
        <v>245560</v>
      </c>
      <c r="S292" s="84">
        <f t="shared" si="18"/>
        <v>371201</v>
      </c>
      <c r="T292" s="84">
        <f t="shared" si="19"/>
        <v>375664</v>
      </c>
    </row>
    <row r="293" spans="1:20" x14ac:dyDescent="0.3">
      <c r="B293" s="84">
        <v>371343</v>
      </c>
      <c r="C293" s="85">
        <v>371201</v>
      </c>
      <c r="D293" s="84" t="s">
        <v>6</v>
      </c>
      <c r="E293" s="84" t="s">
        <v>345</v>
      </c>
      <c r="F293" s="86" t="s">
        <v>587</v>
      </c>
      <c r="G293" s="87" t="s">
        <v>444</v>
      </c>
      <c r="H293" s="87">
        <v>2</v>
      </c>
      <c r="I293" s="89"/>
      <c r="J293" s="89"/>
      <c r="K293" s="89" t="s">
        <v>1614</v>
      </c>
      <c r="L293" s="84" t="s">
        <v>107</v>
      </c>
      <c r="M293" s="88" t="str">
        <f>VLOOKUP(L293,lookups!B:C,2,FALSE)</f>
        <v>Chris</v>
      </c>
      <c r="N293" s="89" t="str">
        <f>VLOOKUP(K293,TeamLookup[],2,0)</f>
        <v>Cyber</v>
      </c>
      <c r="O293" s="84" t="e">
        <f>VLOOKUP(VALUE($S293),lookups!I:J,2,FALSE)</f>
        <v>#N/A</v>
      </c>
      <c r="P293" s="84" t="e">
        <f>VLOOKUP(VALUE($S293),lookups!F:G,2,FALSE)</f>
        <v>#N/A</v>
      </c>
      <c r="Q293" s="84" t="str">
        <f t="shared" si="16"/>
        <v/>
      </c>
      <c r="R293" s="84">
        <f t="shared" si="17"/>
        <v>245560</v>
      </c>
      <c r="S293" s="84">
        <f t="shared" si="18"/>
        <v>371201</v>
      </c>
      <c r="T293" s="84">
        <f t="shared" si="19"/>
        <v>371343</v>
      </c>
    </row>
    <row r="294" spans="1:20" x14ac:dyDescent="0.3">
      <c r="B294" s="84">
        <v>371262</v>
      </c>
      <c r="C294" s="85">
        <v>371201</v>
      </c>
      <c r="D294" s="84" t="s">
        <v>6</v>
      </c>
      <c r="E294" s="84" t="s">
        <v>345</v>
      </c>
      <c r="F294" s="86" t="s">
        <v>594</v>
      </c>
      <c r="G294" s="87" t="s">
        <v>444</v>
      </c>
      <c r="H294" s="87">
        <v>1</v>
      </c>
      <c r="I294" s="89"/>
      <c r="J294" s="89"/>
      <c r="K294" s="89" t="s">
        <v>1614</v>
      </c>
      <c r="L294" s="84" t="s">
        <v>182</v>
      </c>
      <c r="M294" s="88" t="str">
        <f>VLOOKUP(L294,lookups!B:C,2,FALSE)</f>
        <v>Ted</v>
      </c>
      <c r="N294" s="89" t="str">
        <f>VLOOKUP(K294,TeamLookup[],2,0)</f>
        <v>Cyber</v>
      </c>
      <c r="O294" s="84" t="e">
        <f>VLOOKUP(VALUE($S294),lookups!I:J,2,FALSE)</f>
        <v>#N/A</v>
      </c>
      <c r="P294" s="84" t="e">
        <f>VLOOKUP(VALUE($S294),lookups!F:G,2,FALSE)</f>
        <v>#N/A</v>
      </c>
      <c r="Q294" s="84" t="str">
        <f t="shared" si="16"/>
        <v/>
      </c>
      <c r="R294" s="84">
        <f t="shared" si="17"/>
        <v>245560</v>
      </c>
      <c r="S294" s="84">
        <f t="shared" si="18"/>
        <v>371201</v>
      </c>
      <c r="T294" s="84">
        <f t="shared" si="19"/>
        <v>371262</v>
      </c>
    </row>
    <row r="295" spans="1:20" x14ac:dyDescent="0.3">
      <c r="B295" s="84">
        <v>371260</v>
      </c>
      <c r="C295" s="85">
        <v>371201</v>
      </c>
      <c r="D295" s="84" t="s">
        <v>6</v>
      </c>
      <c r="E295" s="84" t="s">
        <v>345</v>
      </c>
      <c r="F295" s="86" t="s">
        <v>595</v>
      </c>
      <c r="G295" s="87" t="s">
        <v>444</v>
      </c>
      <c r="H295" s="87">
        <v>1</v>
      </c>
      <c r="I295" s="89"/>
      <c r="J295" s="89"/>
      <c r="K295" s="89" t="s">
        <v>1614</v>
      </c>
      <c r="L295" s="84" t="s">
        <v>182</v>
      </c>
      <c r="M295" s="88" t="str">
        <f>VLOOKUP(L295,lookups!B:C,2,FALSE)</f>
        <v>Ted</v>
      </c>
      <c r="N295" s="89" t="str">
        <f>VLOOKUP(K295,TeamLookup[],2,0)</f>
        <v>Cyber</v>
      </c>
      <c r="O295" s="84" t="e">
        <f>VLOOKUP(VALUE($S295),lookups!I:J,2,FALSE)</f>
        <v>#N/A</v>
      </c>
      <c r="P295" s="84" t="e">
        <f>VLOOKUP(VALUE($S295),lookups!F:G,2,FALSE)</f>
        <v>#N/A</v>
      </c>
      <c r="Q295" s="84" t="str">
        <f t="shared" si="16"/>
        <v/>
      </c>
      <c r="R295" s="84">
        <f t="shared" si="17"/>
        <v>245560</v>
      </c>
      <c r="S295" s="84">
        <f t="shared" si="18"/>
        <v>371201</v>
      </c>
      <c r="T295" s="84">
        <f t="shared" si="19"/>
        <v>371260</v>
      </c>
    </row>
    <row r="296" spans="1:20" ht="43.2" x14ac:dyDescent="0.3">
      <c r="B296" s="84">
        <v>371245</v>
      </c>
      <c r="C296" s="85">
        <v>371201</v>
      </c>
      <c r="D296" s="84" t="s">
        <v>6</v>
      </c>
      <c r="E296" s="84" t="s">
        <v>345</v>
      </c>
      <c r="F296" s="86" t="s">
        <v>440</v>
      </c>
      <c r="G296" s="87" t="s">
        <v>444</v>
      </c>
      <c r="H296" s="87">
        <v>2</v>
      </c>
      <c r="I296" s="89"/>
      <c r="J296" s="89"/>
      <c r="K296" s="89" t="s">
        <v>1614</v>
      </c>
      <c r="L296" s="84" t="s">
        <v>11</v>
      </c>
      <c r="M296" s="88" t="str">
        <f>VLOOKUP(L296,lookups!B:C,2,FALSE)</f>
        <v>Randy</v>
      </c>
      <c r="N296" s="89" t="str">
        <f>VLOOKUP(K296,TeamLookup[],2,0)</f>
        <v>Cyber</v>
      </c>
      <c r="O296" s="84" t="e">
        <f>VLOOKUP(VALUE($S296),lookups!I:J,2,FALSE)</f>
        <v>#N/A</v>
      </c>
      <c r="P296" s="84" t="e">
        <f>VLOOKUP(VALUE($S296),lookups!F:G,2,FALSE)</f>
        <v>#N/A</v>
      </c>
      <c r="Q296" s="84" t="str">
        <f t="shared" si="16"/>
        <v/>
      </c>
      <c r="R296" s="84">
        <f t="shared" si="17"/>
        <v>245560</v>
      </c>
      <c r="S296" s="84">
        <f t="shared" si="18"/>
        <v>371201</v>
      </c>
      <c r="T296" s="84">
        <f t="shared" si="19"/>
        <v>371245</v>
      </c>
    </row>
    <row r="297" spans="1:20" x14ac:dyDescent="0.3">
      <c r="A297" s="96"/>
      <c r="B297" s="84">
        <v>371201</v>
      </c>
      <c r="C297" s="85">
        <v>245560</v>
      </c>
      <c r="D297" s="84" t="s">
        <v>24</v>
      </c>
      <c r="E297" s="84" t="s">
        <v>345</v>
      </c>
      <c r="F297" s="86" t="s">
        <v>601</v>
      </c>
      <c r="G297" s="87" t="s">
        <v>444</v>
      </c>
      <c r="H297" s="87"/>
      <c r="I297" s="84" t="s">
        <v>48</v>
      </c>
      <c r="J297" s="84"/>
      <c r="K297" s="84" t="s">
        <v>1614</v>
      </c>
      <c r="L297" s="84" t="s">
        <v>129</v>
      </c>
      <c r="M297" s="88" t="str">
        <f>VLOOKUP(L297,lookups!B:C,2,FALSE)</f>
        <v>Derek</v>
      </c>
      <c r="N297" s="89" t="str">
        <f>VLOOKUP(K297,TeamLookup[],2,0)</f>
        <v>Cyber</v>
      </c>
      <c r="O297" s="84" t="e">
        <f>VLOOKUP(VALUE($S297),lookups!I:J,2,FALSE)</f>
        <v>#N/A</v>
      </c>
      <c r="P297" s="84" t="e">
        <f>VLOOKUP(VALUE($S297),lookups!F:G,2,FALSE)</f>
        <v>#N/A</v>
      </c>
      <c r="Q297" s="84" t="str">
        <f t="shared" si="16"/>
        <v>ParentNotInCyberQuery</v>
      </c>
      <c r="R297" s="84">
        <f t="shared" si="17"/>
        <v>245560</v>
      </c>
      <c r="S297" s="84">
        <f t="shared" si="18"/>
        <v>371201</v>
      </c>
      <c r="T297" s="84">
        <f t="shared" si="19"/>
        <v>0</v>
      </c>
    </row>
    <row r="298" spans="1:20" ht="43.2" x14ac:dyDescent="0.3">
      <c r="B298" s="84">
        <v>390262</v>
      </c>
      <c r="C298" s="85">
        <v>371201</v>
      </c>
      <c r="D298" s="84" t="s">
        <v>6</v>
      </c>
      <c r="E298" s="84" t="s">
        <v>345</v>
      </c>
      <c r="F298" s="86" t="s">
        <v>440</v>
      </c>
      <c r="G298" s="87" t="s">
        <v>434</v>
      </c>
      <c r="H298" s="87">
        <v>2</v>
      </c>
      <c r="I298" s="84"/>
      <c r="J298" s="84"/>
      <c r="K298" s="84" t="s">
        <v>1614</v>
      </c>
      <c r="L298" s="84" t="s">
        <v>11</v>
      </c>
      <c r="M298" s="88" t="str">
        <f>VLOOKUP(L298,lookups!B:C,2,FALSE)</f>
        <v>Randy</v>
      </c>
      <c r="N298" s="89" t="str">
        <f>VLOOKUP(K298,TeamLookup[],2,0)</f>
        <v>Cyber</v>
      </c>
      <c r="O298" s="84" t="e">
        <f>VLOOKUP(VALUE($S298),lookups!I:J,2,FALSE)</f>
        <v>#N/A</v>
      </c>
      <c r="P298" s="84" t="e">
        <f>VLOOKUP(VALUE($S298),lookups!F:G,2,FALSE)</f>
        <v>#N/A</v>
      </c>
      <c r="Q298" s="84" t="str">
        <f t="shared" si="16"/>
        <v/>
      </c>
      <c r="R298" s="84">
        <f t="shared" si="17"/>
        <v>245560</v>
      </c>
      <c r="S298" s="84">
        <f t="shared" si="18"/>
        <v>371201</v>
      </c>
      <c r="T298" s="84">
        <f t="shared" si="19"/>
        <v>390262</v>
      </c>
    </row>
    <row r="299" spans="1:20" x14ac:dyDescent="0.3">
      <c r="B299" s="84">
        <v>384183</v>
      </c>
      <c r="C299" s="85">
        <v>380721</v>
      </c>
      <c r="D299" s="84" t="s">
        <v>6</v>
      </c>
      <c r="E299" s="84" t="s">
        <v>345</v>
      </c>
      <c r="F299" s="86" t="s">
        <v>477</v>
      </c>
      <c r="G299" s="87" t="s">
        <v>1349</v>
      </c>
      <c r="H299" s="87">
        <v>3</v>
      </c>
      <c r="I299" s="89"/>
      <c r="J299" s="89"/>
      <c r="K299" s="89" t="s">
        <v>1614</v>
      </c>
      <c r="L299" s="84" t="s">
        <v>182</v>
      </c>
      <c r="M299" s="88" t="str">
        <f>VLOOKUP(L299,lookups!B:C,2,FALSE)</f>
        <v>Ted</v>
      </c>
      <c r="N299" s="89" t="str">
        <f>VLOOKUP(K299,TeamLookup[],2,0)</f>
        <v>Cyber</v>
      </c>
      <c r="O299" s="84" t="e">
        <f>VLOOKUP(VALUE($S299),lookups!I:J,2,FALSE)</f>
        <v>#N/A</v>
      </c>
      <c r="P299" s="84">
        <f>VLOOKUP(VALUE($S299),lookups!F:G,2,FALSE)</f>
        <v>22</v>
      </c>
      <c r="Q299" s="84" t="str">
        <f t="shared" si="16"/>
        <v/>
      </c>
      <c r="R299" s="84">
        <f t="shared" si="17"/>
        <v>245560</v>
      </c>
      <c r="S299" s="84">
        <f t="shared" si="18"/>
        <v>380721</v>
      </c>
      <c r="T299" s="84">
        <f t="shared" si="19"/>
        <v>384183</v>
      </c>
    </row>
    <row r="300" spans="1:20" x14ac:dyDescent="0.3">
      <c r="B300" s="84">
        <v>381392</v>
      </c>
      <c r="C300" s="85">
        <v>380721</v>
      </c>
      <c r="D300" s="84" t="s">
        <v>6</v>
      </c>
      <c r="E300" s="84" t="s">
        <v>345</v>
      </c>
      <c r="F300" s="86" t="s">
        <v>506</v>
      </c>
      <c r="G300" s="87" t="s">
        <v>1349</v>
      </c>
      <c r="H300" s="87">
        <v>1</v>
      </c>
      <c r="I300" s="84"/>
      <c r="J300" s="84"/>
      <c r="K300" s="84" t="s">
        <v>1614</v>
      </c>
      <c r="L300" s="84" t="s">
        <v>107</v>
      </c>
      <c r="M300" s="88" t="str">
        <f>VLOOKUP(L300,lookups!B:C,2,FALSE)</f>
        <v>Chris</v>
      </c>
      <c r="N300" s="89" t="str">
        <f>VLOOKUP(K300,TeamLookup[],2,0)</f>
        <v>Cyber</v>
      </c>
      <c r="O300" s="84" t="e">
        <f>VLOOKUP(VALUE($S300),lookups!I:J,2,FALSE)</f>
        <v>#N/A</v>
      </c>
      <c r="P300" s="84">
        <f>VLOOKUP(VALUE($S300),lookups!F:G,2,FALSE)</f>
        <v>22</v>
      </c>
      <c r="Q300" s="84" t="str">
        <f t="shared" si="16"/>
        <v/>
      </c>
      <c r="R300" s="84">
        <f t="shared" si="17"/>
        <v>245560</v>
      </c>
      <c r="S300" s="84">
        <f t="shared" si="18"/>
        <v>380721</v>
      </c>
      <c r="T300" s="84">
        <f t="shared" si="19"/>
        <v>381392</v>
      </c>
    </row>
    <row r="301" spans="1:20" x14ac:dyDescent="0.3">
      <c r="B301" s="84">
        <v>380722</v>
      </c>
      <c r="C301" s="85">
        <v>380721</v>
      </c>
      <c r="D301" s="84" t="s">
        <v>6</v>
      </c>
      <c r="E301" s="84" t="s">
        <v>345</v>
      </c>
      <c r="F301" s="86" t="s">
        <v>535</v>
      </c>
      <c r="G301" s="87" t="s">
        <v>1349</v>
      </c>
      <c r="H301" s="87">
        <v>2</v>
      </c>
      <c r="I301" s="84"/>
      <c r="J301" s="84"/>
      <c r="K301" s="84" t="s">
        <v>1614</v>
      </c>
      <c r="L301" s="84" t="s">
        <v>11</v>
      </c>
      <c r="M301" s="88" t="str">
        <f>VLOOKUP(L301,lookups!B:C,2,FALSE)</f>
        <v>Randy</v>
      </c>
      <c r="N301" s="89" t="str">
        <f>VLOOKUP(K301,TeamLookup[],2,0)</f>
        <v>Cyber</v>
      </c>
      <c r="O301" s="84" t="e">
        <f>VLOOKUP(VALUE($S301),lookups!I:J,2,FALSE)</f>
        <v>#N/A</v>
      </c>
      <c r="P301" s="84">
        <f>VLOOKUP(VALUE($S301),lookups!F:G,2,FALSE)</f>
        <v>22</v>
      </c>
      <c r="Q301" s="84" t="str">
        <f t="shared" si="16"/>
        <v/>
      </c>
      <c r="R301" s="84">
        <f t="shared" si="17"/>
        <v>245560</v>
      </c>
      <c r="S301" s="84">
        <f t="shared" si="18"/>
        <v>380721</v>
      </c>
      <c r="T301" s="84">
        <f t="shared" si="19"/>
        <v>380722</v>
      </c>
    </row>
    <row r="302" spans="1:20" x14ac:dyDescent="0.3">
      <c r="B302" s="84">
        <v>393011</v>
      </c>
      <c r="C302" s="85">
        <v>380721</v>
      </c>
      <c r="D302" s="84" t="s">
        <v>6</v>
      </c>
      <c r="E302" s="84" t="s">
        <v>345</v>
      </c>
      <c r="F302" s="86" t="s">
        <v>386</v>
      </c>
      <c r="G302" s="87" t="s">
        <v>1348</v>
      </c>
      <c r="H302" s="87">
        <v>3</v>
      </c>
      <c r="I302" s="89"/>
      <c r="J302" s="89"/>
      <c r="K302" s="89" t="s">
        <v>1614</v>
      </c>
      <c r="L302" s="84" t="s">
        <v>107</v>
      </c>
      <c r="M302" s="88" t="str">
        <f>VLOOKUP(L302,lookups!B:C,2,FALSE)</f>
        <v>Chris</v>
      </c>
      <c r="N302" s="89" t="str">
        <f>VLOOKUP(K302,TeamLookup[],2,0)</f>
        <v>Cyber</v>
      </c>
      <c r="O302" s="84" t="e">
        <f>VLOOKUP(VALUE($S302),lookups!I:J,2,FALSE)</f>
        <v>#N/A</v>
      </c>
      <c r="P302" s="84">
        <f>VLOOKUP(VALUE($S302),lookups!F:G,2,FALSE)</f>
        <v>22</v>
      </c>
      <c r="Q302" s="84" t="str">
        <f t="shared" si="16"/>
        <v/>
      </c>
      <c r="R302" s="84">
        <f t="shared" si="17"/>
        <v>245560</v>
      </c>
      <c r="S302" s="84">
        <f t="shared" si="18"/>
        <v>380721</v>
      </c>
      <c r="T302" s="84">
        <f t="shared" si="19"/>
        <v>393011</v>
      </c>
    </row>
    <row r="303" spans="1:20" x14ac:dyDescent="0.3">
      <c r="A303" s="96"/>
      <c r="B303" s="84">
        <v>393009</v>
      </c>
      <c r="C303" s="85">
        <v>380721</v>
      </c>
      <c r="D303" s="84" t="s">
        <v>6</v>
      </c>
      <c r="E303" s="84" t="s">
        <v>345</v>
      </c>
      <c r="F303" s="86" t="s">
        <v>387</v>
      </c>
      <c r="G303" s="87" t="s">
        <v>1348</v>
      </c>
      <c r="H303" s="87">
        <v>5</v>
      </c>
      <c r="I303" s="84"/>
      <c r="J303" s="84"/>
      <c r="K303" s="84" t="s">
        <v>1614</v>
      </c>
      <c r="L303" s="84" t="s">
        <v>125</v>
      </c>
      <c r="M303" s="88" t="str">
        <f>VLOOKUP(L303,lookups!B:C,2,FALSE)</f>
        <v>Dave C</v>
      </c>
      <c r="N303" s="89" t="str">
        <f>VLOOKUP(K303,TeamLookup[],2,0)</f>
        <v>Cyber</v>
      </c>
      <c r="O303" s="84" t="e">
        <f>VLOOKUP(VALUE($S303),lookups!I:J,2,FALSE)</f>
        <v>#N/A</v>
      </c>
      <c r="P303" s="84">
        <f>VLOOKUP(VALUE($S303),lookups!F:G,2,FALSE)</f>
        <v>22</v>
      </c>
      <c r="Q303" s="84" t="str">
        <f t="shared" si="16"/>
        <v/>
      </c>
      <c r="R303" s="84">
        <f t="shared" si="17"/>
        <v>245560</v>
      </c>
      <c r="S303" s="84">
        <f t="shared" si="18"/>
        <v>380721</v>
      </c>
      <c r="T303" s="84">
        <f t="shared" si="19"/>
        <v>393009</v>
      </c>
    </row>
    <row r="304" spans="1:20" x14ac:dyDescent="0.3">
      <c r="B304" s="84">
        <v>392634</v>
      </c>
      <c r="C304" s="85">
        <v>380721</v>
      </c>
      <c r="D304" s="84" t="s">
        <v>6</v>
      </c>
      <c r="E304" s="84" t="s">
        <v>345</v>
      </c>
      <c r="F304" s="86" t="s">
        <v>393</v>
      </c>
      <c r="G304" s="87" t="s">
        <v>1348</v>
      </c>
      <c r="H304" s="87">
        <v>2</v>
      </c>
      <c r="I304" s="89"/>
      <c r="J304" s="89"/>
      <c r="K304" s="89" t="s">
        <v>1614</v>
      </c>
      <c r="L304" s="84" t="s">
        <v>107</v>
      </c>
      <c r="M304" s="88" t="str">
        <f>VLOOKUP(L304,lookups!B:C,2,FALSE)</f>
        <v>Chris</v>
      </c>
      <c r="N304" s="89" t="str">
        <f>VLOOKUP(K304,TeamLookup[],2,0)</f>
        <v>Cyber</v>
      </c>
      <c r="O304" s="84" t="e">
        <f>VLOOKUP(VALUE($S304),lookups!I:J,2,FALSE)</f>
        <v>#N/A</v>
      </c>
      <c r="P304" s="84">
        <f>VLOOKUP(VALUE($S304),lookups!F:G,2,FALSE)</f>
        <v>22</v>
      </c>
      <c r="Q304" s="84" t="str">
        <f t="shared" si="16"/>
        <v/>
      </c>
      <c r="R304" s="84">
        <f t="shared" si="17"/>
        <v>245560</v>
      </c>
      <c r="S304" s="84">
        <f t="shared" si="18"/>
        <v>380721</v>
      </c>
      <c r="T304" s="84">
        <f t="shared" si="19"/>
        <v>392634</v>
      </c>
    </row>
    <row r="305" spans="1:20" x14ac:dyDescent="0.3">
      <c r="B305" s="84">
        <v>392596</v>
      </c>
      <c r="C305" s="85">
        <v>380721</v>
      </c>
      <c r="D305" s="84" t="s">
        <v>6</v>
      </c>
      <c r="E305" s="84" t="s">
        <v>345</v>
      </c>
      <c r="F305" s="86" t="s">
        <v>395</v>
      </c>
      <c r="G305" s="87" t="s">
        <v>1348</v>
      </c>
      <c r="H305" s="87">
        <v>3</v>
      </c>
      <c r="I305" s="89"/>
      <c r="J305" s="89"/>
      <c r="K305" s="89" t="s">
        <v>1614</v>
      </c>
      <c r="L305" s="84" t="s">
        <v>11</v>
      </c>
      <c r="M305" s="88" t="str">
        <f>VLOOKUP(L305,lookups!B:C,2,FALSE)</f>
        <v>Randy</v>
      </c>
      <c r="N305" s="89" t="str">
        <f>VLOOKUP(K305,TeamLookup[],2,0)</f>
        <v>Cyber</v>
      </c>
      <c r="O305" s="84" t="e">
        <f>VLOOKUP(VALUE($S305),lookups!I:J,2,FALSE)</f>
        <v>#N/A</v>
      </c>
      <c r="P305" s="84">
        <f>VLOOKUP(VALUE($S305),lookups!F:G,2,FALSE)</f>
        <v>22</v>
      </c>
      <c r="Q305" s="84" t="str">
        <f t="shared" si="16"/>
        <v/>
      </c>
      <c r="R305" s="84">
        <f t="shared" si="17"/>
        <v>245560</v>
      </c>
      <c r="S305" s="84">
        <f t="shared" si="18"/>
        <v>380721</v>
      </c>
      <c r="T305" s="84">
        <f t="shared" si="19"/>
        <v>392596</v>
      </c>
    </row>
    <row r="306" spans="1:20" x14ac:dyDescent="0.3">
      <c r="B306" s="88">
        <v>384184</v>
      </c>
      <c r="C306" s="92">
        <v>380721</v>
      </c>
      <c r="D306" s="88" t="s">
        <v>6</v>
      </c>
      <c r="E306" s="84" t="s">
        <v>345</v>
      </c>
      <c r="F306" s="91" t="s">
        <v>476</v>
      </c>
      <c r="G306" s="93" t="s">
        <v>1348</v>
      </c>
      <c r="H306" s="93">
        <v>1</v>
      </c>
      <c r="I306" s="95"/>
      <c r="J306" s="95"/>
      <c r="K306" s="95" t="s">
        <v>1614</v>
      </c>
      <c r="L306" s="84" t="s">
        <v>182</v>
      </c>
      <c r="M306" s="88" t="str">
        <f>VLOOKUP(L306,lookups!B:C,2,FALSE)</f>
        <v>Ted</v>
      </c>
      <c r="N306" s="89" t="str">
        <f>VLOOKUP(K306,TeamLookup[],2,0)</f>
        <v>Cyber</v>
      </c>
      <c r="O306" s="84" t="e">
        <f>VLOOKUP(VALUE($S306),lookups!I:J,2,FALSE)</f>
        <v>#N/A</v>
      </c>
      <c r="P306" s="84">
        <f>VLOOKUP(VALUE($S306),lookups!F:G,2,FALSE)</f>
        <v>22</v>
      </c>
      <c r="Q306" s="84" t="str">
        <f t="shared" si="16"/>
        <v/>
      </c>
      <c r="R306" s="84">
        <f t="shared" si="17"/>
        <v>245560</v>
      </c>
      <c r="S306" s="84">
        <f t="shared" si="18"/>
        <v>380721</v>
      </c>
      <c r="T306" s="84">
        <f t="shared" si="19"/>
        <v>384184</v>
      </c>
    </row>
    <row r="307" spans="1:20" x14ac:dyDescent="0.3">
      <c r="A307" s="96"/>
      <c r="B307" s="84">
        <v>381393</v>
      </c>
      <c r="C307" s="85">
        <v>380721</v>
      </c>
      <c r="D307" s="84" t="s">
        <v>6</v>
      </c>
      <c r="E307" s="84" t="s">
        <v>345</v>
      </c>
      <c r="F307" s="86" t="s">
        <v>505</v>
      </c>
      <c r="G307" s="87" t="s">
        <v>1348</v>
      </c>
      <c r="H307" s="87">
        <v>1</v>
      </c>
      <c r="I307" s="89"/>
      <c r="J307" s="89"/>
      <c r="K307" s="89" t="s">
        <v>1614</v>
      </c>
      <c r="L307" s="84" t="s">
        <v>107</v>
      </c>
      <c r="M307" s="88" t="str">
        <f>VLOOKUP(L307,lookups!B:C,2,FALSE)</f>
        <v>Chris</v>
      </c>
      <c r="N307" s="89" t="str">
        <f>VLOOKUP(K307,TeamLookup[],2,0)</f>
        <v>Cyber</v>
      </c>
      <c r="O307" s="84" t="e">
        <f>VLOOKUP(VALUE($S307),lookups!I:J,2,FALSE)</f>
        <v>#N/A</v>
      </c>
      <c r="P307" s="84">
        <f>VLOOKUP(VALUE($S307),lookups!F:G,2,FALSE)</f>
        <v>22</v>
      </c>
      <c r="Q307" s="84" t="str">
        <f t="shared" si="16"/>
        <v/>
      </c>
      <c r="R307" s="84">
        <f t="shared" si="17"/>
        <v>245560</v>
      </c>
      <c r="S307" s="84">
        <f t="shared" si="18"/>
        <v>380721</v>
      </c>
      <c r="T307" s="84">
        <f t="shared" si="19"/>
        <v>381393</v>
      </c>
    </row>
    <row r="308" spans="1:20" x14ac:dyDescent="0.3">
      <c r="B308" s="84">
        <v>380732</v>
      </c>
      <c r="C308" s="85">
        <v>380721</v>
      </c>
      <c r="D308" s="84" t="s">
        <v>6</v>
      </c>
      <c r="E308" s="84" t="s">
        <v>345</v>
      </c>
      <c r="F308" s="86" t="s">
        <v>525</v>
      </c>
      <c r="G308" s="87" t="s">
        <v>1348</v>
      </c>
      <c r="H308" s="87">
        <v>2</v>
      </c>
      <c r="I308" s="89"/>
      <c r="J308" s="89"/>
      <c r="K308" s="89" t="s">
        <v>1614</v>
      </c>
      <c r="L308" s="84" t="s">
        <v>182</v>
      </c>
      <c r="M308" s="88" t="str">
        <f>VLOOKUP(L308,lookups!B:C,2,FALSE)</f>
        <v>Ted</v>
      </c>
      <c r="N308" s="89" t="str">
        <f>VLOOKUP(K308,TeamLookup[],2,0)</f>
        <v>Cyber</v>
      </c>
      <c r="O308" s="84" t="e">
        <f>VLOOKUP(VALUE($S308),lookups!I:J,2,FALSE)</f>
        <v>#N/A</v>
      </c>
      <c r="P308" s="84">
        <f>VLOOKUP(VALUE($S308),lookups!F:G,2,FALSE)</f>
        <v>22</v>
      </c>
      <c r="Q308" s="84" t="str">
        <f t="shared" si="16"/>
        <v/>
      </c>
      <c r="R308" s="84">
        <f t="shared" si="17"/>
        <v>245560</v>
      </c>
      <c r="S308" s="84">
        <f t="shared" si="18"/>
        <v>380721</v>
      </c>
      <c r="T308" s="84">
        <f t="shared" si="19"/>
        <v>380732</v>
      </c>
    </row>
    <row r="309" spans="1:20" ht="15" customHeight="1" x14ac:dyDescent="0.3">
      <c r="B309" s="84">
        <v>380723</v>
      </c>
      <c r="C309" s="85">
        <v>380721</v>
      </c>
      <c r="D309" s="84" t="s">
        <v>6</v>
      </c>
      <c r="E309" s="84" t="s">
        <v>345</v>
      </c>
      <c r="F309" s="86" t="s">
        <v>534</v>
      </c>
      <c r="G309" s="87" t="s">
        <v>1348</v>
      </c>
      <c r="H309" s="87">
        <v>2</v>
      </c>
      <c r="I309" s="89"/>
      <c r="J309" s="89"/>
      <c r="K309" s="89" t="s">
        <v>1614</v>
      </c>
      <c r="L309" s="84" t="s">
        <v>11</v>
      </c>
      <c r="M309" s="88" t="str">
        <f>VLOOKUP(L309,lookups!B:C,2,FALSE)</f>
        <v>Randy</v>
      </c>
      <c r="N309" s="89" t="str">
        <f>VLOOKUP(K309,TeamLookup[],2,0)</f>
        <v>Cyber</v>
      </c>
      <c r="O309" s="84" t="e">
        <f>VLOOKUP(VALUE($S309),lookups!I:J,2,FALSE)</f>
        <v>#N/A</v>
      </c>
      <c r="P309" s="84">
        <f>VLOOKUP(VALUE($S309),lookups!F:G,2,FALSE)</f>
        <v>22</v>
      </c>
      <c r="Q309" s="84" t="str">
        <f t="shared" si="16"/>
        <v/>
      </c>
      <c r="R309" s="84">
        <f t="shared" si="17"/>
        <v>245560</v>
      </c>
      <c r="S309" s="84">
        <f t="shared" si="18"/>
        <v>380721</v>
      </c>
      <c r="T309" s="84">
        <f t="shared" si="19"/>
        <v>380723</v>
      </c>
    </row>
    <row r="310" spans="1:20" x14ac:dyDescent="0.3">
      <c r="B310" s="84">
        <v>1000843</v>
      </c>
      <c r="C310" s="85">
        <v>380721</v>
      </c>
      <c r="D310" s="84" t="s">
        <v>6</v>
      </c>
      <c r="E310" s="84" t="s">
        <v>345</v>
      </c>
      <c r="F310" s="86" t="s">
        <v>370</v>
      </c>
      <c r="G310" s="87" t="s">
        <v>1347</v>
      </c>
      <c r="H310" s="87">
        <v>3</v>
      </c>
      <c r="I310" s="84"/>
      <c r="J310" s="84"/>
      <c r="K310" s="84" t="s">
        <v>1614</v>
      </c>
      <c r="L310" s="84" t="s">
        <v>125</v>
      </c>
      <c r="M310" s="88" t="str">
        <f>VLOOKUP(L310,lookups!B:C,2,FALSE)</f>
        <v>Dave C</v>
      </c>
      <c r="N310" s="89" t="str">
        <f>VLOOKUP(K310,TeamLookup[],2,0)</f>
        <v>Cyber</v>
      </c>
      <c r="O310" s="84" t="e">
        <f>VLOOKUP(VALUE($S310),lookups!I:J,2,FALSE)</f>
        <v>#N/A</v>
      </c>
      <c r="P310" s="84">
        <f>VLOOKUP(VALUE($S310),lookups!F:G,2,FALSE)</f>
        <v>22</v>
      </c>
      <c r="Q310" s="84" t="str">
        <f t="shared" si="16"/>
        <v/>
      </c>
      <c r="R310" s="84">
        <f t="shared" si="17"/>
        <v>245560</v>
      </c>
      <c r="S310" s="84">
        <f t="shared" si="18"/>
        <v>380721</v>
      </c>
      <c r="T310" s="84">
        <f t="shared" si="19"/>
        <v>1000843</v>
      </c>
    </row>
    <row r="311" spans="1:20" x14ac:dyDescent="0.3">
      <c r="A311" s="96"/>
      <c r="B311" s="84">
        <v>381395</v>
      </c>
      <c r="C311" s="85">
        <v>380721</v>
      </c>
      <c r="D311" s="84" t="s">
        <v>6</v>
      </c>
      <c r="E311" s="84" t="s">
        <v>345</v>
      </c>
      <c r="F311" s="86" t="s">
        <v>504</v>
      </c>
      <c r="G311" s="87" t="s">
        <v>1347</v>
      </c>
      <c r="H311" s="87">
        <v>1</v>
      </c>
      <c r="I311" s="89"/>
      <c r="J311" s="89"/>
      <c r="K311" s="89" t="s">
        <v>1614</v>
      </c>
      <c r="L311" s="84" t="s">
        <v>107</v>
      </c>
      <c r="M311" s="88" t="str">
        <f>VLOOKUP(L311,lookups!B:C,2,FALSE)</f>
        <v>Chris</v>
      </c>
      <c r="N311" s="89" t="str">
        <f>VLOOKUP(K311,TeamLookup[],2,0)</f>
        <v>Cyber</v>
      </c>
      <c r="O311" s="84" t="e">
        <f>VLOOKUP(VALUE($S311),lookups!I:J,2,FALSE)</f>
        <v>#N/A</v>
      </c>
      <c r="P311" s="84">
        <f>VLOOKUP(VALUE($S311),lookups!F:G,2,FALSE)</f>
        <v>22</v>
      </c>
      <c r="Q311" s="84" t="str">
        <f t="shared" si="16"/>
        <v/>
      </c>
      <c r="R311" s="84">
        <f t="shared" si="17"/>
        <v>245560</v>
      </c>
      <c r="S311" s="84">
        <f t="shared" si="18"/>
        <v>380721</v>
      </c>
      <c r="T311" s="84">
        <f t="shared" si="19"/>
        <v>381395</v>
      </c>
    </row>
    <row r="312" spans="1:20" x14ac:dyDescent="0.3">
      <c r="B312" s="84">
        <v>380729</v>
      </c>
      <c r="C312" s="85">
        <v>380721</v>
      </c>
      <c r="D312" s="84" t="s">
        <v>6</v>
      </c>
      <c r="E312" s="84" t="s">
        <v>345</v>
      </c>
      <c r="F312" s="86" t="s">
        <v>528</v>
      </c>
      <c r="G312" s="87" t="s">
        <v>1347</v>
      </c>
      <c r="H312" s="87">
        <v>2</v>
      </c>
      <c r="I312" s="89"/>
      <c r="J312" s="89"/>
      <c r="K312" s="89" t="s">
        <v>1614</v>
      </c>
      <c r="L312" s="84" t="s">
        <v>182</v>
      </c>
      <c r="M312" s="88" t="str">
        <f>VLOOKUP(L312,lookups!B:C,2,FALSE)</f>
        <v>Ted</v>
      </c>
      <c r="N312" s="89" t="str">
        <f>VLOOKUP(K312,TeamLookup[],2,0)</f>
        <v>Cyber</v>
      </c>
      <c r="O312" s="84" t="e">
        <f>VLOOKUP(VALUE($S312),lookups!I:J,2,FALSE)</f>
        <v>#N/A</v>
      </c>
      <c r="P312" s="84">
        <f>VLOOKUP(VALUE($S312),lookups!F:G,2,FALSE)</f>
        <v>22</v>
      </c>
      <c r="Q312" s="84" t="str">
        <f t="shared" si="16"/>
        <v/>
      </c>
      <c r="R312" s="84">
        <f t="shared" si="17"/>
        <v>245560</v>
      </c>
      <c r="S312" s="84">
        <f t="shared" si="18"/>
        <v>380721</v>
      </c>
      <c r="T312" s="84">
        <f t="shared" si="19"/>
        <v>380729</v>
      </c>
    </row>
    <row r="313" spans="1:20" ht="30" customHeight="1" x14ac:dyDescent="0.3">
      <c r="B313" s="84">
        <v>380724</v>
      </c>
      <c r="C313" s="85">
        <v>380721</v>
      </c>
      <c r="D313" s="84" t="s">
        <v>6</v>
      </c>
      <c r="E313" s="84" t="s">
        <v>345</v>
      </c>
      <c r="F313" s="86" t="s">
        <v>533</v>
      </c>
      <c r="G313" s="87" t="s">
        <v>1347</v>
      </c>
      <c r="H313" s="87">
        <v>2</v>
      </c>
      <c r="I313" s="89"/>
      <c r="J313" s="89"/>
      <c r="K313" s="89" t="s">
        <v>1614</v>
      </c>
      <c r="L313" s="84" t="s">
        <v>214</v>
      </c>
      <c r="M313" s="88" t="str">
        <f>VLOOKUP(L313,lookups!B:C,2,FALSE)</f>
        <v>Dave G</v>
      </c>
      <c r="N313" s="89" t="str">
        <f>VLOOKUP(K313,TeamLookup[],2,0)</f>
        <v>Cyber</v>
      </c>
      <c r="O313" s="84" t="e">
        <f>VLOOKUP(VALUE($S313),lookups!I:J,2,FALSE)</f>
        <v>#N/A</v>
      </c>
      <c r="P313" s="84">
        <f>VLOOKUP(VALUE($S313),lookups!F:G,2,FALSE)</f>
        <v>22</v>
      </c>
      <c r="Q313" s="84" t="str">
        <f t="shared" si="16"/>
        <v/>
      </c>
      <c r="R313" s="84">
        <f t="shared" si="17"/>
        <v>245560</v>
      </c>
      <c r="S313" s="84">
        <f t="shared" si="18"/>
        <v>380721</v>
      </c>
      <c r="T313" s="84">
        <f t="shared" si="19"/>
        <v>380724</v>
      </c>
    </row>
    <row r="314" spans="1:20" x14ac:dyDescent="0.3">
      <c r="B314" s="84">
        <v>392994</v>
      </c>
      <c r="C314" s="85">
        <v>380721</v>
      </c>
      <c r="D314" s="84" t="s">
        <v>6</v>
      </c>
      <c r="E314" s="84" t="s">
        <v>345</v>
      </c>
      <c r="F314" s="91" t="s">
        <v>388</v>
      </c>
      <c r="G314" s="87" t="s">
        <v>1345</v>
      </c>
      <c r="H314" s="87">
        <v>2</v>
      </c>
      <c r="I314" s="89"/>
      <c r="J314" s="89"/>
      <c r="K314" s="89" t="s">
        <v>1614</v>
      </c>
      <c r="L314" s="84" t="s">
        <v>125</v>
      </c>
      <c r="M314" s="88" t="str">
        <f>VLOOKUP(L314,lookups!B:C,2,FALSE)</f>
        <v>Dave C</v>
      </c>
      <c r="N314" s="89" t="str">
        <f>VLOOKUP(K314,TeamLookup[],2,0)</f>
        <v>Cyber</v>
      </c>
      <c r="O314" s="84" t="e">
        <f>VLOOKUP(VALUE($S314),lookups!I:J,2,FALSE)</f>
        <v>#N/A</v>
      </c>
      <c r="P314" s="84">
        <f>VLOOKUP(VALUE($S314),lookups!F:G,2,FALSE)</f>
        <v>22</v>
      </c>
      <c r="Q314" s="84" t="str">
        <f t="shared" si="16"/>
        <v/>
      </c>
      <c r="R314" s="84">
        <f t="shared" si="17"/>
        <v>245560</v>
      </c>
      <c r="S314" s="84">
        <f t="shared" si="18"/>
        <v>380721</v>
      </c>
      <c r="T314" s="84">
        <f t="shared" si="19"/>
        <v>392994</v>
      </c>
    </row>
    <row r="315" spans="1:20" x14ac:dyDescent="0.3">
      <c r="A315" s="96"/>
      <c r="B315" s="84">
        <v>390994</v>
      </c>
      <c r="C315" s="85">
        <v>380721</v>
      </c>
      <c r="D315" s="84" t="s">
        <v>6</v>
      </c>
      <c r="E315" s="84" t="s">
        <v>345</v>
      </c>
      <c r="F315" s="86" t="s">
        <v>423</v>
      </c>
      <c r="G315" s="87" t="s">
        <v>1345</v>
      </c>
      <c r="H315" s="87">
        <v>2</v>
      </c>
      <c r="I315" s="84"/>
      <c r="J315" s="84"/>
      <c r="K315" s="84" t="s">
        <v>1614</v>
      </c>
      <c r="L315" s="84" t="s">
        <v>182</v>
      </c>
      <c r="M315" s="88" t="str">
        <f>VLOOKUP(L315,lookups!B:C,2,FALSE)</f>
        <v>Ted</v>
      </c>
      <c r="N315" s="89" t="str">
        <f>VLOOKUP(K315,TeamLookup[],2,0)</f>
        <v>Cyber</v>
      </c>
      <c r="O315" s="84" t="e">
        <f>VLOOKUP(VALUE($S315),lookups!I:J,2,FALSE)</f>
        <v>#N/A</v>
      </c>
      <c r="P315" s="84">
        <f>VLOOKUP(VALUE($S315),lookups!F:G,2,FALSE)</f>
        <v>22</v>
      </c>
      <c r="Q315" s="84" t="str">
        <f t="shared" si="16"/>
        <v/>
      </c>
      <c r="R315" s="84">
        <f t="shared" si="17"/>
        <v>245560</v>
      </c>
      <c r="S315" s="84">
        <f t="shared" si="18"/>
        <v>380721</v>
      </c>
      <c r="T315" s="84">
        <f t="shared" si="19"/>
        <v>390994</v>
      </c>
    </row>
    <row r="316" spans="1:20" ht="15" customHeight="1" x14ac:dyDescent="0.3">
      <c r="B316" s="84">
        <v>381396</v>
      </c>
      <c r="C316" s="85">
        <v>380721</v>
      </c>
      <c r="D316" s="84" t="s">
        <v>6</v>
      </c>
      <c r="E316" s="84" t="s">
        <v>345</v>
      </c>
      <c r="F316" s="86" t="s">
        <v>503</v>
      </c>
      <c r="G316" s="87" t="s">
        <v>1345</v>
      </c>
      <c r="H316" s="87">
        <v>1</v>
      </c>
      <c r="I316" s="89"/>
      <c r="J316" s="89"/>
      <c r="K316" s="89" t="s">
        <v>1614</v>
      </c>
      <c r="L316" s="84" t="s">
        <v>37</v>
      </c>
      <c r="M316" s="88" t="str">
        <f>VLOOKUP(L316,lookups!B:C,2,FALSE)</f>
        <v>Kent</v>
      </c>
      <c r="N316" s="89" t="str">
        <f>VLOOKUP(K316,TeamLookup[],2,0)</f>
        <v>Cyber</v>
      </c>
      <c r="O316" s="84" t="e">
        <f>VLOOKUP(VALUE($S316),lookups!I:J,2,FALSE)</f>
        <v>#N/A</v>
      </c>
      <c r="P316" s="84">
        <f>VLOOKUP(VALUE($S316),lookups!F:G,2,FALSE)</f>
        <v>22</v>
      </c>
      <c r="Q316" s="84" t="str">
        <f t="shared" si="16"/>
        <v/>
      </c>
      <c r="R316" s="84">
        <f t="shared" si="17"/>
        <v>245560</v>
      </c>
      <c r="S316" s="84">
        <f t="shared" si="18"/>
        <v>380721</v>
      </c>
      <c r="T316" s="84">
        <f t="shared" si="19"/>
        <v>381396</v>
      </c>
    </row>
    <row r="317" spans="1:20" ht="18" customHeight="1" x14ac:dyDescent="0.3">
      <c r="B317" s="88">
        <v>380725</v>
      </c>
      <c r="C317" s="85">
        <v>380721</v>
      </c>
      <c r="D317" s="84" t="s">
        <v>6</v>
      </c>
      <c r="E317" s="84" t="s">
        <v>345</v>
      </c>
      <c r="F317" s="91" t="s">
        <v>532</v>
      </c>
      <c r="G317" s="87" t="s">
        <v>1345</v>
      </c>
      <c r="H317" s="87">
        <v>2</v>
      </c>
      <c r="I317" s="89"/>
      <c r="J317" s="89"/>
      <c r="K317" s="89" t="s">
        <v>1614</v>
      </c>
      <c r="L317" s="84" t="s">
        <v>11</v>
      </c>
      <c r="M317" s="88" t="str">
        <f>VLOOKUP(L317,lookups!B:C,2,FALSE)</f>
        <v>Randy</v>
      </c>
      <c r="N317" s="89" t="str">
        <f>VLOOKUP(K317,TeamLookup[],2,0)</f>
        <v>Cyber</v>
      </c>
      <c r="O317" s="84" t="e">
        <f>VLOOKUP(VALUE($S317),lookups!I:J,2,FALSE)</f>
        <v>#N/A</v>
      </c>
      <c r="P317" s="84">
        <f>VLOOKUP(VALUE($S317),lookups!F:G,2,FALSE)</f>
        <v>22</v>
      </c>
      <c r="Q317" s="84" t="str">
        <f t="shared" si="16"/>
        <v/>
      </c>
      <c r="R317" s="84">
        <f t="shared" si="17"/>
        <v>245560</v>
      </c>
      <c r="S317" s="84">
        <f t="shared" si="18"/>
        <v>380721</v>
      </c>
      <c r="T317" s="84">
        <f t="shared" si="19"/>
        <v>380725</v>
      </c>
    </row>
    <row r="318" spans="1:20" ht="29.4" customHeight="1" x14ac:dyDescent="0.3">
      <c r="B318" s="84">
        <v>381397</v>
      </c>
      <c r="C318" s="85">
        <v>380721</v>
      </c>
      <c r="D318" s="84" t="s">
        <v>6</v>
      </c>
      <c r="E318" s="84" t="s">
        <v>345</v>
      </c>
      <c r="F318" s="86" t="s">
        <v>502</v>
      </c>
      <c r="G318" s="87" t="s">
        <v>1346</v>
      </c>
      <c r="H318" s="87">
        <v>1</v>
      </c>
      <c r="I318" s="89"/>
      <c r="J318" s="89"/>
      <c r="K318" s="89" t="s">
        <v>1614</v>
      </c>
      <c r="L318" s="84" t="s">
        <v>107</v>
      </c>
      <c r="M318" s="88" t="str">
        <f>VLOOKUP(L318,lookups!B:C,2,FALSE)</f>
        <v>Chris</v>
      </c>
      <c r="N318" s="89" t="str">
        <f>VLOOKUP(K318,TeamLookup[],2,0)</f>
        <v>Cyber</v>
      </c>
      <c r="O318" s="84" t="e">
        <f>VLOOKUP(VALUE($S318),lookups!I:J,2,FALSE)</f>
        <v>#N/A</v>
      </c>
      <c r="P318" s="84">
        <f>VLOOKUP(VALUE($S318),lookups!F:G,2,FALSE)</f>
        <v>22</v>
      </c>
      <c r="Q318" s="84" t="str">
        <f t="shared" si="16"/>
        <v/>
      </c>
      <c r="R318" s="84">
        <f t="shared" si="17"/>
        <v>245560</v>
      </c>
      <c r="S318" s="84">
        <f t="shared" si="18"/>
        <v>380721</v>
      </c>
      <c r="T318" s="84">
        <f t="shared" si="19"/>
        <v>381397</v>
      </c>
    </row>
    <row r="319" spans="1:20" ht="17.25" customHeight="1" x14ac:dyDescent="0.3">
      <c r="A319" s="96"/>
      <c r="B319" s="84">
        <v>380726</v>
      </c>
      <c r="C319" s="85">
        <v>380721</v>
      </c>
      <c r="D319" s="84" t="s">
        <v>6</v>
      </c>
      <c r="E319" s="84" t="s">
        <v>345</v>
      </c>
      <c r="F319" s="86" t="s">
        <v>531</v>
      </c>
      <c r="G319" s="87" t="s">
        <v>1346</v>
      </c>
      <c r="H319" s="87">
        <v>2</v>
      </c>
      <c r="I319" s="89"/>
      <c r="J319" s="89"/>
      <c r="K319" s="89" t="s">
        <v>1614</v>
      </c>
      <c r="L319" s="84" t="s">
        <v>214</v>
      </c>
      <c r="M319" s="88" t="str">
        <f>VLOOKUP(L319,lookups!B:C,2,FALSE)</f>
        <v>Dave G</v>
      </c>
      <c r="N319" s="89" t="str">
        <f>VLOOKUP(K319,TeamLookup[],2,0)</f>
        <v>Cyber</v>
      </c>
      <c r="O319" s="84" t="e">
        <f>VLOOKUP(VALUE($S319),lookups!I:J,2,FALSE)</f>
        <v>#N/A</v>
      </c>
      <c r="P319" s="84">
        <f>VLOOKUP(VALUE($S319),lookups!F:G,2,FALSE)</f>
        <v>22</v>
      </c>
      <c r="Q319" s="84" t="str">
        <f t="shared" si="16"/>
        <v/>
      </c>
      <c r="R319" s="84">
        <f t="shared" si="17"/>
        <v>245560</v>
      </c>
      <c r="S319" s="84">
        <f t="shared" si="18"/>
        <v>380721</v>
      </c>
      <c r="T319" s="84">
        <f t="shared" si="19"/>
        <v>380726</v>
      </c>
    </row>
    <row r="320" spans="1:20" x14ac:dyDescent="0.3">
      <c r="B320" s="84">
        <v>1005372</v>
      </c>
      <c r="C320" s="85">
        <v>380721</v>
      </c>
      <c r="D320" s="84" t="s">
        <v>6</v>
      </c>
      <c r="E320" s="84" t="s">
        <v>345</v>
      </c>
      <c r="F320" s="86" t="s">
        <v>358</v>
      </c>
      <c r="G320" s="87" t="s">
        <v>1344</v>
      </c>
      <c r="H320" s="87">
        <v>3</v>
      </c>
      <c r="I320" s="84"/>
      <c r="J320" s="84"/>
      <c r="K320" s="84" t="s">
        <v>1616</v>
      </c>
      <c r="L320" s="84" t="s">
        <v>191</v>
      </c>
      <c r="M320" s="88" t="str">
        <f>VLOOKUP(L320,lookups!B:C,2,FALSE)</f>
        <v>Gerald V</v>
      </c>
      <c r="N320" s="89" t="str">
        <f>VLOOKUP(K320,TeamLookup[],2,0)</f>
        <v>Magic</v>
      </c>
      <c r="O320" s="84" t="e">
        <f>VLOOKUP(VALUE($S320),lookups!I:J,2,FALSE)</f>
        <v>#N/A</v>
      </c>
      <c r="P320" s="84">
        <f>VLOOKUP(VALUE($S320),lookups!F:G,2,FALSE)</f>
        <v>22</v>
      </c>
      <c r="Q320" s="84" t="str">
        <f t="shared" si="16"/>
        <v/>
      </c>
      <c r="R320" s="84">
        <f t="shared" si="17"/>
        <v>245560</v>
      </c>
      <c r="S320" s="84">
        <f t="shared" si="18"/>
        <v>380721</v>
      </c>
      <c r="T320" s="84">
        <f t="shared" si="19"/>
        <v>1005372</v>
      </c>
    </row>
    <row r="321" spans="1:30" x14ac:dyDescent="0.3">
      <c r="B321" s="84">
        <v>381398</v>
      </c>
      <c r="C321" s="85">
        <v>380721</v>
      </c>
      <c r="D321" s="84" t="s">
        <v>6</v>
      </c>
      <c r="E321" s="84" t="s">
        <v>345</v>
      </c>
      <c r="F321" s="86" t="s">
        <v>501</v>
      </c>
      <c r="G321" s="87" t="s">
        <v>1344</v>
      </c>
      <c r="H321" s="87">
        <v>1</v>
      </c>
      <c r="I321" s="84"/>
      <c r="J321" s="84"/>
      <c r="K321" s="84" t="s">
        <v>1614</v>
      </c>
      <c r="L321" s="84" t="s">
        <v>107</v>
      </c>
      <c r="M321" s="88" t="str">
        <f>VLOOKUP(L321,lookups!B:C,2,FALSE)</f>
        <v>Chris</v>
      </c>
      <c r="N321" s="89" t="str">
        <f>VLOOKUP(K321,TeamLookup[],2,0)</f>
        <v>Cyber</v>
      </c>
      <c r="O321" s="84" t="e">
        <f>VLOOKUP(VALUE($S321),lookups!I:J,2,FALSE)</f>
        <v>#N/A</v>
      </c>
      <c r="P321" s="84">
        <f>VLOOKUP(VALUE($S321),lookups!F:G,2,FALSE)</f>
        <v>22</v>
      </c>
      <c r="Q321" s="84" t="str">
        <f t="shared" si="16"/>
        <v/>
      </c>
      <c r="R321" s="84">
        <f t="shared" si="17"/>
        <v>245560</v>
      </c>
      <c r="S321" s="84">
        <f t="shared" si="18"/>
        <v>380721</v>
      </c>
      <c r="T321" s="84">
        <f t="shared" si="19"/>
        <v>381398</v>
      </c>
    </row>
    <row r="322" spans="1:30" x14ac:dyDescent="0.3">
      <c r="A322" s="96"/>
      <c r="B322" s="84">
        <v>380733</v>
      </c>
      <c r="C322" s="85">
        <v>380721</v>
      </c>
      <c r="D322" s="84" t="s">
        <v>6</v>
      </c>
      <c r="E322" s="84" t="s">
        <v>345</v>
      </c>
      <c r="F322" s="86" t="s">
        <v>524</v>
      </c>
      <c r="G322" s="109" t="s">
        <v>1344</v>
      </c>
      <c r="H322" s="87">
        <v>2</v>
      </c>
      <c r="I322" s="89"/>
      <c r="J322" s="89"/>
      <c r="K322" s="89" t="s">
        <v>1614</v>
      </c>
      <c r="L322" s="84" t="s">
        <v>182</v>
      </c>
      <c r="M322" s="88" t="str">
        <f>VLOOKUP(L322,lookups!B:C,2,FALSE)</f>
        <v>Ted</v>
      </c>
      <c r="N322" s="89" t="str">
        <f>VLOOKUP(K322,TeamLookup[],2,0)</f>
        <v>Cyber</v>
      </c>
      <c r="O322" s="84" t="e">
        <f>VLOOKUP(VALUE($S322),lookups!I:J,2,FALSE)</f>
        <v>#N/A</v>
      </c>
      <c r="P322" s="84">
        <f>VLOOKUP(VALUE($S322),lookups!F:G,2,FALSE)</f>
        <v>22</v>
      </c>
      <c r="Q322" s="84" t="str">
        <f t="shared" ref="Q322:Q385" si="20">IF($B322="","ZeroEntry",
IF($D322="Program Epic","",
IF(OR($D322="Feature",$D322="Story",$D322="Task"),
  IF($C322="","Missing_ParentEntry",
IF(ISERROR(MATCH(VALUE($C322),$B:$B,0)),"ParentNotInCyberQuery",
IF(AND($D322="Story",VLOOKUP(VALUE($C322),$B:$D,3,FALSE)&lt;&gt;"Feature"),"Warning: StoryParentIs_"&amp;VLOOKUP(VALUE($C322),$B:$D,3,FALSE)&amp;"_NotFeature",
IF(AND(OR($D322="Story",$D322="Task"),VLOOKUP(VALUE($C322),$B:$C,2,FALSE)=""),"MissingGrandparent",
IF(AND($D322="Feature",ISERROR(MATCH("#"&amp;$B322,$C:$C,0))),"FeatureHasNoStories",
IF(AND($D322="Feature",VLOOKUP(VALUE($C322),$B:$D,3,FALSE)&lt;&gt;"Program Epic"),"FeatureParentIs_"&amp;VLOOKUP(VALUE($C322),$B:$D,3,FALSE)&amp;"_NotEpic","")))))),"")))</f>
        <v/>
      </c>
      <c r="R322" s="84">
        <f t="shared" ref="R322:R385" si="21">IF(AND($Q322&lt;&gt;"FeatureHasNoStories","Warning: StoryParentIs_Program Epic_NotFeature"&lt;&gt;$Q322,$Q322&lt;&gt;"ParentNotInCyberQuery",$Q322&lt;&gt;""),$Q322,
IF($D322="Program Epic",B322,
IF($D322="Feature",VALUE($C322),
IF("Warning: StoryParentIs_Program Epic_NotFeature"=$Q322,VALUE($C322),
IF(AND($D322="Story",$Q322="ParentNotInCyberQuery"),"MT",
IF($C322=0,"N/A",
IF(OR($D322="Story",$D322="Task"),VALUE(VLOOKUP(VALUE($C322),$B:$C,2,FALSE)),"N/A")))))))</f>
        <v>245560</v>
      </c>
      <c r="S322" s="84">
        <f t="shared" ref="S322:S385" si="22">IF($D322="Program Epic",0,
IF($D322="Feature",$B322,
IF($C322=0,"NoParentFeature",VALUE($C322))))</f>
        <v>380721</v>
      </c>
      <c r="T322" s="84">
        <f t="shared" ref="T322:T385" si="23">IF(OR($D322="Story",$D322="Task"),$B322,0)</f>
        <v>380733</v>
      </c>
    </row>
    <row r="323" spans="1:30" ht="39.6" customHeight="1" x14ac:dyDescent="0.3">
      <c r="B323" s="84">
        <v>380730</v>
      </c>
      <c r="C323" s="85">
        <v>380721</v>
      </c>
      <c r="D323" s="84" t="s">
        <v>6</v>
      </c>
      <c r="E323" s="84" t="s">
        <v>345</v>
      </c>
      <c r="F323" s="86" t="s">
        <v>527</v>
      </c>
      <c r="G323" s="109" t="s">
        <v>1344</v>
      </c>
      <c r="H323" s="87">
        <v>2</v>
      </c>
      <c r="I323" s="84"/>
      <c r="J323" s="84"/>
      <c r="K323" s="84" t="s">
        <v>1614</v>
      </c>
      <c r="L323" s="84" t="s">
        <v>214</v>
      </c>
      <c r="M323" s="88" t="str">
        <f>VLOOKUP(L323,lookups!B:C,2,FALSE)</f>
        <v>Dave G</v>
      </c>
      <c r="N323" s="89" t="str">
        <f>VLOOKUP(K323,TeamLookup[],2,0)</f>
        <v>Cyber</v>
      </c>
      <c r="O323" s="84" t="e">
        <f>VLOOKUP(VALUE($S323),lookups!I:J,2,FALSE)</f>
        <v>#N/A</v>
      </c>
      <c r="P323" s="84">
        <f>VLOOKUP(VALUE($S323),lookups!F:G,2,FALSE)</f>
        <v>22</v>
      </c>
      <c r="Q323" s="84" t="str">
        <f t="shared" si="20"/>
        <v/>
      </c>
      <c r="R323" s="84">
        <f t="shared" si="21"/>
        <v>245560</v>
      </c>
      <c r="S323" s="84">
        <f t="shared" si="22"/>
        <v>380721</v>
      </c>
      <c r="T323" s="84">
        <f t="shared" si="23"/>
        <v>380730</v>
      </c>
    </row>
    <row r="324" spans="1:30" ht="27.6" customHeight="1" x14ac:dyDescent="0.3">
      <c r="B324" s="84">
        <v>380727</v>
      </c>
      <c r="C324" s="85">
        <v>380721</v>
      </c>
      <c r="D324" s="84" t="s">
        <v>6</v>
      </c>
      <c r="E324" s="84" t="s">
        <v>345</v>
      </c>
      <c r="F324" s="86" t="s">
        <v>530</v>
      </c>
      <c r="G324" s="109" t="s">
        <v>1344</v>
      </c>
      <c r="H324" s="87">
        <v>2</v>
      </c>
      <c r="I324" s="89"/>
      <c r="J324" s="89"/>
      <c r="K324" s="89" t="s">
        <v>1614</v>
      </c>
      <c r="L324" s="84" t="s">
        <v>11</v>
      </c>
      <c r="M324" s="88" t="str">
        <f>VLOOKUP(L324,lookups!B:C,2,FALSE)</f>
        <v>Randy</v>
      </c>
      <c r="N324" s="89" t="str">
        <f>VLOOKUP(K324,TeamLookup[],2,0)</f>
        <v>Cyber</v>
      </c>
      <c r="O324" s="84" t="e">
        <f>VLOOKUP(VALUE($S324),lookups!I:J,2,FALSE)</f>
        <v>#N/A</v>
      </c>
      <c r="P324" s="84">
        <f>VLOOKUP(VALUE($S324),lookups!F:G,2,FALSE)</f>
        <v>22</v>
      </c>
      <c r="Q324" s="84" t="str">
        <f t="shared" si="20"/>
        <v/>
      </c>
      <c r="R324" s="84">
        <f t="shared" si="21"/>
        <v>245560</v>
      </c>
      <c r="S324" s="84">
        <f t="shared" si="22"/>
        <v>380721</v>
      </c>
      <c r="T324" s="84">
        <f t="shared" si="23"/>
        <v>380727</v>
      </c>
    </row>
    <row r="325" spans="1:30" ht="42.6" customHeight="1" x14ac:dyDescent="0.3">
      <c r="B325" s="84">
        <v>1007020</v>
      </c>
      <c r="C325" s="85">
        <v>380721</v>
      </c>
      <c r="D325" s="84" t="s">
        <v>6</v>
      </c>
      <c r="E325" s="84" t="s">
        <v>345</v>
      </c>
      <c r="F325" s="91" t="s">
        <v>350</v>
      </c>
      <c r="G325" s="109" t="s">
        <v>1343</v>
      </c>
      <c r="H325" s="87">
        <v>5</v>
      </c>
      <c r="I325" s="89"/>
      <c r="J325" s="89"/>
      <c r="K325" s="89" t="s">
        <v>1616</v>
      </c>
      <c r="L325" s="84" t="s">
        <v>191</v>
      </c>
      <c r="M325" s="88" t="str">
        <f>VLOOKUP(L325,lookups!B:C,2,FALSE)</f>
        <v>Gerald V</v>
      </c>
      <c r="N325" s="89" t="str">
        <f>VLOOKUP(K325,TeamLookup[],2,0)</f>
        <v>Magic</v>
      </c>
      <c r="O325" s="84" t="e">
        <f>VLOOKUP(VALUE($S325),lookups!I:J,2,FALSE)</f>
        <v>#N/A</v>
      </c>
      <c r="P325" s="84">
        <f>VLOOKUP(VALUE($S325),lookups!F:G,2,FALSE)</f>
        <v>22</v>
      </c>
      <c r="Q325" s="84" t="str">
        <f t="shared" si="20"/>
        <v/>
      </c>
      <c r="R325" s="84">
        <f t="shared" si="21"/>
        <v>245560</v>
      </c>
      <c r="S325" s="84">
        <f t="shared" si="22"/>
        <v>380721</v>
      </c>
      <c r="T325" s="84">
        <f t="shared" si="23"/>
        <v>1007020</v>
      </c>
    </row>
    <row r="326" spans="1:30" ht="42.75" customHeight="1" x14ac:dyDescent="0.3">
      <c r="B326" s="84">
        <v>1006954</v>
      </c>
      <c r="C326" s="85">
        <v>380721</v>
      </c>
      <c r="D326" s="84" t="s">
        <v>6</v>
      </c>
      <c r="E326" s="84" t="s">
        <v>345</v>
      </c>
      <c r="F326" s="86" t="s">
        <v>351</v>
      </c>
      <c r="G326" s="109" t="s">
        <v>1343</v>
      </c>
      <c r="H326" s="87">
        <v>2</v>
      </c>
      <c r="I326" s="84"/>
      <c r="J326" s="84"/>
      <c r="K326" s="84" t="s">
        <v>1614</v>
      </c>
      <c r="L326" s="84" t="s">
        <v>182</v>
      </c>
      <c r="M326" s="88" t="str">
        <f>VLOOKUP(L326,lookups!B:C,2,FALSE)</f>
        <v>Ted</v>
      </c>
      <c r="N326" s="89" t="str">
        <f>VLOOKUP(K326,TeamLookup[],2,0)</f>
        <v>Cyber</v>
      </c>
      <c r="O326" s="84" t="e">
        <f>VLOOKUP(VALUE($S326),lookups!I:J,2,FALSE)</f>
        <v>#N/A</v>
      </c>
      <c r="P326" s="84">
        <f>VLOOKUP(VALUE($S326),lookups!F:G,2,FALSE)</f>
        <v>22</v>
      </c>
      <c r="Q326" s="84" t="str">
        <f t="shared" si="20"/>
        <v/>
      </c>
      <c r="R326" s="84">
        <f t="shared" si="21"/>
        <v>245560</v>
      </c>
      <c r="S326" s="84">
        <f t="shared" si="22"/>
        <v>380721</v>
      </c>
      <c r="T326" s="84">
        <f t="shared" si="23"/>
        <v>1006954</v>
      </c>
    </row>
    <row r="327" spans="1:30" x14ac:dyDescent="0.3">
      <c r="B327" s="84">
        <v>392941</v>
      </c>
      <c r="C327" s="85">
        <v>380721</v>
      </c>
      <c r="D327" s="84" t="s">
        <v>6</v>
      </c>
      <c r="E327" s="84" t="s">
        <v>345</v>
      </c>
      <c r="F327" s="86" t="s">
        <v>389</v>
      </c>
      <c r="G327" s="109" t="s">
        <v>1343</v>
      </c>
      <c r="H327" s="87">
        <v>1</v>
      </c>
      <c r="I327" s="89"/>
      <c r="J327" s="89"/>
      <c r="K327" s="89" t="s">
        <v>1614</v>
      </c>
      <c r="L327" s="84" t="s">
        <v>107</v>
      </c>
      <c r="M327" s="88" t="str">
        <f>VLOOKUP(L327,lookups!B:C,2,FALSE)</f>
        <v>Chris</v>
      </c>
      <c r="N327" s="89" t="str">
        <f>VLOOKUP(K327,TeamLookup[],2,0)</f>
        <v>Cyber</v>
      </c>
      <c r="O327" s="84" t="e">
        <f>VLOOKUP(VALUE($S327),lookups!I:J,2,FALSE)</f>
        <v>#N/A</v>
      </c>
      <c r="P327" s="84">
        <f>VLOOKUP(VALUE($S327),lookups!F:G,2,FALSE)</f>
        <v>22</v>
      </c>
      <c r="Q327" s="84" t="str">
        <f t="shared" si="20"/>
        <v/>
      </c>
      <c r="R327" s="84">
        <f t="shared" si="21"/>
        <v>245560</v>
      </c>
      <c r="S327" s="84">
        <f t="shared" si="22"/>
        <v>380721</v>
      </c>
      <c r="T327" s="84">
        <f t="shared" si="23"/>
        <v>392941</v>
      </c>
    </row>
    <row r="328" spans="1:30" x14ac:dyDescent="0.3">
      <c r="B328" s="84">
        <v>380731</v>
      </c>
      <c r="C328" s="85">
        <v>380721</v>
      </c>
      <c r="D328" s="84" t="s">
        <v>6</v>
      </c>
      <c r="E328" s="84" t="s">
        <v>345</v>
      </c>
      <c r="F328" s="86" t="s">
        <v>526</v>
      </c>
      <c r="G328" s="109" t="s">
        <v>1343</v>
      </c>
      <c r="H328" s="87">
        <v>2</v>
      </c>
      <c r="I328" s="89"/>
      <c r="J328" s="89"/>
      <c r="K328" s="89" t="s">
        <v>1614</v>
      </c>
      <c r="L328" s="84" t="s">
        <v>182</v>
      </c>
      <c r="M328" s="88" t="str">
        <f>VLOOKUP(L328,lookups!B:C,2,FALSE)</f>
        <v>Ted</v>
      </c>
      <c r="N328" s="89" t="str">
        <f>VLOOKUP(K328,TeamLookup[],2,0)</f>
        <v>Cyber</v>
      </c>
      <c r="O328" s="84" t="e">
        <f>VLOOKUP(VALUE($S328),lookups!I:J,2,FALSE)</f>
        <v>#N/A</v>
      </c>
      <c r="P328" s="84">
        <f>VLOOKUP(VALUE($S328),lookups!F:G,2,FALSE)</f>
        <v>22</v>
      </c>
      <c r="Q328" s="84" t="str">
        <f t="shared" si="20"/>
        <v/>
      </c>
      <c r="R328" s="84">
        <f t="shared" si="21"/>
        <v>245560</v>
      </c>
      <c r="S328" s="84">
        <f t="shared" si="22"/>
        <v>380721</v>
      </c>
      <c r="T328" s="84">
        <f t="shared" si="23"/>
        <v>380731</v>
      </c>
    </row>
    <row r="329" spans="1:30" x14ac:dyDescent="0.3">
      <c r="B329" s="84">
        <v>380728</v>
      </c>
      <c r="C329" s="85">
        <v>380721</v>
      </c>
      <c r="D329" s="84" t="s">
        <v>6</v>
      </c>
      <c r="E329" s="84" t="s">
        <v>345</v>
      </c>
      <c r="F329" s="86" t="s">
        <v>529</v>
      </c>
      <c r="G329" s="109" t="s">
        <v>1343</v>
      </c>
      <c r="H329" s="87">
        <v>2</v>
      </c>
      <c r="I329" s="84"/>
      <c r="J329" s="84"/>
      <c r="K329" s="84" t="s">
        <v>1614</v>
      </c>
      <c r="L329" s="84" t="s">
        <v>11</v>
      </c>
      <c r="M329" s="88" t="str">
        <f>VLOOKUP(L329,lookups!B:C,2,FALSE)</f>
        <v>Randy</v>
      </c>
      <c r="N329" s="89" t="str">
        <f>VLOOKUP(K329,TeamLookup[],2,0)</f>
        <v>Cyber</v>
      </c>
      <c r="O329" s="84" t="e">
        <f>VLOOKUP(VALUE($S329),lookups!I:J,2,FALSE)</f>
        <v>#N/A</v>
      </c>
      <c r="P329" s="84">
        <f>VLOOKUP(VALUE($S329),lookups!F:G,2,FALSE)</f>
        <v>22</v>
      </c>
      <c r="Q329" s="84" t="str">
        <f t="shared" si="20"/>
        <v/>
      </c>
      <c r="R329" s="84">
        <f t="shared" si="21"/>
        <v>245560</v>
      </c>
      <c r="S329" s="84">
        <f t="shared" si="22"/>
        <v>380721</v>
      </c>
      <c r="T329" s="84">
        <f t="shared" si="23"/>
        <v>380728</v>
      </c>
    </row>
    <row r="330" spans="1:30" x14ac:dyDescent="0.3">
      <c r="B330" s="84">
        <v>380721</v>
      </c>
      <c r="C330" s="85">
        <v>245560</v>
      </c>
      <c r="D330" s="84" t="s">
        <v>24</v>
      </c>
      <c r="E330" s="84" t="s">
        <v>345</v>
      </c>
      <c r="F330" s="86" t="s">
        <v>536</v>
      </c>
      <c r="G330" s="109" t="s">
        <v>1343</v>
      </c>
      <c r="H330" s="87"/>
      <c r="I330" s="89" t="s">
        <v>48</v>
      </c>
      <c r="J330" s="89"/>
      <c r="K330" s="89" t="s">
        <v>1614</v>
      </c>
      <c r="L330" s="84" t="s">
        <v>129</v>
      </c>
      <c r="M330" s="88" t="str">
        <f>VLOOKUP(L330,lookups!B:C,2,FALSE)</f>
        <v>Derek</v>
      </c>
      <c r="N330" s="89" t="str">
        <f>VLOOKUP(K330,TeamLookup[],2,0)</f>
        <v>Cyber</v>
      </c>
      <c r="O330" s="84" t="e">
        <f>VLOOKUP(VALUE($S330),lookups!I:J,2,FALSE)</f>
        <v>#N/A</v>
      </c>
      <c r="P330" s="84">
        <f>VLOOKUP(VALUE($S330),lookups!F:G,2,FALSE)</f>
        <v>22</v>
      </c>
      <c r="Q330" s="84" t="str">
        <f t="shared" si="20"/>
        <v>ParentNotInCyberQuery</v>
      </c>
      <c r="R330" s="84">
        <f t="shared" si="21"/>
        <v>245560</v>
      </c>
      <c r="S330" s="84">
        <f t="shared" si="22"/>
        <v>380721</v>
      </c>
      <c r="T330" s="84">
        <f t="shared" si="23"/>
        <v>0</v>
      </c>
    </row>
    <row r="331" spans="1:30" x14ac:dyDescent="0.3">
      <c r="B331" s="84">
        <v>380742</v>
      </c>
      <c r="C331" s="85">
        <v>380735</v>
      </c>
      <c r="D331" s="84" t="s">
        <v>6</v>
      </c>
      <c r="E331" s="84" t="s">
        <v>345</v>
      </c>
      <c r="F331" s="86" t="s">
        <v>517</v>
      </c>
      <c r="G331" s="109" t="s">
        <v>1349</v>
      </c>
      <c r="H331" s="87">
        <v>1</v>
      </c>
      <c r="I331" s="89"/>
      <c r="J331" s="89"/>
      <c r="K331" s="89" t="s">
        <v>1614</v>
      </c>
      <c r="L331" s="84" t="s">
        <v>125</v>
      </c>
      <c r="M331" s="88" t="str">
        <f>VLOOKUP(L331,lookups!B:C,2,FALSE)</f>
        <v>Dave C</v>
      </c>
      <c r="N331" s="89" t="str">
        <f>VLOOKUP(K331,TeamLookup[],2,0)</f>
        <v>Cyber</v>
      </c>
      <c r="O331" s="84" t="e">
        <f>VLOOKUP(VALUE($S331),lookups!I:J,2,FALSE)</f>
        <v>#N/A</v>
      </c>
      <c r="P331" s="84">
        <f>VLOOKUP(VALUE($S331),lookups!F:G,2,FALSE)</f>
        <v>18</v>
      </c>
      <c r="Q331" s="84" t="str">
        <f t="shared" si="20"/>
        <v/>
      </c>
      <c r="R331" s="84">
        <f t="shared" si="21"/>
        <v>245560</v>
      </c>
      <c r="S331" s="84">
        <f t="shared" si="22"/>
        <v>380735</v>
      </c>
      <c r="T331" s="84">
        <f t="shared" si="23"/>
        <v>380742</v>
      </c>
    </row>
    <row r="332" spans="1:30" x14ac:dyDescent="0.3">
      <c r="B332" s="84">
        <v>380736</v>
      </c>
      <c r="C332" s="85">
        <v>380735</v>
      </c>
      <c r="D332" s="84" t="s">
        <v>6</v>
      </c>
      <c r="E332" s="84" t="s">
        <v>345</v>
      </c>
      <c r="F332" s="86" t="s">
        <v>522</v>
      </c>
      <c r="G332" s="109" t="s">
        <v>1349</v>
      </c>
      <c r="H332" s="87">
        <v>2</v>
      </c>
      <c r="I332" s="89"/>
      <c r="J332" s="89"/>
      <c r="K332" s="89" t="s">
        <v>1614</v>
      </c>
      <c r="L332" s="84" t="s">
        <v>125</v>
      </c>
      <c r="M332" s="88" t="str">
        <f>VLOOKUP(L332,lookups!B:C,2,FALSE)</f>
        <v>Dave C</v>
      </c>
      <c r="N332" s="89" t="str">
        <f>VLOOKUP(K332,TeamLookup[],2,0)</f>
        <v>Cyber</v>
      </c>
      <c r="O332" s="84" t="e">
        <f>VLOOKUP(VALUE($S332),lookups!I:J,2,FALSE)</f>
        <v>#N/A</v>
      </c>
      <c r="P332" s="84">
        <f>VLOOKUP(VALUE($S332),lookups!F:G,2,FALSE)</f>
        <v>18</v>
      </c>
      <c r="Q332" s="84" t="str">
        <f t="shared" si="20"/>
        <v/>
      </c>
      <c r="R332" s="84">
        <f t="shared" si="21"/>
        <v>245560</v>
      </c>
      <c r="S332" s="84">
        <f t="shared" si="22"/>
        <v>380735</v>
      </c>
      <c r="T332" s="84">
        <f t="shared" si="23"/>
        <v>380736</v>
      </c>
    </row>
    <row r="333" spans="1:30" x14ac:dyDescent="0.3">
      <c r="A333" s="96"/>
      <c r="B333" s="84">
        <v>380743</v>
      </c>
      <c r="C333" s="85">
        <v>380735</v>
      </c>
      <c r="D333" s="84" t="s">
        <v>6</v>
      </c>
      <c r="E333" s="84" t="s">
        <v>345</v>
      </c>
      <c r="F333" s="86" t="s">
        <v>516</v>
      </c>
      <c r="G333" s="109" t="s">
        <v>1348</v>
      </c>
      <c r="H333" s="87">
        <v>1</v>
      </c>
      <c r="I333" s="89"/>
      <c r="J333" s="89"/>
      <c r="K333" s="89" t="s">
        <v>1614</v>
      </c>
      <c r="L333" s="84" t="s">
        <v>125</v>
      </c>
      <c r="M333" s="88" t="str">
        <f>VLOOKUP(L333,lookups!B:C,2,FALSE)</f>
        <v>Dave C</v>
      </c>
      <c r="N333" s="89" t="str">
        <f>VLOOKUP(K333,TeamLookup[],2,0)</f>
        <v>Cyber</v>
      </c>
      <c r="O333" s="84" t="e">
        <f>VLOOKUP(VALUE($S333),lookups!I:J,2,FALSE)</f>
        <v>#N/A</v>
      </c>
      <c r="P333" s="84">
        <f>VLOOKUP(VALUE($S333),lookups!F:G,2,FALSE)</f>
        <v>18</v>
      </c>
      <c r="Q333" s="84" t="str">
        <f t="shared" si="20"/>
        <v/>
      </c>
      <c r="R333" s="84">
        <f t="shared" si="21"/>
        <v>245560</v>
      </c>
      <c r="S333" s="84">
        <f t="shared" si="22"/>
        <v>380735</v>
      </c>
      <c r="T333" s="84">
        <f t="shared" si="23"/>
        <v>380743</v>
      </c>
    </row>
    <row r="334" spans="1:30" x14ac:dyDescent="0.3">
      <c r="B334" s="84">
        <v>380744</v>
      </c>
      <c r="C334" s="85">
        <v>380735</v>
      </c>
      <c r="D334" s="84" t="s">
        <v>6</v>
      </c>
      <c r="E334" s="84" t="s">
        <v>345</v>
      </c>
      <c r="F334" s="86" t="s">
        <v>515</v>
      </c>
      <c r="G334" s="109" t="s">
        <v>1347</v>
      </c>
      <c r="H334" s="87">
        <v>5</v>
      </c>
      <c r="I334" s="89"/>
      <c r="J334" s="89"/>
      <c r="K334" s="89" t="s">
        <v>1614</v>
      </c>
      <c r="L334" s="84" t="s">
        <v>125</v>
      </c>
      <c r="M334" s="88" t="str">
        <f>VLOOKUP(L334,lookups!B:C,2,FALSE)</f>
        <v>Dave C</v>
      </c>
      <c r="N334" s="89" t="str">
        <f>VLOOKUP(K334,TeamLookup[],2,0)</f>
        <v>Cyber</v>
      </c>
      <c r="O334" s="84" t="e">
        <f>VLOOKUP(VALUE($S334),lookups!I:J,2,FALSE)</f>
        <v>#N/A</v>
      </c>
      <c r="P334" s="84">
        <f>VLOOKUP(VALUE($S334),lookups!F:G,2,FALSE)</f>
        <v>18</v>
      </c>
      <c r="Q334" s="84" t="str">
        <f t="shared" si="20"/>
        <v/>
      </c>
      <c r="R334" s="84">
        <f t="shared" si="21"/>
        <v>245560</v>
      </c>
      <c r="S334" s="84">
        <f t="shared" si="22"/>
        <v>380735</v>
      </c>
      <c r="T334" s="84">
        <f t="shared" si="23"/>
        <v>380744</v>
      </c>
      <c r="AD334" s="90" t="s">
        <v>179</v>
      </c>
    </row>
    <row r="335" spans="1:30" ht="16.95" customHeight="1" x14ac:dyDescent="0.3">
      <c r="A335" s="96"/>
      <c r="B335" s="84">
        <v>380745</v>
      </c>
      <c r="C335" s="85">
        <v>380735</v>
      </c>
      <c r="D335" s="84" t="s">
        <v>6</v>
      </c>
      <c r="E335" s="84" t="s">
        <v>345</v>
      </c>
      <c r="F335" s="86" t="s">
        <v>514</v>
      </c>
      <c r="G335" s="109" t="s">
        <v>1345</v>
      </c>
      <c r="H335" s="87">
        <v>3</v>
      </c>
      <c r="I335" s="89"/>
      <c r="J335" s="89"/>
      <c r="K335" s="89" t="s">
        <v>1614</v>
      </c>
      <c r="L335" s="84" t="s">
        <v>125</v>
      </c>
      <c r="M335" s="88" t="str">
        <f>VLOOKUP(L335,lookups!B:C,2,FALSE)</f>
        <v>Dave C</v>
      </c>
      <c r="N335" s="89" t="str">
        <f>VLOOKUP(K335,TeamLookup[],2,0)</f>
        <v>Cyber</v>
      </c>
      <c r="O335" s="84" t="e">
        <f>VLOOKUP(VALUE($S335),lookups!I:J,2,FALSE)</f>
        <v>#N/A</v>
      </c>
      <c r="P335" s="84">
        <f>VLOOKUP(VALUE($S335),lookups!F:G,2,FALSE)</f>
        <v>18</v>
      </c>
      <c r="Q335" s="84" t="str">
        <f t="shared" si="20"/>
        <v/>
      </c>
      <c r="R335" s="84">
        <f t="shared" si="21"/>
        <v>245560</v>
      </c>
      <c r="S335" s="84">
        <f t="shared" si="22"/>
        <v>380735</v>
      </c>
      <c r="T335" s="84">
        <f t="shared" si="23"/>
        <v>380745</v>
      </c>
      <c r="U335" s="94"/>
    </row>
    <row r="336" spans="1:30" ht="29.25" customHeight="1" x14ac:dyDescent="0.3">
      <c r="B336" s="84">
        <v>380746</v>
      </c>
      <c r="C336" s="85">
        <v>380735</v>
      </c>
      <c r="D336" s="84" t="s">
        <v>6</v>
      </c>
      <c r="E336" s="84" t="s">
        <v>345</v>
      </c>
      <c r="F336" s="86" t="s">
        <v>513</v>
      </c>
      <c r="G336" s="109" t="s">
        <v>1346</v>
      </c>
      <c r="H336" s="87">
        <v>1</v>
      </c>
      <c r="I336" s="84"/>
      <c r="J336" s="84"/>
      <c r="K336" s="84" t="s">
        <v>1614</v>
      </c>
      <c r="L336" s="84" t="s">
        <v>125</v>
      </c>
      <c r="M336" s="88" t="str">
        <f>VLOOKUP(L336,lookups!B:C,2,FALSE)</f>
        <v>Dave C</v>
      </c>
      <c r="N336" s="89" t="str">
        <f>VLOOKUP(K336,TeamLookup[],2,0)</f>
        <v>Cyber</v>
      </c>
      <c r="O336" s="84" t="e">
        <f>VLOOKUP(VALUE($S336),lookups!I:J,2,FALSE)</f>
        <v>#N/A</v>
      </c>
      <c r="P336" s="84">
        <f>VLOOKUP(VALUE($S336),lookups!F:G,2,FALSE)</f>
        <v>18</v>
      </c>
      <c r="Q336" s="84" t="str">
        <f t="shared" si="20"/>
        <v/>
      </c>
      <c r="R336" s="84">
        <f t="shared" si="21"/>
        <v>245560</v>
      </c>
      <c r="S336" s="84">
        <f t="shared" si="22"/>
        <v>380735</v>
      </c>
      <c r="T336" s="84">
        <f t="shared" si="23"/>
        <v>380746</v>
      </c>
    </row>
    <row r="337" spans="1:22" ht="32.25" customHeight="1" x14ac:dyDescent="0.3">
      <c r="B337" s="84">
        <v>390749</v>
      </c>
      <c r="C337" s="85">
        <v>380735</v>
      </c>
      <c r="D337" s="84" t="s">
        <v>6</v>
      </c>
      <c r="E337" s="84" t="s">
        <v>345</v>
      </c>
      <c r="F337" s="86" t="s">
        <v>429</v>
      </c>
      <c r="G337" s="109" t="s">
        <v>1344</v>
      </c>
      <c r="H337" s="87">
        <v>3</v>
      </c>
      <c r="I337" s="89"/>
      <c r="J337" s="89"/>
      <c r="K337" s="89" t="s">
        <v>1614</v>
      </c>
      <c r="L337" s="84" t="s">
        <v>11</v>
      </c>
      <c r="M337" s="88" t="str">
        <f>VLOOKUP(L337,lookups!B:C,2,FALSE)</f>
        <v>Randy</v>
      </c>
      <c r="N337" s="89" t="str">
        <f>VLOOKUP(K337,TeamLookup[],2,0)</f>
        <v>Cyber</v>
      </c>
      <c r="O337" s="84" t="e">
        <f>VLOOKUP(VALUE($S337),lookups!I:J,2,FALSE)</f>
        <v>#N/A</v>
      </c>
      <c r="P337" s="84">
        <f>VLOOKUP(VALUE($S337),lookups!F:G,2,FALSE)</f>
        <v>18</v>
      </c>
      <c r="Q337" s="84" t="str">
        <f t="shared" si="20"/>
        <v/>
      </c>
      <c r="R337" s="84">
        <f t="shared" si="21"/>
        <v>245560</v>
      </c>
      <c r="S337" s="84">
        <f t="shared" si="22"/>
        <v>380735</v>
      </c>
      <c r="T337" s="84">
        <f t="shared" si="23"/>
        <v>390749</v>
      </c>
    </row>
    <row r="338" spans="1:22" ht="30" customHeight="1" x14ac:dyDescent="0.3">
      <c r="B338" s="84">
        <v>380747</v>
      </c>
      <c r="C338" s="85">
        <v>380735</v>
      </c>
      <c r="D338" s="84" t="s">
        <v>6</v>
      </c>
      <c r="E338" s="84" t="s">
        <v>345</v>
      </c>
      <c r="F338" s="86" t="s">
        <v>512</v>
      </c>
      <c r="G338" s="109" t="s">
        <v>1344</v>
      </c>
      <c r="H338" s="87">
        <v>1</v>
      </c>
      <c r="I338" s="84"/>
      <c r="J338" s="84"/>
      <c r="K338" s="84" t="s">
        <v>1614</v>
      </c>
      <c r="L338" s="84" t="s">
        <v>214</v>
      </c>
      <c r="M338" s="88" t="str">
        <f>VLOOKUP(L338,lookups!B:C,2,FALSE)</f>
        <v>Dave G</v>
      </c>
      <c r="N338" s="89" t="str">
        <f>VLOOKUP(K338,TeamLookup[],2,0)</f>
        <v>Cyber</v>
      </c>
      <c r="O338" s="84" t="e">
        <f>VLOOKUP(VALUE($S338),lookups!I:J,2,FALSE)</f>
        <v>#N/A</v>
      </c>
      <c r="P338" s="84">
        <f>VLOOKUP(VALUE($S338),lookups!F:G,2,FALSE)</f>
        <v>18</v>
      </c>
      <c r="Q338" s="84" t="str">
        <f t="shared" si="20"/>
        <v/>
      </c>
      <c r="R338" s="84">
        <f t="shared" si="21"/>
        <v>245560</v>
      </c>
      <c r="S338" s="84">
        <f t="shared" si="22"/>
        <v>380735</v>
      </c>
      <c r="T338" s="84">
        <f t="shared" si="23"/>
        <v>380747</v>
      </c>
    </row>
    <row r="339" spans="1:22" ht="50.25" customHeight="1" x14ac:dyDescent="0.3">
      <c r="A339" s="96"/>
      <c r="B339" s="84">
        <v>380741</v>
      </c>
      <c r="C339" s="85">
        <v>380735</v>
      </c>
      <c r="D339" s="84" t="s">
        <v>6</v>
      </c>
      <c r="E339" s="84" t="s">
        <v>345</v>
      </c>
      <c r="F339" s="86" t="s">
        <v>518</v>
      </c>
      <c r="G339" s="109" t="s">
        <v>1344</v>
      </c>
      <c r="H339" s="87">
        <v>3</v>
      </c>
      <c r="I339" s="89"/>
      <c r="J339" s="89"/>
      <c r="K339" s="89" t="s">
        <v>1614</v>
      </c>
      <c r="L339" s="84" t="s">
        <v>125</v>
      </c>
      <c r="M339" s="88" t="str">
        <f>VLOOKUP(L339,lookups!B:C,2,FALSE)</f>
        <v>Dave C</v>
      </c>
      <c r="N339" s="89" t="str">
        <f>VLOOKUP(K339,TeamLookup[],2,0)</f>
        <v>Cyber</v>
      </c>
      <c r="O339" s="84" t="e">
        <f>VLOOKUP(VALUE($S339),lookups!I:J,2,FALSE)</f>
        <v>#N/A</v>
      </c>
      <c r="P339" s="84">
        <f>VLOOKUP(VALUE($S339),lookups!F:G,2,FALSE)</f>
        <v>18</v>
      </c>
      <c r="Q339" s="84" t="str">
        <f t="shared" si="20"/>
        <v/>
      </c>
      <c r="R339" s="84">
        <f t="shared" si="21"/>
        <v>245560</v>
      </c>
      <c r="S339" s="84">
        <f t="shared" si="22"/>
        <v>380735</v>
      </c>
      <c r="T339" s="84">
        <f t="shared" si="23"/>
        <v>380741</v>
      </c>
    </row>
    <row r="340" spans="1:22" x14ac:dyDescent="0.3">
      <c r="B340" s="84">
        <v>380739</v>
      </c>
      <c r="C340" s="85">
        <v>380735</v>
      </c>
      <c r="D340" s="84" t="s">
        <v>6</v>
      </c>
      <c r="E340" s="84" t="s">
        <v>345</v>
      </c>
      <c r="F340" s="86" t="s">
        <v>520</v>
      </c>
      <c r="G340" s="109" t="s">
        <v>1344</v>
      </c>
      <c r="H340" s="87">
        <v>5</v>
      </c>
      <c r="I340" s="84"/>
      <c r="J340" s="84"/>
      <c r="K340" s="84" t="s">
        <v>1614</v>
      </c>
      <c r="L340" s="84" t="s">
        <v>125</v>
      </c>
      <c r="M340" s="88" t="str">
        <f>VLOOKUP(L340,lookups!B:C,2,FALSE)</f>
        <v>Dave C</v>
      </c>
      <c r="N340" s="89" t="str">
        <f>VLOOKUP(K340,TeamLookup[],2,0)</f>
        <v>Cyber</v>
      </c>
      <c r="O340" s="84" t="e">
        <f>VLOOKUP(VALUE($S340),lookups!I:J,2,FALSE)</f>
        <v>#N/A</v>
      </c>
      <c r="P340" s="84">
        <f>VLOOKUP(VALUE($S340),lookups!F:G,2,FALSE)</f>
        <v>18</v>
      </c>
      <c r="Q340" s="84" t="str">
        <f t="shared" si="20"/>
        <v/>
      </c>
      <c r="R340" s="84">
        <f t="shared" si="21"/>
        <v>245560</v>
      </c>
      <c r="S340" s="84">
        <f t="shared" si="22"/>
        <v>380735</v>
      </c>
      <c r="T340" s="84">
        <f t="shared" si="23"/>
        <v>380739</v>
      </c>
      <c r="V340" s="94"/>
    </row>
    <row r="341" spans="1:22" ht="30" customHeight="1" x14ac:dyDescent="0.3">
      <c r="A341" s="96"/>
      <c r="B341" s="84">
        <v>380748</v>
      </c>
      <c r="C341" s="85">
        <v>380735</v>
      </c>
      <c r="D341" s="84" t="s">
        <v>6</v>
      </c>
      <c r="E341" s="84" t="s">
        <v>345</v>
      </c>
      <c r="F341" s="86" t="s">
        <v>511</v>
      </c>
      <c r="G341" s="109" t="s">
        <v>1343</v>
      </c>
      <c r="H341" s="87">
        <v>1</v>
      </c>
      <c r="I341" s="89"/>
      <c r="J341" s="89"/>
      <c r="K341" s="89" t="s">
        <v>1614</v>
      </c>
      <c r="L341" s="84" t="s">
        <v>125</v>
      </c>
      <c r="M341" s="88" t="str">
        <f>VLOOKUP(L341,lookups!B:C,2,FALSE)</f>
        <v>Dave C</v>
      </c>
      <c r="N341" s="89" t="str">
        <f>VLOOKUP(K341,TeamLookup[],2,0)</f>
        <v>Cyber</v>
      </c>
      <c r="O341" s="84" t="e">
        <f>VLOOKUP(VALUE($S341),lookups!I:J,2,FALSE)</f>
        <v>#N/A</v>
      </c>
      <c r="P341" s="84">
        <f>VLOOKUP(VALUE($S341),lookups!F:G,2,FALSE)</f>
        <v>18</v>
      </c>
      <c r="Q341" s="84" t="str">
        <f t="shared" si="20"/>
        <v/>
      </c>
      <c r="R341" s="84">
        <f t="shared" si="21"/>
        <v>245560</v>
      </c>
      <c r="S341" s="84">
        <f t="shared" si="22"/>
        <v>380735</v>
      </c>
      <c r="T341" s="84">
        <f t="shared" si="23"/>
        <v>380748</v>
      </c>
    </row>
    <row r="342" spans="1:22" x14ac:dyDescent="0.3">
      <c r="B342" s="84">
        <v>380740</v>
      </c>
      <c r="C342" s="85">
        <v>380735</v>
      </c>
      <c r="D342" s="84" t="s">
        <v>6</v>
      </c>
      <c r="E342" s="84" t="s">
        <v>345</v>
      </c>
      <c r="F342" s="86" t="s">
        <v>519</v>
      </c>
      <c r="G342" s="109" t="s">
        <v>1343</v>
      </c>
      <c r="H342" s="87">
        <v>1</v>
      </c>
      <c r="I342" s="89"/>
      <c r="J342" s="89"/>
      <c r="K342" s="89" t="s">
        <v>1614</v>
      </c>
      <c r="L342" s="84" t="s">
        <v>107</v>
      </c>
      <c r="M342" s="88" t="str">
        <f>VLOOKUP(L342,lookups!B:C,2,FALSE)</f>
        <v>Chris</v>
      </c>
      <c r="N342" s="89" t="str">
        <f>VLOOKUP(K342,TeamLookup[],2,0)</f>
        <v>Cyber</v>
      </c>
      <c r="O342" s="84" t="e">
        <f>VLOOKUP(VALUE($S342),lookups!I:J,2,FALSE)</f>
        <v>#N/A</v>
      </c>
      <c r="P342" s="84">
        <f>VLOOKUP(VALUE($S342),lookups!F:G,2,FALSE)</f>
        <v>18</v>
      </c>
      <c r="Q342" s="84" t="str">
        <f t="shared" si="20"/>
        <v/>
      </c>
      <c r="R342" s="84">
        <f t="shared" si="21"/>
        <v>245560</v>
      </c>
      <c r="S342" s="84">
        <f t="shared" si="22"/>
        <v>380735</v>
      </c>
      <c r="T342" s="84">
        <f t="shared" si="23"/>
        <v>380740</v>
      </c>
    </row>
    <row r="343" spans="1:22" x14ac:dyDescent="0.3">
      <c r="B343" s="84">
        <v>380737</v>
      </c>
      <c r="C343" s="85">
        <v>380735</v>
      </c>
      <c r="D343" s="84" t="s">
        <v>6</v>
      </c>
      <c r="E343" s="84" t="s">
        <v>345</v>
      </c>
      <c r="F343" s="86" t="s">
        <v>521</v>
      </c>
      <c r="G343" s="109" t="s">
        <v>1343</v>
      </c>
      <c r="H343" s="87">
        <v>5</v>
      </c>
      <c r="I343" s="89"/>
      <c r="J343" s="89"/>
      <c r="K343" s="89" t="s">
        <v>1614</v>
      </c>
      <c r="L343" s="84" t="s">
        <v>125</v>
      </c>
      <c r="M343" s="88" t="str">
        <f>VLOOKUP(L343,lookups!B:C,2,FALSE)</f>
        <v>Dave C</v>
      </c>
      <c r="N343" s="89" t="str">
        <f>VLOOKUP(K343,TeamLookup[],2,0)</f>
        <v>Cyber</v>
      </c>
      <c r="O343" s="84" t="e">
        <f>VLOOKUP(VALUE($S343),lookups!I:J,2,FALSE)</f>
        <v>#N/A</v>
      </c>
      <c r="P343" s="84">
        <f>VLOOKUP(VALUE($S343),lookups!F:G,2,FALSE)</f>
        <v>18</v>
      </c>
      <c r="Q343" s="84" t="str">
        <f t="shared" si="20"/>
        <v/>
      </c>
      <c r="R343" s="84">
        <f t="shared" si="21"/>
        <v>245560</v>
      </c>
      <c r="S343" s="84">
        <f t="shared" si="22"/>
        <v>380735</v>
      </c>
      <c r="T343" s="84">
        <f t="shared" si="23"/>
        <v>380737</v>
      </c>
    </row>
    <row r="344" spans="1:22" x14ac:dyDescent="0.3">
      <c r="B344" s="84">
        <v>380735</v>
      </c>
      <c r="C344" s="85">
        <v>245560</v>
      </c>
      <c r="D344" s="84" t="s">
        <v>24</v>
      </c>
      <c r="E344" s="84" t="s">
        <v>345</v>
      </c>
      <c r="F344" s="86" t="s">
        <v>523</v>
      </c>
      <c r="G344" s="109" t="s">
        <v>1343</v>
      </c>
      <c r="H344" s="87"/>
      <c r="I344" s="89" t="s">
        <v>48</v>
      </c>
      <c r="J344" s="89"/>
      <c r="K344" s="89" t="s">
        <v>1614</v>
      </c>
      <c r="L344" s="84" t="s">
        <v>129</v>
      </c>
      <c r="M344" s="88" t="str">
        <f>VLOOKUP(L344,lookups!B:C,2,FALSE)</f>
        <v>Derek</v>
      </c>
      <c r="N344" s="89" t="str">
        <f>VLOOKUP(K344,TeamLookup[],2,0)</f>
        <v>Cyber</v>
      </c>
      <c r="O344" s="84" t="e">
        <f>VLOOKUP(VALUE($S344),lookups!I:J,2,FALSE)</f>
        <v>#N/A</v>
      </c>
      <c r="P344" s="84">
        <f>VLOOKUP(VALUE($S344),lookups!F:G,2,FALSE)</f>
        <v>18</v>
      </c>
      <c r="Q344" s="84" t="str">
        <f t="shared" si="20"/>
        <v>ParentNotInCyberQuery</v>
      </c>
      <c r="R344" s="84">
        <f t="shared" si="21"/>
        <v>245560</v>
      </c>
      <c r="S344" s="84">
        <f t="shared" si="22"/>
        <v>380735</v>
      </c>
      <c r="T344" s="84">
        <f t="shared" si="23"/>
        <v>0</v>
      </c>
    </row>
    <row r="345" spans="1:22" ht="19.95" customHeight="1" x14ac:dyDescent="0.3">
      <c r="B345" s="84">
        <v>392558</v>
      </c>
      <c r="C345" s="85">
        <v>380749</v>
      </c>
      <c r="D345" s="84" t="s">
        <v>6</v>
      </c>
      <c r="E345" s="84" t="s">
        <v>345</v>
      </c>
      <c r="F345" s="86" t="s">
        <v>396</v>
      </c>
      <c r="G345" s="109" t="s">
        <v>1349</v>
      </c>
      <c r="H345" s="87">
        <v>5</v>
      </c>
      <c r="I345" s="89"/>
      <c r="J345" s="89"/>
      <c r="K345" s="89" t="s">
        <v>1614</v>
      </c>
      <c r="L345" s="84" t="s">
        <v>1342</v>
      </c>
      <c r="M345" s="88" t="str">
        <f>VLOOKUP(L345,lookups!B:C,2,FALSE)</f>
        <v>John</v>
      </c>
      <c r="N345" s="89" t="str">
        <f>VLOOKUP(K345,TeamLookup[],2,0)</f>
        <v>Cyber</v>
      </c>
      <c r="O345" s="84" t="e">
        <f>VLOOKUP(VALUE($S345),lookups!I:J,2,FALSE)</f>
        <v>#N/A</v>
      </c>
      <c r="P345" s="84">
        <f>VLOOKUP(VALUE($S345),lookups!F:G,2,FALSE)</f>
        <v>25</v>
      </c>
      <c r="Q345" s="84" t="str">
        <f t="shared" si="20"/>
        <v/>
      </c>
      <c r="R345" s="84">
        <f t="shared" si="21"/>
        <v>245560</v>
      </c>
      <c r="S345" s="84">
        <f t="shared" si="22"/>
        <v>380749</v>
      </c>
      <c r="T345" s="84">
        <f t="shared" si="23"/>
        <v>392558</v>
      </c>
    </row>
    <row r="346" spans="1:22" ht="28.8" x14ac:dyDescent="0.3">
      <c r="B346" s="84">
        <v>385659</v>
      </c>
      <c r="C346" s="85">
        <v>380749</v>
      </c>
      <c r="D346" s="84" t="s">
        <v>6</v>
      </c>
      <c r="E346" s="84" t="s">
        <v>345</v>
      </c>
      <c r="F346" s="86" t="s">
        <v>188</v>
      </c>
      <c r="G346" s="109" t="s">
        <v>1349</v>
      </c>
      <c r="H346" s="87">
        <v>3</v>
      </c>
      <c r="I346" s="84"/>
      <c r="J346" s="84"/>
      <c r="K346" s="84" t="s">
        <v>1614</v>
      </c>
      <c r="L346" s="84" t="s">
        <v>182</v>
      </c>
      <c r="M346" s="88" t="str">
        <f>VLOOKUP(L346,lookups!B:C,2,FALSE)</f>
        <v>Ted</v>
      </c>
      <c r="N346" s="89" t="str">
        <f>VLOOKUP(K346,TeamLookup[],2,0)</f>
        <v>Cyber</v>
      </c>
      <c r="O346" s="84" t="e">
        <f>VLOOKUP(VALUE($S346),lookups!I:J,2,FALSE)</f>
        <v>#N/A</v>
      </c>
      <c r="P346" s="84">
        <f>VLOOKUP(VALUE($S346),lookups!F:G,2,FALSE)</f>
        <v>25</v>
      </c>
      <c r="Q346" s="84" t="str">
        <f t="shared" si="20"/>
        <v/>
      </c>
      <c r="R346" s="84">
        <f t="shared" si="21"/>
        <v>245560</v>
      </c>
      <c r="S346" s="84">
        <f t="shared" si="22"/>
        <v>380749</v>
      </c>
      <c r="T346" s="84">
        <f t="shared" si="23"/>
        <v>385659</v>
      </c>
    </row>
    <row r="347" spans="1:22" x14ac:dyDescent="0.3">
      <c r="B347" s="84">
        <v>392608</v>
      </c>
      <c r="C347" s="85">
        <v>380749</v>
      </c>
      <c r="D347" s="84" t="s">
        <v>6</v>
      </c>
      <c r="E347" s="84" t="s">
        <v>345</v>
      </c>
      <c r="F347" s="86" t="s">
        <v>394</v>
      </c>
      <c r="G347" s="109" t="s">
        <v>1348</v>
      </c>
      <c r="H347" s="87">
        <v>3</v>
      </c>
      <c r="I347" s="89"/>
      <c r="J347" s="89"/>
      <c r="K347" s="89" t="s">
        <v>1614</v>
      </c>
      <c r="L347" s="84" t="s">
        <v>1342</v>
      </c>
      <c r="M347" s="88" t="str">
        <f>VLOOKUP(L347,lookups!B:C,2,FALSE)</f>
        <v>John</v>
      </c>
      <c r="N347" s="89" t="str">
        <f>VLOOKUP(K347,TeamLookup[],2,0)</f>
        <v>Cyber</v>
      </c>
      <c r="O347" s="84" t="e">
        <f>VLOOKUP(VALUE($S347),lookups!I:J,2,FALSE)</f>
        <v>#N/A</v>
      </c>
      <c r="P347" s="84">
        <f>VLOOKUP(VALUE($S347),lookups!F:G,2,FALSE)</f>
        <v>25</v>
      </c>
      <c r="Q347" s="84" t="str">
        <f t="shared" si="20"/>
        <v/>
      </c>
      <c r="R347" s="84">
        <f t="shared" si="21"/>
        <v>245560</v>
      </c>
      <c r="S347" s="84">
        <f t="shared" si="22"/>
        <v>380749</v>
      </c>
      <c r="T347" s="84">
        <f t="shared" si="23"/>
        <v>392608</v>
      </c>
    </row>
    <row r="348" spans="1:22" x14ac:dyDescent="0.3">
      <c r="B348" s="84">
        <v>385662</v>
      </c>
      <c r="C348" s="85">
        <v>380749</v>
      </c>
      <c r="D348" s="84" t="s">
        <v>6</v>
      </c>
      <c r="E348" s="84" t="s">
        <v>345</v>
      </c>
      <c r="F348" s="86" t="s">
        <v>120</v>
      </c>
      <c r="G348" s="109" t="s">
        <v>1348</v>
      </c>
      <c r="H348" s="87">
        <v>3</v>
      </c>
      <c r="I348" s="89"/>
      <c r="J348" s="89"/>
      <c r="K348" s="89" t="s">
        <v>1614</v>
      </c>
      <c r="L348" s="84" t="s">
        <v>1342</v>
      </c>
      <c r="M348" s="88" t="str">
        <f>VLOOKUP(L348,lookups!B:C,2,FALSE)</f>
        <v>John</v>
      </c>
      <c r="N348" s="89" t="str">
        <f>VLOOKUP(K348,TeamLookup[],2,0)</f>
        <v>Cyber</v>
      </c>
      <c r="O348" s="84" t="e">
        <f>VLOOKUP(VALUE($S348),lookups!I:J,2,FALSE)</f>
        <v>#N/A</v>
      </c>
      <c r="P348" s="84">
        <f>VLOOKUP(VALUE($S348),lookups!F:G,2,FALSE)</f>
        <v>25</v>
      </c>
      <c r="Q348" s="84" t="str">
        <f t="shared" si="20"/>
        <v/>
      </c>
      <c r="R348" s="84">
        <f t="shared" si="21"/>
        <v>245560</v>
      </c>
      <c r="S348" s="84">
        <f t="shared" si="22"/>
        <v>380749</v>
      </c>
      <c r="T348" s="84">
        <f t="shared" si="23"/>
        <v>385662</v>
      </c>
    </row>
    <row r="349" spans="1:22" x14ac:dyDescent="0.3">
      <c r="B349" s="84">
        <v>385660</v>
      </c>
      <c r="C349" s="85">
        <v>380749</v>
      </c>
      <c r="D349" s="84" t="s">
        <v>6</v>
      </c>
      <c r="E349" s="84" t="s">
        <v>345</v>
      </c>
      <c r="F349" s="86" t="s">
        <v>187</v>
      </c>
      <c r="G349" s="109" t="s">
        <v>1348</v>
      </c>
      <c r="H349" s="87">
        <v>2</v>
      </c>
      <c r="I349" s="89"/>
      <c r="J349" s="89"/>
      <c r="K349" s="89" t="s">
        <v>1614</v>
      </c>
      <c r="L349" s="84" t="s">
        <v>182</v>
      </c>
      <c r="M349" s="88" t="str">
        <f>VLOOKUP(L349,lookups!B:C,2,FALSE)</f>
        <v>Ted</v>
      </c>
      <c r="N349" s="89" t="str">
        <f>VLOOKUP(K349,TeamLookup[],2,0)</f>
        <v>Cyber</v>
      </c>
      <c r="O349" s="84" t="e">
        <f>VLOOKUP(VALUE($S349),lookups!I:J,2,FALSE)</f>
        <v>#N/A</v>
      </c>
      <c r="P349" s="84">
        <f>VLOOKUP(VALUE($S349),lookups!F:G,2,FALSE)</f>
        <v>25</v>
      </c>
      <c r="Q349" s="84" t="str">
        <f t="shared" si="20"/>
        <v/>
      </c>
      <c r="R349" s="84">
        <f t="shared" si="21"/>
        <v>245560</v>
      </c>
      <c r="S349" s="84">
        <f t="shared" si="22"/>
        <v>380749</v>
      </c>
      <c r="T349" s="84">
        <f t="shared" si="23"/>
        <v>385660</v>
      </c>
    </row>
    <row r="350" spans="1:22" x14ac:dyDescent="0.3">
      <c r="B350" s="84">
        <v>385658</v>
      </c>
      <c r="C350" s="85">
        <v>380749</v>
      </c>
      <c r="D350" s="84" t="s">
        <v>6</v>
      </c>
      <c r="E350" s="84" t="s">
        <v>345</v>
      </c>
      <c r="F350" s="86" t="s">
        <v>122</v>
      </c>
      <c r="G350" s="109" t="s">
        <v>1348</v>
      </c>
      <c r="H350" s="87">
        <v>2</v>
      </c>
      <c r="I350" s="89"/>
      <c r="J350" s="89"/>
      <c r="K350" s="89" t="s">
        <v>1614</v>
      </c>
      <c r="L350" s="84" t="s">
        <v>1342</v>
      </c>
      <c r="M350" s="88" t="str">
        <f>VLOOKUP(L350,lookups!B:C,2,FALSE)</f>
        <v>John</v>
      </c>
      <c r="N350" s="89" t="str">
        <f>VLOOKUP(K350,TeamLookup[],2,0)</f>
        <v>Cyber</v>
      </c>
      <c r="O350" s="84" t="e">
        <f>VLOOKUP(VALUE($S350),lookups!I:J,2,FALSE)</f>
        <v>#N/A</v>
      </c>
      <c r="P350" s="84">
        <f>VLOOKUP(VALUE($S350),lookups!F:G,2,FALSE)</f>
        <v>25</v>
      </c>
      <c r="Q350" s="84" t="str">
        <f t="shared" si="20"/>
        <v/>
      </c>
      <c r="R350" s="84">
        <f t="shared" si="21"/>
        <v>245560</v>
      </c>
      <c r="S350" s="84">
        <f t="shared" si="22"/>
        <v>380749</v>
      </c>
      <c r="T350" s="84">
        <f t="shared" si="23"/>
        <v>385658</v>
      </c>
    </row>
    <row r="351" spans="1:22" x14ac:dyDescent="0.3">
      <c r="B351" s="84">
        <v>392598</v>
      </c>
      <c r="C351" s="85">
        <v>380749</v>
      </c>
      <c r="D351" s="84" t="s">
        <v>6</v>
      </c>
      <c r="E351" s="84" t="s">
        <v>345</v>
      </c>
      <c r="F351" s="86" t="s">
        <v>186</v>
      </c>
      <c r="G351" s="109" t="s">
        <v>1347</v>
      </c>
      <c r="H351" s="87">
        <v>3</v>
      </c>
      <c r="I351" s="89"/>
      <c r="J351" s="89"/>
      <c r="K351" s="89" t="s">
        <v>1614</v>
      </c>
      <c r="L351" s="84" t="s">
        <v>1342</v>
      </c>
      <c r="M351" s="88" t="str">
        <f>VLOOKUP(L351,lookups!B:C,2,FALSE)</f>
        <v>John</v>
      </c>
      <c r="N351" s="89" t="str">
        <f>VLOOKUP(K351,TeamLookup[],2,0)</f>
        <v>Cyber</v>
      </c>
      <c r="O351" s="84" t="e">
        <f>VLOOKUP(VALUE($S351),lookups!I:J,2,FALSE)</f>
        <v>#N/A</v>
      </c>
      <c r="P351" s="84">
        <f>VLOOKUP(VALUE($S351),lookups!F:G,2,FALSE)</f>
        <v>25</v>
      </c>
      <c r="Q351" s="84" t="str">
        <f t="shared" si="20"/>
        <v/>
      </c>
      <c r="R351" s="84">
        <f t="shared" si="21"/>
        <v>245560</v>
      </c>
      <c r="S351" s="84">
        <f t="shared" si="22"/>
        <v>380749</v>
      </c>
      <c r="T351" s="84">
        <f t="shared" si="23"/>
        <v>392598</v>
      </c>
    </row>
    <row r="352" spans="1:22" ht="27" customHeight="1" x14ac:dyDescent="0.3">
      <c r="B352" s="84">
        <v>392597</v>
      </c>
      <c r="C352" s="85">
        <v>380749</v>
      </c>
      <c r="D352" s="84" t="s">
        <v>6</v>
      </c>
      <c r="E352" s="84" t="s">
        <v>345</v>
      </c>
      <c r="F352" s="86" t="s">
        <v>153</v>
      </c>
      <c r="G352" s="109" t="s">
        <v>1347</v>
      </c>
      <c r="H352" s="87">
        <v>1</v>
      </c>
      <c r="I352" s="84"/>
      <c r="J352" s="84"/>
      <c r="K352" s="84" t="s">
        <v>1614</v>
      </c>
      <c r="L352" s="84" t="s">
        <v>1342</v>
      </c>
      <c r="M352" s="88" t="str">
        <f>VLOOKUP(L352,lookups!B:C,2,FALSE)</f>
        <v>John</v>
      </c>
      <c r="N352" s="89" t="str">
        <f>VLOOKUP(K352,TeamLookup[],2,0)</f>
        <v>Cyber</v>
      </c>
      <c r="O352" s="84" t="e">
        <f>VLOOKUP(VALUE($S352),lookups!I:J,2,FALSE)</f>
        <v>#N/A</v>
      </c>
      <c r="P352" s="84">
        <f>VLOOKUP(VALUE($S352),lookups!F:G,2,FALSE)</f>
        <v>25</v>
      </c>
      <c r="Q352" s="84" t="str">
        <f t="shared" si="20"/>
        <v/>
      </c>
      <c r="R352" s="84">
        <f t="shared" si="21"/>
        <v>245560</v>
      </c>
      <c r="S352" s="84">
        <f t="shared" si="22"/>
        <v>380749</v>
      </c>
      <c r="T352" s="84">
        <f t="shared" si="23"/>
        <v>392597</v>
      </c>
    </row>
    <row r="353" spans="1:24" ht="26.4" customHeight="1" x14ac:dyDescent="0.3">
      <c r="B353" s="84">
        <v>385668</v>
      </c>
      <c r="C353" s="85">
        <v>380749</v>
      </c>
      <c r="D353" s="84" t="s">
        <v>6</v>
      </c>
      <c r="E353" s="84" t="s">
        <v>345</v>
      </c>
      <c r="F353" s="86" t="s">
        <v>185</v>
      </c>
      <c r="G353" s="109" t="s">
        <v>1347</v>
      </c>
      <c r="H353" s="87">
        <v>1</v>
      </c>
      <c r="I353" s="89"/>
      <c r="J353" s="89"/>
      <c r="K353" s="89" t="s">
        <v>1614</v>
      </c>
      <c r="L353" s="84" t="s">
        <v>214</v>
      </c>
      <c r="M353" s="88" t="str">
        <f>VLOOKUP(L353,lookups!B:C,2,FALSE)</f>
        <v>Dave G</v>
      </c>
      <c r="N353" s="89" t="str">
        <f>VLOOKUP(K353,TeamLookup[],2,0)</f>
        <v>Cyber</v>
      </c>
      <c r="O353" s="84" t="e">
        <f>VLOOKUP(VALUE($S353),lookups!I:J,2,FALSE)</f>
        <v>#N/A</v>
      </c>
      <c r="P353" s="84">
        <f>VLOOKUP(VALUE($S353),lookups!F:G,2,FALSE)</f>
        <v>25</v>
      </c>
      <c r="Q353" s="84" t="str">
        <f t="shared" si="20"/>
        <v/>
      </c>
      <c r="R353" s="84">
        <f t="shared" si="21"/>
        <v>245560</v>
      </c>
      <c r="S353" s="84">
        <f t="shared" si="22"/>
        <v>380749</v>
      </c>
      <c r="T353" s="84">
        <f t="shared" si="23"/>
        <v>385668</v>
      </c>
      <c r="W353" s="94"/>
      <c r="X353" s="94"/>
    </row>
    <row r="354" spans="1:24" x14ac:dyDescent="0.3">
      <c r="B354" s="84">
        <v>385663</v>
      </c>
      <c r="C354" s="85">
        <v>380749</v>
      </c>
      <c r="D354" s="84" t="s">
        <v>6</v>
      </c>
      <c r="E354" s="84" t="s">
        <v>345</v>
      </c>
      <c r="F354" s="86" t="s">
        <v>454</v>
      </c>
      <c r="G354" s="109" t="s">
        <v>1347</v>
      </c>
      <c r="H354" s="87">
        <v>2</v>
      </c>
      <c r="I354" s="89"/>
      <c r="J354" s="89"/>
      <c r="K354" s="89" t="s">
        <v>1614</v>
      </c>
      <c r="L354" s="84" t="s">
        <v>1342</v>
      </c>
      <c r="M354" s="88" t="str">
        <f>VLOOKUP(L354,lookups!B:C,2,FALSE)</f>
        <v>John</v>
      </c>
      <c r="N354" s="89" t="str">
        <f>VLOOKUP(K354,TeamLookup[],2,0)</f>
        <v>Cyber</v>
      </c>
      <c r="O354" s="84" t="e">
        <f>VLOOKUP(VALUE($S354),lookups!I:J,2,FALSE)</f>
        <v>#N/A</v>
      </c>
      <c r="P354" s="84">
        <f>VLOOKUP(VALUE($S354),lookups!F:G,2,FALSE)</f>
        <v>25</v>
      </c>
      <c r="Q354" s="84" t="str">
        <f t="shared" si="20"/>
        <v/>
      </c>
      <c r="R354" s="84">
        <f t="shared" si="21"/>
        <v>245560</v>
      </c>
      <c r="S354" s="84">
        <f t="shared" si="22"/>
        <v>380749</v>
      </c>
      <c r="T354" s="84">
        <f t="shared" si="23"/>
        <v>385663</v>
      </c>
      <c r="W354" s="94"/>
      <c r="X354" s="94"/>
    </row>
    <row r="355" spans="1:24" ht="42.6" customHeight="1" x14ac:dyDescent="0.3">
      <c r="B355" s="84">
        <v>385672</v>
      </c>
      <c r="C355" s="85">
        <v>380749</v>
      </c>
      <c r="D355" s="84" t="s">
        <v>6</v>
      </c>
      <c r="E355" s="84" t="s">
        <v>345</v>
      </c>
      <c r="F355" s="86" t="s">
        <v>152</v>
      </c>
      <c r="G355" s="109" t="s">
        <v>1345</v>
      </c>
      <c r="H355" s="87">
        <v>3</v>
      </c>
      <c r="I355" s="89"/>
      <c r="J355" s="89"/>
      <c r="K355" s="89" t="s">
        <v>1614</v>
      </c>
      <c r="L355" s="84" t="s">
        <v>214</v>
      </c>
      <c r="M355" s="88" t="str">
        <f>VLOOKUP(L355,lookups!B:C,2,FALSE)</f>
        <v>Dave G</v>
      </c>
      <c r="N355" s="89" t="str">
        <f>VLOOKUP(K355,TeamLookup[],2,0)</f>
        <v>Cyber</v>
      </c>
      <c r="O355" s="84" t="e">
        <f>VLOOKUP(VALUE($S355),lookups!I:J,2,FALSE)</f>
        <v>#N/A</v>
      </c>
      <c r="P355" s="84">
        <f>VLOOKUP(VALUE($S355),lookups!F:G,2,FALSE)</f>
        <v>25</v>
      </c>
      <c r="Q355" s="84" t="str">
        <f t="shared" si="20"/>
        <v/>
      </c>
      <c r="R355" s="84">
        <f t="shared" si="21"/>
        <v>245560</v>
      </c>
      <c r="S355" s="84">
        <f t="shared" si="22"/>
        <v>380749</v>
      </c>
      <c r="T355" s="84">
        <f t="shared" si="23"/>
        <v>385672</v>
      </c>
      <c r="W355" s="94"/>
      <c r="X355" s="94"/>
    </row>
    <row r="356" spans="1:24" x14ac:dyDescent="0.3">
      <c r="B356" s="84">
        <v>385671</v>
      </c>
      <c r="C356" s="85">
        <v>380749</v>
      </c>
      <c r="D356" s="84" t="s">
        <v>6</v>
      </c>
      <c r="E356" s="84" t="s">
        <v>345</v>
      </c>
      <c r="F356" s="86" t="s">
        <v>453</v>
      </c>
      <c r="G356" s="109" t="s">
        <v>1345</v>
      </c>
      <c r="H356" s="87">
        <v>3</v>
      </c>
      <c r="I356" s="84"/>
      <c r="J356" s="84"/>
      <c r="K356" s="84" t="s">
        <v>1614</v>
      </c>
      <c r="L356" s="84" t="s">
        <v>182</v>
      </c>
      <c r="M356" s="88" t="str">
        <f>VLOOKUP(L356,lookups!B:C,2,FALSE)</f>
        <v>Ted</v>
      </c>
      <c r="N356" s="89" t="str">
        <f>VLOOKUP(K356,TeamLookup[],2,0)</f>
        <v>Cyber</v>
      </c>
      <c r="O356" s="84" t="e">
        <f>VLOOKUP(VALUE($S356),lookups!I:J,2,FALSE)</f>
        <v>#N/A</v>
      </c>
      <c r="P356" s="84">
        <f>VLOOKUP(VALUE($S356),lookups!F:G,2,FALSE)</f>
        <v>25</v>
      </c>
      <c r="Q356" s="84" t="str">
        <f t="shared" si="20"/>
        <v/>
      </c>
      <c r="R356" s="84">
        <f t="shared" si="21"/>
        <v>245560</v>
      </c>
      <c r="S356" s="84">
        <f t="shared" si="22"/>
        <v>380749</v>
      </c>
      <c r="T356" s="84">
        <f t="shared" si="23"/>
        <v>385671</v>
      </c>
      <c r="W356" s="94"/>
      <c r="X356" s="94"/>
    </row>
    <row r="357" spans="1:24" x14ac:dyDescent="0.3">
      <c r="B357" s="84">
        <v>385670</v>
      </c>
      <c r="C357" s="85">
        <v>380749</v>
      </c>
      <c r="D357" s="84" t="s">
        <v>6</v>
      </c>
      <c r="E357" s="84" t="s">
        <v>345</v>
      </c>
      <c r="F357" s="86" t="s">
        <v>123</v>
      </c>
      <c r="G357" s="109" t="s">
        <v>1345</v>
      </c>
      <c r="H357" s="87">
        <v>3</v>
      </c>
      <c r="I357" s="89"/>
      <c r="J357" s="89"/>
      <c r="K357" s="89" t="s">
        <v>1614</v>
      </c>
      <c r="L357" s="84" t="s">
        <v>1342</v>
      </c>
      <c r="M357" s="88" t="str">
        <f>VLOOKUP(L357,lookups!B:C,2,FALSE)</f>
        <v>John</v>
      </c>
      <c r="N357" s="89" t="str">
        <f>VLOOKUP(K357,TeamLookup[],2,0)</f>
        <v>Cyber</v>
      </c>
      <c r="O357" s="84" t="e">
        <f>VLOOKUP(VALUE($S357),lookups!I:J,2,FALSE)</f>
        <v>#N/A</v>
      </c>
      <c r="P357" s="84">
        <f>VLOOKUP(VALUE($S357),lookups!F:G,2,FALSE)</f>
        <v>25</v>
      </c>
      <c r="Q357" s="84" t="str">
        <f t="shared" si="20"/>
        <v/>
      </c>
      <c r="R357" s="84">
        <f t="shared" si="21"/>
        <v>245560</v>
      </c>
      <c r="S357" s="84">
        <f t="shared" si="22"/>
        <v>380749</v>
      </c>
      <c r="T357" s="84">
        <f t="shared" si="23"/>
        <v>385670</v>
      </c>
      <c r="W357" s="94"/>
      <c r="X357" s="94"/>
    </row>
    <row r="358" spans="1:24" ht="28.8" x14ac:dyDescent="0.3">
      <c r="B358" s="84">
        <v>385669</v>
      </c>
      <c r="C358" s="85">
        <v>380749</v>
      </c>
      <c r="D358" s="84" t="s">
        <v>6</v>
      </c>
      <c r="E358" s="84" t="s">
        <v>345</v>
      </c>
      <c r="F358" s="86" t="s">
        <v>184</v>
      </c>
      <c r="G358" s="109" t="s">
        <v>1346</v>
      </c>
      <c r="H358" s="87">
        <v>3</v>
      </c>
      <c r="I358" s="89"/>
      <c r="J358" s="89"/>
      <c r="K358" s="89" t="s">
        <v>1614</v>
      </c>
      <c r="L358" s="84" t="s">
        <v>1342</v>
      </c>
      <c r="M358" s="88" t="str">
        <f>VLOOKUP(L358,lookups!B:C,2,FALSE)</f>
        <v>John</v>
      </c>
      <c r="N358" s="89" t="str">
        <f>VLOOKUP(K358,TeamLookup[],2,0)</f>
        <v>Cyber</v>
      </c>
      <c r="O358" s="84" t="e">
        <f>VLOOKUP(VALUE($S358),lookups!I:J,2,FALSE)</f>
        <v>#N/A</v>
      </c>
      <c r="P358" s="84">
        <f>VLOOKUP(VALUE($S358),lookups!F:G,2,FALSE)</f>
        <v>25</v>
      </c>
      <c r="Q358" s="84" t="str">
        <f t="shared" si="20"/>
        <v/>
      </c>
      <c r="R358" s="84">
        <f t="shared" si="21"/>
        <v>245560</v>
      </c>
      <c r="S358" s="84">
        <f t="shared" si="22"/>
        <v>380749</v>
      </c>
      <c r="T358" s="84">
        <f t="shared" si="23"/>
        <v>385669</v>
      </c>
      <c r="W358" s="94"/>
      <c r="X358" s="94"/>
    </row>
    <row r="359" spans="1:24" x14ac:dyDescent="0.3">
      <c r="B359" s="84">
        <v>385661</v>
      </c>
      <c r="C359" s="85">
        <v>380749</v>
      </c>
      <c r="D359" s="84" t="s">
        <v>6</v>
      </c>
      <c r="E359" s="84" t="s">
        <v>345</v>
      </c>
      <c r="F359" s="86" t="s">
        <v>455</v>
      </c>
      <c r="G359" s="109" t="s">
        <v>1344</v>
      </c>
      <c r="H359" s="87">
        <v>3</v>
      </c>
      <c r="I359" s="89"/>
      <c r="J359" s="89"/>
      <c r="K359" s="89" t="s">
        <v>1614</v>
      </c>
      <c r="L359" s="84" t="s">
        <v>1342</v>
      </c>
      <c r="M359" s="88" t="str">
        <f>VLOOKUP(L359,lookups!B:C,2,FALSE)</f>
        <v>John</v>
      </c>
      <c r="N359" s="89" t="str">
        <f>VLOOKUP(K359,TeamLookup[],2,0)</f>
        <v>Cyber</v>
      </c>
      <c r="O359" s="84" t="e">
        <f>VLOOKUP(VALUE($S359),lookups!I:J,2,FALSE)</f>
        <v>#N/A</v>
      </c>
      <c r="P359" s="84">
        <f>VLOOKUP(VALUE($S359),lookups!F:G,2,FALSE)</f>
        <v>25</v>
      </c>
      <c r="Q359" s="84" t="str">
        <f t="shared" si="20"/>
        <v/>
      </c>
      <c r="R359" s="84">
        <f t="shared" si="21"/>
        <v>245560</v>
      </c>
      <c r="S359" s="84">
        <f t="shared" si="22"/>
        <v>380749</v>
      </c>
      <c r="T359" s="84">
        <f t="shared" si="23"/>
        <v>385661</v>
      </c>
    </row>
    <row r="360" spans="1:24" x14ac:dyDescent="0.3">
      <c r="A360" s="96"/>
      <c r="B360" s="84">
        <v>385657</v>
      </c>
      <c r="C360" s="85">
        <v>380749</v>
      </c>
      <c r="D360" s="84" t="s">
        <v>6</v>
      </c>
      <c r="E360" s="84" t="s">
        <v>345</v>
      </c>
      <c r="F360" s="86" t="s">
        <v>456</v>
      </c>
      <c r="G360" s="109" t="s">
        <v>1344</v>
      </c>
      <c r="H360" s="87">
        <v>5</v>
      </c>
      <c r="I360" s="89"/>
      <c r="J360" s="89"/>
      <c r="K360" s="89" t="s">
        <v>1614</v>
      </c>
      <c r="L360" s="84" t="s">
        <v>1342</v>
      </c>
      <c r="M360" s="88" t="str">
        <f>VLOOKUP(L360,lookups!B:C,2,FALSE)</f>
        <v>John</v>
      </c>
      <c r="N360" s="89" t="str">
        <f>VLOOKUP(K360,TeamLookup[],2,0)</f>
        <v>Cyber</v>
      </c>
      <c r="O360" s="84" t="e">
        <f>VLOOKUP(VALUE($S360),lookups!I:J,2,FALSE)</f>
        <v>#N/A</v>
      </c>
      <c r="P360" s="84">
        <f>VLOOKUP(VALUE($S360),lookups!F:G,2,FALSE)</f>
        <v>25</v>
      </c>
      <c r="Q360" s="84" t="str">
        <f t="shared" si="20"/>
        <v/>
      </c>
      <c r="R360" s="84">
        <f t="shared" si="21"/>
        <v>245560</v>
      </c>
      <c r="S360" s="84">
        <f t="shared" si="22"/>
        <v>380749</v>
      </c>
      <c r="T360" s="84">
        <f t="shared" si="23"/>
        <v>385657</v>
      </c>
    </row>
    <row r="361" spans="1:24" x14ac:dyDescent="0.3">
      <c r="B361" s="84">
        <v>1005362</v>
      </c>
      <c r="C361" s="85">
        <v>380749</v>
      </c>
      <c r="D361" s="84" t="s">
        <v>6</v>
      </c>
      <c r="E361" s="84" t="s">
        <v>345</v>
      </c>
      <c r="F361" s="86" t="s">
        <v>359</v>
      </c>
      <c r="G361" s="109" t="s">
        <v>1343</v>
      </c>
      <c r="H361" s="87">
        <v>2</v>
      </c>
      <c r="I361" s="89"/>
      <c r="J361" s="89"/>
      <c r="K361" s="89" t="s">
        <v>1616</v>
      </c>
      <c r="L361" s="84" t="s">
        <v>191</v>
      </c>
      <c r="M361" s="88" t="str">
        <f>VLOOKUP(L361,lookups!B:C,2,FALSE)</f>
        <v>Gerald V</v>
      </c>
      <c r="N361" s="89" t="str">
        <f>VLOOKUP(K361,TeamLookup[],2,0)</f>
        <v>Magic</v>
      </c>
      <c r="O361" s="84" t="e">
        <f>VLOOKUP(VALUE($S361),lookups!I:J,2,FALSE)</f>
        <v>#N/A</v>
      </c>
      <c r="P361" s="84">
        <f>VLOOKUP(VALUE($S361),lookups!F:G,2,FALSE)</f>
        <v>25</v>
      </c>
      <c r="Q361" s="84" t="str">
        <f t="shared" si="20"/>
        <v/>
      </c>
      <c r="R361" s="84">
        <f t="shared" si="21"/>
        <v>245560</v>
      </c>
      <c r="S361" s="84">
        <f t="shared" si="22"/>
        <v>380749</v>
      </c>
      <c r="T361" s="84">
        <f t="shared" si="23"/>
        <v>1005362</v>
      </c>
    </row>
    <row r="362" spans="1:24" x14ac:dyDescent="0.3">
      <c r="B362" s="84">
        <v>392605</v>
      </c>
      <c r="C362" s="85">
        <v>380749</v>
      </c>
      <c r="D362" s="84" t="s">
        <v>6</v>
      </c>
      <c r="E362" s="84" t="s">
        <v>345</v>
      </c>
      <c r="F362" s="86" t="s">
        <v>122</v>
      </c>
      <c r="G362" s="109" t="s">
        <v>1343</v>
      </c>
      <c r="H362" s="87">
        <v>2</v>
      </c>
      <c r="I362" s="84"/>
      <c r="J362" s="84"/>
      <c r="K362" s="84" t="s">
        <v>1614</v>
      </c>
      <c r="L362" s="84" t="s">
        <v>1342</v>
      </c>
      <c r="M362" s="88" t="str">
        <f>VLOOKUP(L362,lookups!B:C,2,FALSE)</f>
        <v>John</v>
      </c>
      <c r="N362" s="89" t="str">
        <f>VLOOKUP(K362,TeamLookup[],2,0)</f>
        <v>Cyber</v>
      </c>
      <c r="O362" s="84" t="e">
        <f>VLOOKUP(VALUE($S362),lookups!I:J,2,FALSE)</f>
        <v>#N/A</v>
      </c>
      <c r="P362" s="84">
        <f>VLOOKUP(VALUE($S362),lookups!F:G,2,FALSE)</f>
        <v>25</v>
      </c>
      <c r="Q362" s="84" t="str">
        <f t="shared" si="20"/>
        <v/>
      </c>
      <c r="R362" s="84">
        <f t="shared" si="21"/>
        <v>245560</v>
      </c>
      <c r="S362" s="84">
        <f t="shared" si="22"/>
        <v>380749</v>
      </c>
      <c r="T362" s="84">
        <f t="shared" si="23"/>
        <v>392605</v>
      </c>
    </row>
    <row r="363" spans="1:24" x14ac:dyDescent="0.3">
      <c r="B363" s="84">
        <v>392603</v>
      </c>
      <c r="C363" s="85">
        <v>380749</v>
      </c>
      <c r="D363" s="84" t="s">
        <v>6</v>
      </c>
      <c r="E363" s="84" t="s">
        <v>345</v>
      </c>
      <c r="F363" s="86" t="s">
        <v>120</v>
      </c>
      <c r="G363" s="109" t="s">
        <v>1343</v>
      </c>
      <c r="H363" s="87">
        <v>3</v>
      </c>
      <c r="I363" s="89"/>
      <c r="J363" s="89"/>
      <c r="K363" s="89" t="s">
        <v>1614</v>
      </c>
      <c r="L363" s="84" t="s">
        <v>1342</v>
      </c>
      <c r="M363" s="88" t="str">
        <f>VLOOKUP(L363,lookups!B:C,2,FALSE)</f>
        <v>John</v>
      </c>
      <c r="N363" s="89" t="str">
        <f>VLOOKUP(K363,TeamLookup[],2,0)</f>
        <v>Cyber</v>
      </c>
      <c r="O363" s="84" t="e">
        <f>VLOOKUP(VALUE($S363),lookups!I:J,2,FALSE)</f>
        <v>#N/A</v>
      </c>
      <c r="P363" s="84">
        <f>VLOOKUP(VALUE($S363),lookups!F:G,2,FALSE)</f>
        <v>25</v>
      </c>
      <c r="Q363" s="84" t="str">
        <f t="shared" si="20"/>
        <v/>
      </c>
      <c r="R363" s="84">
        <f t="shared" si="21"/>
        <v>245560</v>
      </c>
      <c r="S363" s="84">
        <f t="shared" si="22"/>
        <v>380749</v>
      </c>
      <c r="T363" s="84">
        <f t="shared" si="23"/>
        <v>392603</v>
      </c>
    </row>
    <row r="364" spans="1:24" x14ac:dyDescent="0.3">
      <c r="B364" s="84">
        <v>380749</v>
      </c>
      <c r="C364" s="85">
        <v>245560</v>
      </c>
      <c r="D364" s="84" t="s">
        <v>24</v>
      </c>
      <c r="E364" s="84" t="s">
        <v>345</v>
      </c>
      <c r="F364" s="86" t="s">
        <v>510</v>
      </c>
      <c r="G364" s="109" t="s">
        <v>1343</v>
      </c>
      <c r="H364" s="87"/>
      <c r="I364" s="84" t="s">
        <v>397</v>
      </c>
      <c r="J364" s="84"/>
      <c r="K364" s="84" t="s">
        <v>1614</v>
      </c>
      <c r="L364" s="84" t="s">
        <v>129</v>
      </c>
      <c r="M364" s="88" t="str">
        <f>VLOOKUP(L364,lookups!B:C,2,FALSE)</f>
        <v>Derek</v>
      </c>
      <c r="N364" s="89" t="str">
        <f>VLOOKUP(K364,TeamLookup[],2,0)</f>
        <v>Cyber</v>
      </c>
      <c r="O364" s="84" t="e">
        <f>VLOOKUP(VALUE($S364),lookups!I:J,2,FALSE)</f>
        <v>#N/A</v>
      </c>
      <c r="P364" s="84">
        <f>VLOOKUP(VALUE($S364),lookups!F:G,2,FALSE)</f>
        <v>25</v>
      </c>
      <c r="Q364" s="84" t="str">
        <f t="shared" si="20"/>
        <v>ParentNotInCyberQuery</v>
      </c>
      <c r="R364" s="84">
        <f t="shared" si="21"/>
        <v>245560</v>
      </c>
      <c r="S364" s="84">
        <f t="shared" si="22"/>
        <v>380749</v>
      </c>
      <c r="T364" s="84">
        <f t="shared" si="23"/>
        <v>0</v>
      </c>
    </row>
    <row r="365" spans="1:24" x14ac:dyDescent="0.3">
      <c r="B365" s="84">
        <v>1008477</v>
      </c>
      <c r="C365" s="85">
        <v>392530</v>
      </c>
      <c r="D365" s="84" t="s">
        <v>6</v>
      </c>
      <c r="E365" s="84" t="s">
        <v>345</v>
      </c>
      <c r="F365" s="86" t="s">
        <v>313</v>
      </c>
      <c r="G365" s="109" t="s">
        <v>217</v>
      </c>
      <c r="H365" s="87">
        <v>3</v>
      </c>
      <c r="I365" s="89"/>
      <c r="J365" s="89"/>
      <c r="K365" s="89" t="s">
        <v>1614</v>
      </c>
      <c r="L365" s="84" t="s">
        <v>1342</v>
      </c>
      <c r="M365" s="88" t="str">
        <f>VLOOKUP(L365,lookups!B:C,2,FALSE)</f>
        <v>John</v>
      </c>
      <c r="N365" s="89" t="str">
        <f>VLOOKUP(K365,TeamLookup[],2,0)</f>
        <v>Cyber</v>
      </c>
      <c r="O365" s="84" t="e">
        <f>VLOOKUP(VALUE($S365),lookups!I:J,2,FALSE)</f>
        <v>#N/A</v>
      </c>
      <c r="P365" s="84" t="e">
        <f>VLOOKUP(VALUE($S365),lookups!F:G,2,FALSE)</f>
        <v>#N/A</v>
      </c>
      <c r="Q365" s="84" t="str">
        <f t="shared" si="20"/>
        <v/>
      </c>
      <c r="R365" s="84">
        <f t="shared" si="21"/>
        <v>245560</v>
      </c>
      <c r="S365" s="84">
        <f t="shared" si="22"/>
        <v>392530</v>
      </c>
      <c r="T365" s="84">
        <f t="shared" si="23"/>
        <v>1008477</v>
      </c>
    </row>
    <row r="366" spans="1:24" x14ac:dyDescent="0.3">
      <c r="B366" s="84">
        <v>1008476</v>
      </c>
      <c r="C366" s="85">
        <v>392530</v>
      </c>
      <c r="D366" s="84" t="s">
        <v>6</v>
      </c>
      <c r="E366" s="84" t="s">
        <v>345</v>
      </c>
      <c r="F366" s="86" t="s">
        <v>313</v>
      </c>
      <c r="G366" s="109" t="s">
        <v>217</v>
      </c>
      <c r="H366" s="87">
        <v>1</v>
      </c>
      <c r="I366" s="84"/>
      <c r="J366" s="84"/>
      <c r="K366" s="84" t="s">
        <v>1614</v>
      </c>
      <c r="L366" s="84" t="s">
        <v>1342</v>
      </c>
      <c r="M366" s="88" t="str">
        <f>VLOOKUP(L366,lookups!B:C,2,FALSE)</f>
        <v>John</v>
      </c>
      <c r="N366" s="89" t="str">
        <f>VLOOKUP(K366,TeamLookup[],2,0)</f>
        <v>Cyber</v>
      </c>
      <c r="O366" s="84" t="e">
        <f>VLOOKUP(VALUE($S366),lookups!I:J,2,FALSE)</f>
        <v>#N/A</v>
      </c>
      <c r="P366" s="84" t="e">
        <f>VLOOKUP(VALUE($S366),lookups!F:G,2,FALSE)</f>
        <v>#N/A</v>
      </c>
      <c r="Q366" s="84" t="str">
        <f t="shared" si="20"/>
        <v/>
      </c>
      <c r="R366" s="84">
        <f t="shared" si="21"/>
        <v>245560</v>
      </c>
      <c r="S366" s="84">
        <f t="shared" si="22"/>
        <v>392530</v>
      </c>
      <c r="T366" s="84">
        <f t="shared" si="23"/>
        <v>1008476</v>
      </c>
    </row>
    <row r="367" spans="1:24" x14ac:dyDescent="0.3">
      <c r="B367" s="84">
        <v>1008478</v>
      </c>
      <c r="C367" s="85">
        <v>392530</v>
      </c>
      <c r="D367" s="84" t="s">
        <v>6</v>
      </c>
      <c r="E367" s="84" t="s">
        <v>345</v>
      </c>
      <c r="F367" s="86" t="s">
        <v>312</v>
      </c>
      <c r="G367" s="119" t="s">
        <v>267</v>
      </c>
      <c r="H367" s="87">
        <v>1</v>
      </c>
      <c r="I367" s="89"/>
      <c r="J367" s="89"/>
      <c r="K367" s="89" t="s">
        <v>1614</v>
      </c>
      <c r="L367" s="84" t="s">
        <v>1342</v>
      </c>
      <c r="M367" s="88" t="str">
        <f>VLOOKUP(L367,lookups!B:C,2,FALSE)</f>
        <v>John</v>
      </c>
      <c r="N367" s="89" t="str">
        <f>VLOOKUP(K367,TeamLookup[],2,0)</f>
        <v>Cyber</v>
      </c>
      <c r="O367" s="84" t="e">
        <f>VLOOKUP(VALUE($S367),lookups!I:J,2,FALSE)</f>
        <v>#N/A</v>
      </c>
      <c r="P367" s="84" t="e">
        <f>VLOOKUP(VALUE($S367),lookups!F:G,2,FALSE)</f>
        <v>#N/A</v>
      </c>
      <c r="Q367" s="84" t="str">
        <f t="shared" si="20"/>
        <v/>
      </c>
      <c r="R367" s="84">
        <f t="shared" si="21"/>
        <v>245560</v>
      </c>
      <c r="S367" s="84">
        <f t="shared" si="22"/>
        <v>392530</v>
      </c>
      <c r="T367" s="84">
        <f t="shared" si="23"/>
        <v>1008478</v>
      </c>
    </row>
    <row r="368" spans="1:24" ht="31.2" customHeight="1" x14ac:dyDescent="0.3">
      <c r="A368" s="96"/>
      <c r="B368" s="84">
        <v>395418</v>
      </c>
      <c r="C368" s="85">
        <v>392530</v>
      </c>
      <c r="D368" s="84" t="s">
        <v>6</v>
      </c>
      <c r="E368" s="84" t="s">
        <v>345</v>
      </c>
      <c r="F368" s="86" t="s">
        <v>334</v>
      </c>
      <c r="G368" s="109" t="s">
        <v>267</v>
      </c>
      <c r="H368" s="87">
        <v>3</v>
      </c>
      <c r="I368" s="84"/>
      <c r="J368" s="84"/>
      <c r="K368" s="84" t="s">
        <v>1614</v>
      </c>
      <c r="L368" s="84" t="s">
        <v>1342</v>
      </c>
      <c r="M368" s="88" t="str">
        <f>VLOOKUP(L368,lookups!B:C,2,FALSE)</f>
        <v>John</v>
      </c>
      <c r="N368" s="89" t="str">
        <f>VLOOKUP(K368,TeamLookup[],2,0)</f>
        <v>Cyber</v>
      </c>
      <c r="O368" s="84" t="e">
        <f>VLOOKUP(VALUE($S368),lookups!I:J,2,FALSE)</f>
        <v>#N/A</v>
      </c>
      <c r="P368" s="84" t="e">
        <f>VLOOKUP(VALUE($S368),lookups!F:G,2,FALSE)</f>
        <v>#N/A</v>
      </c>
      <c r="Q368" s="84" t="str">
        <f t="shared" si="20"/>
        <v/>
      </c>
      <c r="R368" s="84">
        <f t="shared" si="21"/>
        <v>245560</v>
      </c>
      <c r="S368" s="84">
        <f t="shared" si="22"/>
        <v>392530</v>
      </c>
      <c r="T368" s="84">
        <f t="shared" si="23"/>
        <v>395418</v>
      </c>
    </row>
    <row r="369" spans="1:20" ht="28.8" x14ac:dyDescent="0.3">
      <c r="B369" s="84">
        <v>395417</v>
      </c>
      <c r="C369" s="85">
        <v>392530</v>
      </c>
      <c r="D369" s="84" t="s">
        <v>6</v>
      </c>
      <c r="E369" s="84" t="s">
        <v>345</v>
      </c>
      <c r="F369" s="86" t="s">
        <v>184</v>
      </c>
      <c r="G369" s="109" t="s">
        <v>267</v>
      </c>
      <c r="H369" s="87">
        <v>3</v>
      </c>
      <c r="I369" s="89"/>
      <c r="J369" s="89"/>
      <c r="K369" s="89" t="s">
        <v>1614</v>
      </c>
      <c r="L369" s="84" t="s">
        <v>1342</v>
      </c>
      <c r="M369" s="88" t="str">
        <f>VLOOKUP(L369,lookups!B:C,2,FALSE)</f>
        <v>John</v>
      </c>
      <c r="N369" s="89" t="str">
        <f>VLOOKUP(K369,TeamLookup[],2,0)</f>
        <v>Cyber</v>
      </c>
      <c r="O369" s="84" t="e">
        <f>VLOOKUP(VALUE($S369),lookups!I:J,2,FALSE)</f>
        <v>#N/A</v>
      </c>
      <c r="P369" s="84" t="e">
        <f>VLOOKUP(VALUE($S369),lookups!F:G,2,FALSE)</f>
        <v>#N/A</v>
      </c>
      <c r="Q369" s="84" t="str">
        <f t="shared" si="20"/>
        <v/>
      </c>
      <c r="R369" s="84">
        <f t="shared" si="21"/>
        <v>245560</v>
      </c>
      <c r="S369" s="84">
        <f t="shared" si="22"/>
        <v>392530</v>
      </c>
      <c r="T369" s="84">
        <f t="shared" si="23"/>
        <v>395417</v>
      </c>
    </row>
    <row r="370" spans="1:20" x14ac:dyDescent="0.3">
      <c r="A370" s="96"/>
      <c r="B370" s="84">
        <v>395416</v>
      </c>
      <c r="C370" s="85">
        <v>392530</v>
      </c>
      <c r="D370" s="84" t="s">
        <v>6</v>
      </c>
      <c r="E370" s="84" t="s">
        <v>345</v>
      </c>
      <c r="F370" s="86" t="s">
        <v>185</v>
      </c>
      <c r="G370" s="109" t="s">
        <v>267</v>
      </c>
      <c r="H370" s="87">
        <v>1</v>
      </c>
      <c r="I370" s="89"/>
      <c r="J370" s="89"/>
      <c r="K370" s="89" t="s">
        <v>1614</v>
      </c>
      <c r="L370" s="84" t="s">
        <v>182</v>
      </c>
      <c r="M370" s="88" t="str">
        <f>VLOOKUP(L370,lookups!B:C,2,FALSE)</f>
        <v>Ted</v>
      </c>
      <c r="N370" s="89" t="str">
        <f>VLOOKUP(K370,TeamLookup[],2,0)</f>
        <v>Cyber</v>
      </c>
      <c r="O370" s="84" t="e">
        <f>VLOOKUP(VALUE($S370),lookups!I:J,2,FALSE)</f>
        <v>#N/A</v>
      </c>
      <c r="P370" s="84" t="e">
        <f>VLOOKUP(VALUE($S370),lookups!F:G,2,FALSE)</f>
        <v>#N/A</v>
      </c>
      <c r="Q370" s="84" t="str">
        <f t="shared" si="20"/>
        <v/>
      </c>
      <c r="R370" s="84">
        <f t="shared" si="21"/>
        <v>245560</v>
      </c>
      <c r="S370" s="84">
        <f t="shared" si="22"/>
        <v>392530</v>
      </c>
      <c r="T370" s="84">
        <f t="shared" si="23"/>
        <v>395416</v>
      </c>
    </row>
    <row r="371" spans="1:20" ht="40.200000000000003" customHeight="1" x14ac:dyDescent="0.3">
      <c r="B371" s="84">
        <v>395410</v>
      </c>
      <c r="C371" s="85">
        <v>392530</v>
      </c>
      <c r="D371" s="84" t="s">
        <v>6</v>
      </c>
      <c r="E371" s="84" t="s">
        <v>345</v>
      </c>
      <c r="F371" s="86" t="s">
        <v>188</v>
      </c>
      <c r="G371" s="109" t="s">
        <v>267</v>
      </c>
      <c r="H371" s="87">
        <v>3</v>
      </c>
      <c r="I371" s="84"/>
      <c r="J371" s="84"/>
      <c r="K371" s="84" t="s">
        <v>1614</v>
      </c>
      <c r="L371" s="84" t="s">
        <v>214</v>
      </c>
      <c r="M371" s="88" t="str">
        <f>VLOOKUP(L371,lookups!B:C,2,FALSE)</f>
        <v>Dave G</v>
      </c>
      <c r="N371" s="89" t="str">
        <f>VLOOKUP(K371,TeamLookup[],2,0)</f>
        <v>Cyber</v>
      </c>
      <c r="O371" s="84" t="e">
        <f>VLOOKUP(VALUE($S371),lookups!I:J,2,FALSE)</f>
        <v>#N/A</v>
      </c>
      <c r="P371" s="84" t="e">
        <f>VLOOKUP(VALUE($S371),lookups!F:G,2,FALSE)</f>
        <v>#N/A</v>
      </c>
      <c r="Q371" s="84" t="str">
        <f t="shared" si="20"/>
        <v/>
      </c>
      <c r="R371" s="84">
        <f t="shared" si="21"/>
        <v>245560</v>
      </c>
      <c r="S371" s="84">
        <f t="shared" si="22"/>
        <v>392530</v>
      </c>
      <c r="T371" s="84">
        <f t="shared" si="23"/>
        <v>395410</v>
      </c>
    </row>
    <row r="372" spans="1:20" x14ac:dyDescent="0.3">
      <c r="A372" s="96"/>
      <c r="B372" s="84">
        <v>395425</v>
      </c>
      <c r="C372" s="85">
        <v>392530</v>
      </c>
      <c r="D372" s="84" t="s">
        <v>6</v>
      </c>
      <c r="E372" s="84" t="s">
        <v>345</v>
      </c>
      <c r="F372" s="86" t="s">
        <v>223</v>
      </c>
      <c r="G372" s="109" t="s">
        <v>265</v>
      </c>
      <c r="H372" s="87">
        <v>3</v>
      </c>
      <c r="I372" s="89"/>
      <c r="J372" s="89"/>
      <c r="K372" s="89" t="s">
        <v>1614</v>
      </c>
      <c r="L372" s="84" t="s">
        <v>182</v>
      </c>
      <c r="M372" s="88" t="str">
        <f>VLOOKUP(L372,lookups!B:C,2,FALSE)</f>
        <v>Ted</v>
      </c>
      <c r="N372" s="89" t="str">
        <f>VLOOKUP(K372,TeamLookup[],2,0)</f>
        <v>Cyber</v>
      </c>
      <c r="O372" s="84" t="e">
        <f>VLOOKUP(VALUE($S372),lookups!I:J,2,FALSE)</f>
        <v>#N/A</v>
      </c>
      <c r="P372" s="84" t="e">
        <f>VLOOKUP(VALUE($S372),lookups!F:G,2,FALSE)</f>
        <v>#N/A</v>
      </c>
      <c r="Q372" s="84" t="str">
        <f t="shared" si="20"/>
        <v/>
      </c>
      <c r="R372" s="84">
        <f t="shared" si="21"/>
        <v>245560</v>
      </c>
      <c r="S372" s="84">
        <f t="shared" si="22"/>
        <v>392530</v>
      </c>
      <c r="T372" s="84">
        <f t="shared" si="23"/>
        <v>395425</v>
      </c>
    </row>
    <row r="373" spans="1:20" ht="30.6" customHeight="1" x14ac:dyDescent="0.3">
      <c r="B373" s="84">
        <v>395424</v>
      </c>
      <c r="C373" s="85">
        <v>392530</v>
      </c>
      <c r="D373" s="84" t="s">
        <v>6</v>
      </c>
      <c r="E373" s="84" t="s">
        <v>345</v>
      </c>
      <c r="F373" s="86" t="s">
        <v>332</v>
      </c>
      <c r="G373" s="109" t="s">
        <v>265</v>
      </c>
      <c r="H373" s="87">
        <v>2</v>
      </c>
      <c r="I373" s="89"/>
      <c r="J373" s="89"/>
      <c r="K373" s="89" t="s">
        <v>1614</v>
      </c>
      <c r="L373" s="84" t="s">
        <v>1342</v>
      </c>
      <c r="M373" s="88" t="str">
        <f>VLOOKUP(L373,lookups!B:C,2,FALSE)</f>
        <v>John</v>
      </c>
      <c r="N373" s="89" t="str">
        <f>VLOOKUP(K373,TeamLookup[],2,0)</f>
        <v>Cyber</v>
      </c>
      <c r="O373" s="84" t="e">
        <f>VLOOKUP(VALUE($S373),lookups!I:J,2,FALSE)</f>
        <v>#N/A</v>
      </c>
      <c r="P373" s="84" t="e">
        <f>VLOOKUP(VALUE($S373),lookups!F:G,2,FALSE)</f>
        <v>#N/A</v>
      </c>
      <c r="Q373" s="84" t="str">
        <f t="shared" si="20"/>
        <v/>
      </c>
      <c r="R373" s="84">
        <f t="shared" si="21"/>
        <v>245560</v>
      </c>
      <c r="S373" s="84">
        <f t="shared" si="22"/>
        <v>392530</v>
      </c>
      <c r="T373" s="84">
        <f t="shared" si="23"/>
        <v>395424</v>
      </c>
    </row>
    <row r="374" spans="1:20" x14ac:dyDescent="0.3">
      <c r="B374" s="84">
        <v>395407</v>
      </c>
      <c r="C374" s="85">
        <v>392530</v>
      </c>
      <c r="D374" s="84" t="s">
        <v>6</v>
      </c>
      <c r="E374" s="84" t="s">
        <v>345</v>
      </c>
      <c r="F374" s="86" t="s">
        <v>225</v>
      </c>
      <c r="G374" s="109" t="s">
        <v>265</v>
      </c>
      <c r="H374" s="87">
        <v>5</v>
      </c>
      <c r="I374" s="89"/>
      <c r="J374" s="89"/>
      <c r="K374" s="89" t="s">
        <v>1614</v>
      </c>
      <c r="L374" s="84" t="s">
        <v>1342</v>
      </c>
      <c r="M374" s="88" t="str">
        <f>VLOOKUP(L374,lookups!B:C,2,FALSE)</f>
        <v>John</v>
      </c>
      <c r="N374" s="89" t="str">
        <f>VLOOKUP(K374,TeamLookup[],2,0)</f>
        <v>Cyber</v>
      </c>
      <c r="O374" s="84" t="e">
        <f>VLOOKUP(VALUE($S374),lookups!I:J,2,FALSE)</f>
        <v>#N/A</v>
      </c>
      <c r="P374" s="84" t="e">
        <f>VLOOKUP(VALUE($S374),lookups!F:G,2,FALSE)</f>
        <v>#N/A</v>
      </c>
      <c r="Q374" s="84" t="str">
        <f t="shared" si="20"/>
        <v/>
      </c>
      <c r="R374" s="84">
        <f t="shared" si="21"/>
        <v>245560</v>
      </c>
      <c r="S374" s="84">
        <f t="shared" si="22"/>
        <v>392530</v>
      </c>
      <c r="T374" s="84">
        <f t="shared" si="23"/>
        <v>395407</v>
      </c>
    </row>
    <row r="375" spans="1:20" ht="18.600000000000001" customHeight="1" x14ac:dyDescent="0.3">
      <c r="B375" s="84">
        <v>1016419</v>
      </c>
      <c r="C375" s="85">
        <v>392530</v>
      </c>
      <c r="D375" s="84" t="s">
        <v>6</v>
      </c>
      <c r="E375" s="84" t="s">
        <v>345</v>
      </c>
      <c r="F375" s="86" t="s">
        <v>1444</v>
      </c>
      <c r="G375" s="109" t="s">
        <v>263</v>
      </c>
      <c r="H375" s="87">
        <v>2</v>
      </c>
      <c r="I375" s="89"/>
      <c r="J375" s="89"/>
      <c r="K375" s="89" t="s">
        <v>1614</v>
      </c>
      <c r="L375" s="84" t="s">
        <v>1342</v>
      </c>
      <c r="M375" s="88" t="str">
        <f>VLOOKUP(L375,lookups!B:C,2,FALSE)</f>
        <v>John</v>
      </c>
      <c r="N375" s="89" t="str">
        <f>VLOOKUP(K375,TeamLookup[],2,0)</f>
        <v>Cyber</v>
      </c>
      <c r="O375" s="84" t="e">
        <f>VLOOKUP(VALUE($S375),lookups!I:J,2,FALSE)</f>
        <v>#N/A</v>
      </c>
      <c r="P375" s="84" t="e">
        <f>VLOOKUP(VALUE($S375),lookups!F:G,2,FALSE)</f>
        <v>#N/A</v>
      </c>
      <c r="Q375" s="84" t="str">
        <f t="shared" si="20"/>
        <v/>
      </c>
      <c r="R375" s="84">
        <f t="shared" si="21"/>
        <v>245560</v>
      </c>
      <c r="S375" s="84">
        <f t="shared" si="22"/>
        <v>392530</v>
      </c>
      <c r="T375" s="84">
        <f t="shared" si="23"/>
        <v>1016419</v>
      </c>
    </row>
    <row r="376" spans="1:20" x14ac:dyDescent="0.3">
      <c r="B376" s="84">
        <v>395423</v>
      </c>
      <c r="C376" s="85">
        <v>392530</v>
      </c>
      <c r="D376" s="84" t="s">
        <v>6</v>
      </c>
      <c r="E376" s="84" t="s">
        <v>345</v>
      </c>
      <c r="F376" s="86" t="s">
        <v>120</v>
      </c>
      <c r="G376" s="109" t="s">
        <v>263</v>
      </c>
      <c r="H376" s="87">
        <v>3</v>
      </c>
      <c r="I376" s="84"/>
      <c r="J376" s="84"/>
      <c r="K376" s="84" t="s">
        <v>1614</v>
      </c>
      <c r="L376" s="84" t="s">
        <v>1342</v>
      </c>
      <c r="M376" s="88" t="str">
        <f>VLOOKUP(L376,lookups!B:C,2,FALSE)</f>
        <v>John</v>
      </c>
      <c r="N376" s="89" t="str">
        <f>VLOOKUP(K376,TeamLookup[],2,0)</f>
        <v>Cyber</v>
      </c>
      <c r="O376" s="84" t="e">
        <f>VLOOKUP(VALUE($S376),lookups!I:J,2,FALSE)</f>
        <v>#N/A</v>
      </c>
      <c r="P376" s="84" t="e">
        <f>VLOOKUP(VALUE($S376),lookups!F:G,2,FALSE)</f>
        <v>#N/A</v>
      </c>
      <c r="Q376" s="84" t="str">
        <f t="shared" si="20"/>
        <v/>
      </c>
      <c r="R376" s="84">
        <f t="shared" si="21"/>
        <v>245560</v>
      </c>
      <c r="S376" s="84">
        <f t="shared" si="22"/>
        <v>392530</v>
      </c>
      <c r="T376" s="84">
        <f t="shared" si="23"/>
        <v>395423</v>
      </c>
    </row>
    <row r="377" spans="1:20" x14ac:dyDescent="0.3">
      <c r="A377" s="96"/>
      <c r="B377" s="84">
        <v>395412</v>
      </c>
      <c r="C377" s="85">
        <v>392530</v>
      </c>
      <c r="D377" s="84" t="s">
        <v>6</v>
      </c>
      <c r="E377" s="84" t="s">
        <v>345</v>
      </c>
      <c r="F377" s="86" t="s">
        <v>224</v>
      </c>
      <c r="G377" s="109" t="s">
        <v>263</v>
      </c>
      <c r="H377" s="87">
        <v>3</v>
      </c>
      <c r="I377" s="84"/>
      <c r="J377" s="84"/>
      <c r="K377" s="84" t="s">
        <v>1614</v>
      </c>
      <c r="L377" s="84" t="s">
        <v>1342</v>
      </c>
      <c r="M377" s="88" t="str">
        <f>VLOOKUP(L377,lookups!B:C,2,FALSE)</f>
        <v>John</v>
      </c>
      <c r="N377" s="89" t="str">
        <f>VLOOKUP(K377,TeamLookup[],2,0)</f>
        <v>Cyber</v>
      </c>
      <c r="O377" s="84" t="e">
        <f>VLOOKUP(VALUE($S377),lookups!I:J,2,FALSE)</f>
        <v>#N/A</v>
      </c>
      <c r="P377" s="84" t="e">
        <f>VLOOKUP(VALUE($S377),lookups!F:G,2,FALSE)</f>
        <v>#N/A</v>
      </c>
      <c r="Q377" s="84" t="str">
        <f t="shared" si="20"/>
        <v/>
      </c>
      <c r="R377" s="84">
        <f t="shared" si="21"/>
        <v>245560</v>
      </c>
      <c r="S377" s="84">
        <f t="shared" si="22"/>
        <v>392530</v>
      </c>
      <c r="T377" s="84">
        <f t="shared" si="23"/>
        <v>395412</v>
      </c>
    </row>
    <row r="378" spans="1:20" x14ac:dyDescent="0.3">
      <c r="B378" s="84">
        <v>395411</v>
      </c>
      <c r="C378" s="85">
        <v>392530</v>
      </c>
      <c r="D378" s="84" t="s">
        <v>6</v>
      </c>
      <c r="E378" s="84" t="s">
        <v>345</v>
      </c>
      <c r="F378" s="86" t="s">
        <v>187</v>
      </c>
      <c r="G378" s="109" t="s">
        <v>263</v>
      </c>
      <c r="H378" s="87">
        <v>2</v>
      </c>
      <c r="I378" s="89"/>
      <c r="J378" s="89"/>
      <c r="K378" s="89" t="s">
        <v>1614</v>
      </c>
      <c r="L378" s="84" t="s">
        <v>214</v>
      </c>
      <c r="M378" s="88" t="str">
        <f>VLOOKUP(L378,lookups!B:C,2,FALSE)</f>
        <v>Dave G</v>
      </c>
      <c r="N378" s="89" t="str">
        <f>VLOOKUP(K378,TeamLookup[],2,0)</f>
        <v>Cyber</v>
      </c>
      <c r="O378" s="84" t="e">
        <f>VLOOKUP(VALUE($S378),lookups!I:J,2,FALSE)</f>
        <v>#N/A</v>
      </c>
      <c r="P378" s="84" t="e">
        <f>VLOOKUP(VALUE($S378),lookups!F:G,2,FALSE)</f>
        <v>#N/A</v>
      </c>
      <c r="Q378" s="84" t="str">
        <f t="shared" si="20"/>
        <v/>
      </c>
      <c r="R378" s="84">
        <f t="shared" si="21"/>
        <v>245560</v>
      </c>
      <c r="S378" s="84">
        <f t="shared" si="22"/>
        <v>392530</v>
      </c>
      <c r="T378" s="84">
        <f t="shared" si="23"/>
        <v>395411</v>
      </c>
    </row>
    <row r="379" spans="1:20" ht="56.4" customHeight="1" x14ac:dyDescent="0.3">
      <c r="A379" s="96"/>
      <c r="B379" s="84">
        <v>1016420</v>
      </c>
      <c r="C379" s="85">
        <v>392530</v>
      </c>
      <c r="D379" s="84" t="s">
        <v>6</v>
      </c>
      <c r="E379" s="84" t="s">
        <v>345</v>
      </c>
      <c r="F379" s="86" t="s">
        <v>1474</v>
      </c>
      <c r="G379" s="109" t="s">
        <v>262</v>
      </c>
      <c r="H379" s="87">
        <v>1</v>
      </c>
      <c r="I379" s="89"/>
      <c r="J379" s="89"/>
      <c r="K379" s="89" t="s">
        <v>1614</v>
      </c>
      <c r="L379" s="84" t="s">
        <v>1342</v>
      </c>
      <c r="M379" s="88" t="str">
        <f>VLOOKUP(L379,lookups!B:C,2,FALSE)</f>
        <v>John</v>
      </c>
      <c r="N379" s="89" t="str">
        <f>VLOOKUP(K379,TeamLookup[],2,0)</f>
        <v>Cyber</v>
      </c>
      <c r="O379" s="84" t="e">
        <f>VLOOKUP(VALUE($S379),lookups!I:J,2,FALSE)</f>
        <v>#N/A</v>
      </c>
      <c r="P379" s="84" t="e">
        <f>VLOOKUP(VALUE($S379),lookups!F:G,2,FALSE)</f>
        <v>#N/A</v>
      </c>
      <c r="Q379" s="84" t="str">
        <f t="shared" si="20"/>
        <v/>
      </c>
      <c r="R379" s="84">
        <f t="shared" si="21"/>
        <v>245560</v>
      </c>
      <c r="S379" s="84">
        <f t="shared" si="22"/>
        <v>392530</v>
      </c>
      <c r="T379" s="84">
        <f t="shared" si="23"/>
        <v>1016420</v>
      </c>
    </row>
    <row r="380" spans="1:20" x14ac:dyDescent="0.3">
      <c r="B380" s="84">
        <v>395422</v>
      </c>
      <c r="C380" s="85">
        <v>392530</v>
      </c>
      <c r="D380" s="84" t="s">
        <v>6</v>
      </c>
      <c r="E380" s="84" t="s">
        <v>345</v>
      </c>
      <c r="F380" s="86" t="s">
        <v>333</v>
      </c>
      <c r="G380" s="109" t="s">
        <v>262</v>
      </c>
      <c r="H380" s="87">
        <v>2</v>
      </c>
      <c r="I380" s="84"/>
      <c r="J380" s="84"/>
      <c r="K380" s="84" t="s">
        <v>1614</v>
      </c>
      <c r="L380" s="84" t="s">
        <v>1342</v>
      </c>
      <c r="M380" s="88" t="str">
        <f>VLOOKUP(L380,lookups!B:C,2,FALSE)</f>
        <v>John</v>
      </c>
      <c r="N380" s="89" t="str">
        <f>VLOOKUP(K380,TeamLookup[],2,0)</f>
        <v>Cyber</v>
      </c>
      <c r="O380" s="84" t="e">
        <f>VLOOKUP(VALUE($S380),lookups!I:J,2,FALSE)</f>
        <v>#N/A</v>
      </c>
      <c r="P380" s="84" t="e">
        <f>VLOOKUP(VALUE($S380),lookups!F:G,2,FALSE)</f>
        <v>#N/A</v>
      </c>
      <c r="Q380" s="84" t="str">
        <f t="shared" si="20"/>
        <v/>
      </c>
      <c r="R380" s="84">
        <f t="shared" si="21"/>
        <v>245560</v>
      </c>
      <c r="S380" s="84">
        <f t="shared" si="22"/>
        <v>392530</v>
      </c>
      <c r="T380" s="84">
        <f t="shared" si="23"/>
        <v>395422</v>
      </c>
    </row>
    <row r="381" spans="1:20" ht="51" customHeight="1" x14ac:dyDescent="0.3">
      <c r="A381" s="96"/>
      <c r="B381" s="84">
        <v>395414</v>
      </c>
      <c r="C381" s="85">
        <v>392530</v>
      </c>
      <c r="D381" s="84" t="s">
        <v>6</v>
      </c>
      <c r="E381" s="84" t="s">
        <v>345</v>
      </c>
      <c r="F381" s="86" t="s">
        <v>335</v>
      </c>
      <c r="G381" s="109" t="s">
        <v>262</v>
      </c>
      <c r="H381" s="87">
        <v>2</v>
      </c>
      <c r="I381" s="89"/>
      <c r="J381" s="89"/>
      <c r="K381" s="89" t="s">
        <v>1614</v>
      </c>
      <c r="L381" s="84" t="s">
        <v>1342</v>
      </c>
      <c r="M381" s="88" t="str">
        <f>VLOOKUP(L381,lookups!B:C,2,FALSE)</f>
        <v>John</v>
      </c>
      <c r="N381" s="89" t="str">
        <f>VLOOKUP(K381,TeamLookup[],2,0)</f>
        <v>Cyber</v>
      </c>
      <c r="O381" s="84" t="e">
        <f>VLOOKUP(VALUE($S381),lookups!I:J,2,FALSE)</f>
        <v>#N/A</v>
      </c>
      <c r="P381" s="84" t="e">
        <f>VLOOKUP(VALUE($S381),lookups!F:G,2,FALSE)</f>
        <v>#N/A</v>
      </c>
      <c r="Q381" s="84" t="str">
        <f t="shared" si="20"/>
        <v/>
      </c>
      <c r="R381" s="84">
        <f t="shared" si="21"/>
        <v>245560</v>
      </c>
      <c r="S381" s="84">
        <f t="shared" si="22"/>
        <v>392530</v>
      </c>
      <c r="T381" s="84">
        <f t="shared" si="23"/>
        <v>395414</v>
      </c>
    </row>
    <row r="382" spans="1:20" x14ac:dyDescent="0.3">
      <c r="B382" s="84">
        <v>392530</v>
      </c>
      <c r="C382" s="85">
        <v>245560</v>
      </c>
      <c r="D382" s="84" t="s">
        <v>24</v>
      </c>
      <c r="E382" s="84" t="s">
        <v>345</v>
      </c>
      <c r="F382" s="86" t="s">
        <v>276</v>
      </c>
      <c r="G382" s="109" t="s">
        <v>262</v>
      </c>
      <c r="H382" s="87"/>
      <c r="I382" s="89" t="s">
        <v>397</v>
      </c>
      <c r="J382" s="89"/>
      <c r="K382" s="89" t="s">
        <v>1614</v>
      </c>
      <c r="L382" s="84" t="s">
        <v>1342</v>
      </c>
      <c r="M382" s="88" t="str">
        <f>VLOOKUP(L382,lookups!B:C,2,FALSE)</f>
        <v>John</v>
      </c>
      <c r="N382" s="89" t="str">
        <f>VLOOKUP(K382,TeamLookup[],2,0)</f>
        <v>Cyber</v>
      </c>
      <c r="O382" s="84" t="e">
        <f>VLOOKUP(VALUE($S382),lookups!I:J,2,FALSE)</f>
        <v>#N/A</v>
      </c>
      <c r="P382" s="84" t="e">
        <f>VLOOKUP(VALUE($S382),lookups!F:G,2,FALSE)</f>
        <v>#N/A</v>
      </c>
      <c r="Q382" s="84" t="str">
        <f t="shared" si="20"/>
        <v>ParentNotInCyberQuery</v>
      </c>
      <c r="R382" s="84">
        <f t="shared" si="21"/>
        <v>245560</v>
      </c>
      <c r="S382" s="84">
        <f t="shared" si="22"/>
        <v>392530</v>
      </c>
      <c r="T382" s="84">
        <f t="shared" si="23"/>
        <v>0</v>
      </c>
    </row>
    <row r="383" spans="1:20" x14ac:dyDescent="0.3">
      <c r="B383" s="84">
        <v>1008643</v>
      </c>
      <c r="C383" s="85">
        <v>395373</v>
      </c>
      <c r="D383" s="84" t="s">
        <v>6</v>
      </c>
      <c r="E383" s="84" t="s">
        <v>345</v>
      </c>
      <c r="F383" s="86" t="s">
        <v>304</v>
      </c>
      <c r="G383" s="109" t="s">
        <v>217</v>
      </c>
      <c r="H383" s="87">
        <v>3</v>
      </c>
      <c r="I383" s="89"/>
      <c r="J383" s="89"/>
      <c r="K383" s="89" t="s">
        <v>1614</v>
      </c>
      <c r="L383" s="84" t="s">
        <v>125</v>
      </c>
      <c r="M383" s="88" t="str">
        <f>VLOOKUP(L383,lookups!B:C,2,FALSE)</f>
        <v>Dave C</v>
      </c>
      <c r="N383" s="89" t="str">
        <f>VLOOKUP(K383,TeamLookup[],2,0)</f>
        <v>Cyber</v>
      </c>
      <c r="O383" s="84" t="e">
        <f>VLOOKUP(VALUE($S383),lookups!I:J,2,FALSE)</f>
        <v>#N/A</v>
      </c>
      <c r="P383" s="84" t="e">
        <f>VLOOKUP(VALUE($S383),lookups!F:G,2,FALSE)</f>
        <v>#N/A</v>
      </c>
      <c r="Q383" s="84" t="str">
        <f t="shared" si="20"/>
        <v/>
      </c>
      <c r="R383" s="84">
        <f t="shared" si="21"/>
        <v>245560</v>
      </c>
      <c r="S383" s="84">
        <f t="shared" si="22"/>
        <v>395373</v>
      </c>
      <c r="T383" s="84">
        <f t="shared" si="23"/>
        <v>1008643</v>
      </c>
    </row>
    <row r="384" spans="1:20" x14ac:dyDescent="0.3">
      <c r="B384" s="88">
        <v>396635</v>
      </c>
      <c r="C384" s="85">
        <v>395373</v>
      </c>
      <c r="D384" s="84" t="s">
        <v>6</v>
      </c>
      <c r="E384" s="88" t="s">
        <v>345</v>
      </c>
      <c r="F384" s="91" t="s">
        <v>268</v>
      </c>
      <c r="G384" s="109" t="s">
        <v>217</v>
      </c>
      <c r="H384" s="87">
        <v>1</v>
      </c>
      <c r="I384" s="89"/>
      <c r="J384" s="89"/>
      <c r="K384" s="89" t="s">
        <v>1614</v>
      </c>
      <c r="L384" s="84" t="s">
        <v>182</v>
      </c>
      <c r="M384" s="88" t="str">
        <f>VLOOKUP(L384,lookups!B:C,2,FALSE)</f>
        <v>Ted</v>
      </c>
      <c r="N384" s="89" t="str">
        <f>VLOOKUP(K384,TeamLookup[],2,0)</f>
        <v>Cyber</v>
      </c>
      <c r="O384" s="84" t="e">
        <f>VLOOKUP(VALUE($S384),lookups!I:J,2,FALSE)</f>
        <v>#N/A</v>
      </c>
      <c r="P384" s="84" t="e">
        <f>VLOOKUP(VALUE($S384),lookups!F:G,2,FALSE)</f>
        <v>#N/A</v>
      </c>
      <c r="Q384" s="84" t="str">
        <f t="shared" si="20"/>
        <v/>
      </c>
      <c r="R384" s="84">
        <f t="shared" si="21"/>
        <v>245560</v>
      </c>
      <c r="S384" s="84">
        <f t="shared" si="22"/>
        <v>395373</v>
      </c>
      <c r="T384" s="84">
        <f t="shared" si="23"/>
        <v>396635</v>
      </c>
    </row>
    <row r="385" spans="1:22" x14ac:dyDescent="0.3">
      <c r="B385" s="84">
        <v>395386</v>
      </c>
      <c r="C385" s="85">
        <v>395373</v>
      </c>
      <c r="D385" s="84" t="s">
        <v>6</v>
      </c>
      <c r="E385" s="84" t="s">
        <v>345</v>
      </c>
      <c r="F385" s="86" t="s">
        <v>228</v>
      </c>
      <c r="G385" s="109" t="s">
        <v>217</v>
      </c>
      <c r="H385" s="87">
        <v>2</v>
      </c>
      <c r="I385" s="89"/>
      <c r="J385" s="89"/>
      <c r="K385" s="89" t="s">
        <v>1614</v>
      </c>
      <c r="L385" s="84" t="s">
        <v>182</v>
      </c>
      <c r="M385" s="88" t="str">
        <f>VLOOKUP(L385,lookups!B:C,2,FALSE)</f>
        <v>Ted</v>
      </c>
      <c r="N385" s="89" t="str">
        <f>VLOOKUP(K385,TeamLookup[],2,0)</f>
        <v>Cyber</v>
      </c>
      <c r="O385" s="84" t="e">
        <f>VLOOKUP(VALUE($S385),lookups!I:J,2,FALSE)</f>
        <v>#N/A</v>
      </c>
      <c r="P385" s="84" t="e">
        <f>VLOOKUP(VALUE($S385),lookups!F:G,2,FALSE)</f>
        <v>#N/A</v>
      </c>
      <c r="Q385" s="84" t="str">
        <f t="shared" si="20"/>
        <v/>
      </c>
      <c r="R385" s="84">
        <f t="shared" si="21"/>
        <v>245560</v>
      </c>
      <c r="S385" s="84">
        <f t="shared" si="22"/>
        <v>395373</v>
      </c>
      <c r="T385" s="84">
        <f t="shared" si="23"/>
        <v>395386</v>
      </c>
    </row>
    <row r="386" spans="1:22" ht="28.2" customHeight="1" x14ac:dyDescent="0.3">
      <c r="B386" s="88">
        <v>395381</v>
      </c>
      <c r="C386" s="92">
        <v>395373</v>
      </c>
      <c r="D386" s="88" t="s">
        <v>6</v>
      </c>
      <c r="E386" s="88" t="s">
        <v>345</v>
      </c>
      <c r="F386" s="91" t="s">
        <v>233</v>
      </c>
      <c r="G386" s="119" t="s">
        <v>217</v>
      </c>
      <c r="H386" s="93">
        <v>1</v>
      </c>
      <c r="I386" s="95"/>
      <c r="J386" s="95"/>
      <c r="K386" s="95" t="s">
        <v>1614</v>
      </c>
      <c r="L386" s="88" t="s">
        <v>107</v>
      </c>
      <c r="M386" s="88" t="str">
        <f>VLOOKUP(L386,lookups!B:C,2,FALSE)</f>
        <v>Chris</v>
      </c>
      <c r="N386" s="89" t="str">
        <f>VLOOKUP(K386,TeamLookup[],2,0)</f>
        <v>Cyber</v>
      </c>
      <c r="O386" s="84" t="e">
        <f>VLOOKUP(VALUE($S386),lookups!I:J,2,FALSE)</f>
        <v>#N/A</v>
      </c>
      <c r="P386" s="84" t="e">
        <f>VLOOKUP(VALUE($S386),lookups!F:G,2,FALSE)</f>
        <v>#N/A</v>
      </c>
      <c r="Q386" s="84" t="str">
        <f t="shared" ref="Q386:Q449" si="24">IF($B386="","ZeroEntry",
IF($D386="Program Epic","",
IF(OR($D386="Feature",$D386="Story",$D386="Task"),
  IF($C386="","Missing_ParentEntry",
IF(ISERROR(MATCH(VALUE($C386),$B:$B,0)),"ParentNotInCyberQuery",
IF(AND($D386="Story",VLOOKUP(VALUE($C386),$B:$D,3,FALSE)&lt;&gt;"Feature"),"Warning: StoryParentIs_"&amp;VLOOKUP(VALUE($C386),$B:$D,3,FALSE)&amp;"_NotFeature",
IF(AND(OR($D386="Story",$D386="Task"),VLOOKUP(VALUE($C386),$B:$C,2,FALSE)=""),"MissingGrandparent",
IF(AND($D386="Feature",ISERROR(MATCH("#"&amp;$B386,$C:$C,0))),"FeatureHasNoStories",
IF(AND($D386="Feature",VLOOKUP(VALUE($C386),$B:$D,3,FALSE)&lt;&gt;"Program Epic"),"FeatureParentIs_"&amp;VLOOKUP(VALUE($C386),$B:$D,3,FALSE)&amp;"_NotEpic","")))))),"")))</f>
        <v/>
      </c>
      <c r="R386" s="84">
        <f t="shared" ref="R386:R449" si="25">IF(AND($Q386&lt;&gt;"FeatureHasNoStories","Warning: StoryParentIs_Program Epic_NotFeature"&lt;&gt;$Q386,$Q386&lt;&gt;"ParentNotInCyberQuery",$Q386&lt;&gt;""),$Q386,
IF($D386="Program Epic",B386,
IF($D386="Feature",VALUE($C386),
IF("Warning: StoryParentIs_Program Epic_NotFeature"=$Q386,VALUE($C386),
IF(AND($D386="Story",$Q386="ParentNotInCyberQuery"),"MT",
IF($C386=0,"N/A",
IF(OR($D386="Story",$D386="Task"),VALUE(VLOOKUP(VALUE($C386),$B:$C,2,FALSE)),"N/A")))))))</f>
        <v>245560</v>
      </c>
      <c r="S386" s="84">
        <f t="shared" ref="S386:S449" si="26">IF($D386="Program Epic",0,
IF($D386="Feature",$B386,
IF($C386=0,"NoParentFeature",VALUE($C386))))</f>
        <v>395373</v>
      </c>
      <c r="T386" s="84">
        <f t="shared" ref="T386:T449" si="27">IF(OR($D386="Story",$D386="Task"),$B386,0)</f>
        <v>395381</v>
      </c>
    </row>
    <row r="387" spans="1:22" ht="13.2" customHeight="1" x14ac:dyDescent="0.3">
      <c r="B387" s="84">
        <v>395376</v>
      </c>
      <c r="C387" s="85">
        <v>395373</v>
      </c>
      <c r="D387" s="84" t="s">
        <v>6</v>
      </c>
      <c r="E387" s="84" t="s">
        <v>345</v>
      </c>
      <c r="F387" s="86" t="s">
        <v>238</v>
      </c>
      <c r="G387" s="109" t="s">
        <v>217</v>
      </c>
      <c r="H387" s="87">
        <v>2</v>
      </c>
      <c r="I387" s="89"/>
      <c r="J387" s="89"/>
      <c r="K387" s="89" t="s">
        <v>1614</v>
      </c>
      <c r="L387" s="84" t="s">
        <v>11</v>
      </c>
      <c r="M387" s="88" t="str">
        <f>VLOOKUP(L387,lookups!B:C,2,FALSE)</f>
        <v>Randy</v>
      </c>
      <c r="N387" s="89" t="str">
        <f>VLOOKUP(K387,TeamLookup[],2,0)</f>
        <v>Cyber</v>
      </c>
      <c r="O387" s="84" t="e">
        <f>VLOOKUP(VALUE($S387),lookups!I:J,2,FALSE)</f>
        <v>#N/A</v>
      </c>
      <c r="P387" s="84" t="e">
        <f>VLOOKUP(VALUE($S387),lookups!F:G,2,FALSE)</f>
        <v>#N/A</v>
      </c>
      <c r="Q387" s="84" t="str">
        <f t="shared" si="24"/>
        <v/>
      </c>
      <c r="R387" s="84">
        <f t="shared" si="25"/>
        <v>245560</v>
      </c>
      <c r="S387" s="84">
        <f t="shared" si="26"/>
        <v>395373</v>
      </c>
      <c r="T387" s="84">
        <f t="shared" si="27"/>
        <v>395376</v>
      </c>
      <c r="V387" s="94"/>
    </row>
    <row r="388" spans="1:22" ht="15.6" customHeight="1" x14ac:dyDescent="0.3">
      <c r="B388" s="84">
        <v>1008600</v>
      </c>
      <c r="C388" s="85">
        <v>395373</v>
      </c>
      <c r="D388" s="84" t="s">
        <v>6</v>
      </c>
      <c r="E388" s="84" t="s">
        <v>345</v>
      </c>
      <c r="F388" s="86" t="s">
        <v>306</v>
      </c>
      <c r="G388" s="109" t="s">
        <v>267</v>
      </c>
      <c r="H388" s="87">
        <v>5</v>
      </c>
      <c r="I388" s="84"/>
      <c r="J388" s="84"/>
      <c r="K388" s="84" t="s">
        <v>1614</v>
      </c>
      <c r="L388" s="84" t="s">
        <v>125</v>
      </c>
      <c r="M388" s="88" t="str">
        <f>VLOOKUP(L388,lookups!B:C,2,FALSE)</f>
        <v>Dave C</v>
      </c>
      <c r="N388" s="89" t="str">
        <f>VLOOKUP(K388,TeamLookup[],2,0)</f>
        <v>Cyber</v>
      </c>
      <c r="O388" s="84" t="e">
        <f>VLOOKUP(VALUE($S388),lookups!I:J,2,FALSE)</f>
        <v>#N/A</v>
      </c>
      <c r="P388" s="84" t="e">
        <f>VLOOKUP(VALUE($S388),lookups!F:G,2,FALSE)</f>
        <v>#N/A</v>
      </c>
      <c r="Q388" s="84" t="str">
        <f t="shared" si="24"/>
        <v/>
      </c>
      <c r="R388" s="84">
        <f t="shared" si="25"/>
        <v>245560</v>
      </c>
      <c r="S388" s="84">
        <f t="shared" si="26"/>
        <v>395373</v>
      </c>
      <c r="T388" s="84">
        <f t="shared" si="27"/>
        <v>1008600</v>
      </c>
    </row>
    <row r="389" spans="1:22" ht="13.95" customHeight="1" x14ac:dyDescent="0.3">
      <c r="B389" s="84">
        <v>1008033</v>
      </c>
      <c r="C389" s="85">
        <v>395373</v>
      </c>
      <c r="D389" s="84" t="s">
        <v>6</v>
      </c>
      <c r="E389" s="84" t="s">
        <v>345</v>
      </c>
      <c r="F389" s="86" t="s">
        <v>320</v>
      </c>
      <c r="G389" s="109" t="s">
        <v>267</v>
      </c>
      <c r="H389" s="87">
        <v>1</v>
      </c>
      <c r="I389" s="89"/>
      <c r="J389" s="89"/>
      <c r="K389" s="89" t="s">
        <v>1614</v>
      </c>
      <c r="L389" s="84" t="s">
        <v>214</v>
      </c>
      <c r="M389" s="88" t="str">
        <f>VLOOKUP(L389,lookups!B:C,2,FALSE)</f>
        <v>Dave G</v>
      </c>
      <c r="N389" s="89" t="str">
        <f>VLOOKUP(K389,TeamLookup[],2,0)</f>
        <v>Cyber</v>
      </c>
      <c r="O389" s="84" t="e">
        <f>VLOOKUP(VALUE($S389),lookups!I:J,2,FALSE)</f>
        <v>#N/A</v>
      </c>
      <c r="P389" s="84" t="e">
        <f>VLOOKUP(VALUE($S389),lookups!F:G,2,FALSE)</f>
        <v>#N/A</v>
      </c>
      <c r="Q389" s="84" t="str">
        <f t="shared" si="24"/>
        <v/>
      </c>
      <c r="R389" s="84">
        <f t="shared" si="25"/>
        <v>245560</v>
      </c>
      <c r="S389" s="84">
        <f t="shared" si="26"/>
        <v>395373</v>
      </c>
      <c r="T389" s="84">
        <f t="shared" si="27"/>
        <v>1008033</v>
      </c>
    </row>
    <row r="390" spans="1:22" ht="31.2" customHeight="1" x14ac:dyDescent="0.3">
      <c r="B390" s="84">
        <v>396636</v>
      </c>
      <c r="C390" s="85">
        <v>395373</v>
      </c>
      <c r="D390" s="84" t="s">
        <v>6</v>
      </c>
      <c r="E390" s="84" t="s">
        <v>345</v>
      </c>
      <c r="F390" s="86" t="s">
        <v>266</v>
      </c>
      <c r="G390" s="109" t="s">
        <v>267</v>
      </c>
      <c r="H390" s="87">
        <v>1</v>
      </c>
      <c r="I390" s="84"/>
      <c r="J390" s="84"/>
      <c r="K390" s="84" t="s">
        <v>1614</v>
      </c>
      <c r="L390" s="84" t="s">
        <v>182</v>
      </c>
      <c r="M390" s="88" t="str">
        <f>VLOOKUP(L390,lookups!B:C,2,FALSE)</f>
        <v>Ted</v>
      </c>
      <c r="N390" s="89" t="str">
        <f>VLOOKUP(K390,TeamLookup[],2,0)</f>
        <v>Cyber</v>
      </c>
      <c r="O390" s="84" t="e">
        <f>VLOOKUP(VALUE($S390),lookups!I:J,2,FALSE)</f>
        <v>#N/A</v>
      </c>
      <c r="P390" s="84" t="e">
        <f>VLOOKUP(VALUE($S390),lookups!F:G,2,FALSE)</f>
        <v>#N/A</v>
      </c>
      <c r="Q390" s="84" t="str">
        <f t="shared" si="24"/>
        <v/>
      </c>
      <c r="R390" s="84">
        <f t="shared" si="25"/>
        <v>245560</v>
      </c>
      <c r="S390" s="84">
        <f t="shared" si="26"/>
        <v>395373</v>
      </c>
      <c r="T390" s="84">
        <f t="shared" si="27"/>
        <v>396636</v>
      </c>
    </row>
    <row r="391" spans="1:22" ht="34.200000000000003" customHeight="1" x14ac:dyDescent="0.3">
      <c r="B391" s="84">
        <v>395382</v>
      </c>
      <c r="C391" s="85">
        <v>395373</v>
      </c>
      <c r="D391" s="84" t="s">
        <v>6</v>
      </c>
      <c r="E391" s="84" t="s">
        <v>345</v>
      </c>
      <c r="F391" s="86" t="s">
        <v>232</v>
      </c>
      <c r="G391" s="109" t="s">
        <v>267</v>
      </c>
      <c r="H391" s="87">
        <v>1</v>
      </c>
      <c r="I391" s="89"/>
      <c r="J391" s="89"/>
      <c r="K391" s="89" t="s">
        <v>1614</v>
      </c>
      <c r="L391" s="84" t="s">
        <v>107</v>
      </c>
      <c r="M391" s="88" t="str">
        <f>VLOOKUP(L391,lookups!B:C,2,FALSE)</f>
        <v>Chris</v>
      </c>
      <c r="N391" s="89" t="str">
        <f>VLOOKUP(K391,TeamLookup[],2,0)</f>
        <v>Cyber</v>
      </c>
      <c r="O391" s="84" t="e">
        <f>VLOOKUP(VALUE($S391),lookups!I:J,2,FALSE)</f>
        <v>#N/A</v>
      </c>
      <c r="P391" s="84" t="e">
        <f>VLOOKUP(VALUE($S391),lookups!F:G,2,FALSE)</f>
        <v>#N/A</v>
      </c>
      <c r="Q391" s="84" t="str">
        <f t="shared" si="24"/>
        <v/>
      </c>
      <c r="R391" s="84">
        <f t="shared" si="25"/>
        <v>245560</v>
      </c>
      <c r="S391" s="84">
        <f t="shared" si="26"/>
        <v>395373</v>
      </c>
      <c r="T391" s="84">
        <f t="shared" si="27"/>
        <v>395382</v>
      </c>
    </row>
    <row r="392" spans="1:22" ht="27" customHeight="1" x14ac:dyDescent="0.3">
      <c r="B392" s="84">
        <v>395377</v>
      </c>
      <c r="C392" s="85">
        <v>395373</v>
      </c>
      <c r="D392" s="84" t="s">
        <v>6</v>
      </c>
      <c r="E392" s="84" t="s">
        <v>345</v>
      </c>
      <c r="F392" s="86" t="s">
        <v>237</v>
      </c>
      <c r="G392" s="109" t="s">
        <v>267</v>
      </c>
      <c r="H392" s="87">
        <v>2</v>
      </c>
      <c r="I392" s="89"/>
      <c r="J392" s="89"/>
      <c r="K392" s="89" t="s">
        <v>1614</v>
      </c>
      <c r="L392" s="84" t="s">
        <v>11</v>
      </c>
      <c r="M392" s="88" t="str">
        <f>VLOOKUP(L392,lookups!B:C,2,FALSE)</f>
        <v>Randy</v>
      </c>
      <c r="N392" s="89" t="str">
        <f>VLOOKUP(K392,TeamLookup[],2,0)</f>
        <v>Cyber</v>
      </c>
      <c r="O392" s="84" t="e">
        <f>VLOOKUP(VALUE($S392),lookups!I:J,2,FALSE)</f>
        <v>#N/A</v>
      </c>
      <c r="P392" s="84" t="e">
        <f>VLOOKUP(VALUE($S392),lookups!F:G,2,FALSE)</f>
        <v>#N/A</v>
      </c>
      <c r="Q392" s="84" t="str">
        <f t="shared" si="24"/>
        <v/>
      </c>
      <c r="R392" s="84">
        <f t="shared" si="25"/>
        <v>245560</v>
      </c>
      <c r="S392" s="84">
        <f t="shared" si="26"/>
        <v>395373</v>
      </c>
      <c r="T392" s="84">
        <f t="shared" si="27"/>
        <v>395377</v>
      </c>
    </row>
    <row r="393" spans="1:22" ht="56.25" customHeight="1" x14ac:dyDescent="0.3">
      <c r="A393" s="96"/>
      <c r="B393" s="84">
        <v>1012059</v>
      </c>
      <c r="C393" s="85">
        <v>395373</v>
      </c>
      <c r="D393" s="84" t="s">
        <v>6</v>
      </c>
      <c r="E393" s="84" t="s">
        <v>345</v>
      </c>
      <c r="F393" s="91" t="s">
        <v>1354</v>
      </c>
      <c r="G393" s="109" t="s">
        <v>265</v>
      </c>
      <c r="H393" s="87">
        <v>3</v>
      </c>
      <c r="I393" s="89"/>
      <c r="J393" s="89"/>
      <c r="K393" s="89" t="s">
        <v>1614</v>
      </c>
      <c r="L393" s="84" t="s">
        <v>125</v>
      </c>
      <c r="M393" s="88" t="str">
        <f>VLOOKUP(L393,lookups!B:C,2,FALSE)</f>
        <v>Dave C</v>
      </c>
      <c r="N393" s="89" t="str">
        <f>VLOOKUP(K393,TeamLookup[],2,0)</f>
        <v>Cyber</v>
      </c>
      <c r="O393" s="84" t="e">
        <f>VLOOKUP(VALUE($S393),lookups!I:J,2,FALSE)</f>
        <v>#N/A</v>
      </c>
      <c r="P393" s="84" t="e">
        <f>VLOOKUP(VALUE($S393),lookups!F:G,2,FALSE)</f>
        <v>#N/A</v>
      </c>
      <c r="Q393" s="84" t="str">
        <f t="shared" si="24"/>
        <v/>
      </c>
      <c r="R393" s="84">
        <f t="shared" si="25"/>
        <v>245560</v>
      </c>
      <c r="S393" s="84">
        <f t="shared" si="26"/>
        <v>395373</v>
      </c>
      <c r="T393" s="84">
        <f t="shared" si="27"/>
        <v>1012059</v>
      </c>
    </row>
    <row r="394" spans="1:22" ht="27.75" customHeight="1" x14ac:dyDescent="0.3">
      <c r="B394" s="84">
        <v>1008645</v>
      </c>
      <c r="C394" s="85">
        <v>395373</v>
      </c>
      <c r="D394" s="84" t="s">
        <v>6</v>
      </c>
      <c r="E394" s="84" t="s">
        <v>345</v>
      </c>
      <c r="F394" s="86" t="s">
        <v>303</v>
      </c>
      <c r="G394" s="109" t="s">
        <v>265</v>
      </c>
      <c r="H394" s="87">
        <v>3</v>
      </c>
      <c r="I394" s="84"/>
      <c r="J394" s="84"/>
      <c r="K394" s="84" t="s">
        <v>1614</v>
      </c>
      <c r="L394" s="84" t="s">
        <v>214</v>
      </c>
      <c r="M394" s="88" t="str">
        <f>VLOOKUP(L394,lookups!B:C,2,FALSE)</f>
        <v>Dave G</v>
      </c>
      <c r="N394" s="89" t="str">
        <f>VLOOKUP(K394,TeamLookup[],2,0)</f>
        <v>Cyber</v>
      </c>
      <c r="O394" s="84" t="e">
        <f>VLOOKUP(VALUE($S394),lookups!I:J,2,FALSE)</f>
        <v>#N/A</v>
      </c>
      <c r="P394" s="84" t="e">
        <f>VLOOKUP(VALUE($S394),lookups!F:G,2,FALSE)</f>
        <v>#N/A</v>
      </c>
      <c r="Q394" s="84" t="str">
        <f t="shared" si="24"/>
        <v/>
      </c>
      <c r="R394" s="84">
        <f t="shared" si="25"/>
        <v>245560</v>
      </c>
      <c r="S394" s="84">
        <f t="shared" si="26"/>
        <v>395373</v>
      </c>
      <c r="T394" s="84">
        <f t="shared" si="27"/>
        <v>1008645</v>
      </c>
    </row>
    <row r="395" spans="1:22" ht="51" customHeight="1" x14ac:dyDescent="0.3">
      <c r="B395" s="84">
        <v>1008407</v>
      </c>
      <c r="C395" s="85">
        <v>395373</v>
      </c>
      <c r="D395" s="84" t="s">
        <v>6</v>
      </c>
      <c r="E395" s="84" t="s">
        <v>345</v>
      </c>
      <c r="F395" s="86" t="s">
        <v>316</v>
      </c>
      <c r="G395" s="109" t="s">
        <v>265</v>
      </c>
      <c r="H395" s="87">
        <v>3</v>
      </c>
      <c r="I395" s="89" t="s">
        <v>48</v>
      </c>
      <c r="J395" s="89"/>
      <c r="K395" s="89" t="s">
        <v>1614</v>
      </c>
      <c r="L395" s="84" t="s">
        <v>125</v>
      </c>
      <c r="M395" s="88" t="str">
        <f>VLOOKUP(L395,lookups!B:C,2,FALSE)</f>
        <v>Dave C</v>
      </c>
      <c r="N395" s="89" t="str">
        <f>VLOOKUP(K395,TeamLookup[],2,0)</f>
        <v>Cyber</v>
      </c>
      <c r="O395" s="84" t="e">
        <f>VLOOKUP(VALUE($S395),lookups!I:J,2,FALSE)</f>
        <v>#N/A</v>
      </c>
      <c r="P395" s="84" t="e">
        <f>VLOOKUP(VALUE($S395),lookups!F:G,2,FALSE)</f>
        <v>#N/A</v>
      </c>
      <c r="Q395" s="84" t="str">
        <f t="shared" si="24"/>
        <v/>
      </c>
      <c r="R395" s="84">
        <f t="shared" si="25"/>
        <v>245560</v>
      </c>
      <c r="S395" s="84">
        <f t="shared" si="26"/>
        <v>395373</v>
      </c>
      <c r="T395" s="84">
        <f t="shared" si="27"/>
        <v>1008407</v>
      </c>
    </row>
    <row r="396" spans="1:22" ht="32.25" customHeight="1" x14ac:dyDescent="0.3">
      <c r="B396" s="84">
        <v>1008406</v>
      </c>
      <c r="C396" s="85">
        <v>395373</v>
      </c>
      <c r="D396" s="84" t="s">
        <v>6</v>
      </c>
      <c r="E396" s="84" t="s">
        <v>345</v>
      </c>
      <c r="F396" s="86" t="s">
        <v>1387</v>
      </c>
      <c r="G396" s="109" t="s">
        <v>265</v>
      </c>
      <c r="H396" s="87">
        <v>3</v>
      </c>
      <c r="I396" s="89" t="s">
        <v>48</v>
      </c>
      <c r="J396" s="89"/>
      <c r="K396" s="89" t="s">
        <v>1614</v>
      </c>
      <c r="L396" s="84" t="s">
        <v>125</v>
      </c>
      <c r="M396" s="88" t="str">
        <f>VLOOKUP(L396,lookups!B:C,2,FALSE)</f>
        <v>Dave C</v>
      </c>
      <c r="N396" s="89" t="str">
        <f>VLOOKUP(K396,TeamLookup[],2,0)</f>
        <v>Cyber</v>
      </c>
      <c r="O396" s="84" t="e">
        <f>VLOOKUP(VALUE($S396),lookups!I:J,2,FALSE)</f>
        <v>#N/A</v>
      </c>
      <c r="P396" s="84" t="e">
        <f>VLOOKUP(VALUE($S396),lookups!F:G,2,FALSE)</f>
        <v>#N/A</v>
      </c>
      <c r="Q396" s="84" t="str">
        <f t="shared" si="24"/>
        <v/>
      </c>
      <c r="R396" s="84">
        <f t="shared" si="25"/>
        <v>245560</v>
      </c>
      <c r="S396" s="84">
        <f t="shared" si="26"/>
        <v>395373</v>
      </c>
      <c r="T396" s="84">
        <f t="shared" si="27"/>
        <v>1008406</v>
      </c>
    </row>
    <row r="397" spans="1:22" ht="47.25" customHeight="1" x14ac:dyDescent="0.3">
      <c r="B397" s="84">
        <v>1008034</v>
      </c>
      <c r="C397" s="85">
        <v>395373</v>
      </c>
      <c r="D397" s="84" t="s">
        <v>6</v>
      </c>
      <c r="E397" s="84" t="s">
        <v>345</v>
      </c>
      <c r="F397" s="86" t="s">
        <v>319</v>
      </c>
      <c r="G397" s="109" t="s">
        <v>265</v>
      </c>
      <c r="H397" s="87">
        <v>1</v>
      </c>
      <c r="I397" s="89"/>
      <c r="J397" s="89"/>
      <c r="K397" s="89" t="s">
        <v>1614</v>
      </c>
      <c r="L397" s="84" t="s">
        <v>214</v>
      </c>
      <c r="M397" s="88" t="str">
        <f>VLOOKUP(L397,lookups!B:C,2,FALSE)</f>
        <v>Dave G</v>
      </c>
      <c r="N397" s="89" t="str">
        <f>VLOOKUP(K397,TeamLookup[],2,0)</f>
        <v>Cyber</v>
      </c>
      <c r="O397" s="84" t="e">
        <f>VLOOKUP(VALUE($S397),lookups!I:J,2,FALSE)</f>
        <v>#N/A</v>
      </c>
      <c r="P397" s="84" t="e">
        <f>VLOOKUP(VALUE($S397),lookups!F:G,2,FALSE)</f>
        <v>#N/A</v>
      </c>
      <c r="Q397" s="84" t="str">
        <f t="shared" si="24"/>
        <v/>
      </c>
      <c r="R397" s="84">
        <f t="shared" si="25"/>
        <v>245560</v>
      </c>
      <c r="S397" s="84">
        <f t="shared" si="26"/>
        <v>395373</v>
      </c>
      <c r="T397" s="84">
        <f t="shared" si="27"/>
        <v>1008034</v>
      </c>
    </row>
    <row r="398" spans="1:22" x14ac:dyDescent="0.3">
      <c r="B398" s="84">
        <v>396638</v>
      </c>
      <c r="C398" s="85">
        <v>395373</v>
      </c>
      <c r="D398" s="84" t="s">
        <v>6</v>
      </c>
      <c r="E398" s="84" t="s">
        <v>345</v>
      </c>
      <c r="F398" s="86" t="s">
        <v>264</v>
      </c>
      <c r="G398" s="109" t="s">
        <v>265</v>
      </c>
      <c r="H398" s="87">
        <v>1</v>
      </c>
      <c r="I398" s="89"/>
      <c r="J398" s="89"/>
      <c r="K398" s="89" t="s">
        <v>1614</v>
      </c>
      <c r="L398" s="84" t="s">
        <v>182</v>
      </c>
      <c r="M398" s="88" t="str">
        <f>VLOOKUP(L398,lookups!B:C,2,FALSE)</f>
        <v>Ted</v>
      </c>
      <c r="N398" s="89" t="str">
        <f>VLOOKUP(K398,TeamLookup[],2,0)</f>
        <v>Cyber</v>
      </c>
      <c r="O398" s="84" t="e">
        <f>VLOOKUP(VALUE($S398),lookups!I:J,2,FALSE)</f>
        <v>#N/A</v>
      </c>
      <c r="P398" s="84" t="e">
        <f>VLOOKUP(VALUE($S398),lookups!F:G,2,FALSE)</f>
        <v>#N/A</v>
      </c>
      <c r="Q398" s="84" t="str">
        <f t="shared" si="24"/>
        <v/>
      </c>
      <c r="R398" s="84">
        <f t="shared" si="25"/>
        <v>245560</v>
      </c>
      <c r="S398" s="84">
        <f t="shared" si="26"/>
        <v>395373</v>
      </c>
      <c r="T398" s="84">
        <f t="shared" si="27"/>
        <v>396638</v>
      </c>
    </row>
    <row r="399" spans="1:22" ht="37.5" customHeight="1" x14ac:dyDescent="0.3">
      <c r="B399" s="84">
        <v>395387</v>
      </c>
      <c r="C399" s="85">
        <v>395373</v>
      </c>
      <c r="D399" s="84" t="s">
        <v>6</v>
      </c>
      <c r="E399" s="84" t="s">
        <v>345</v>
      </c>
      <c r="F399" s="86" t="s">
        <v>227</v>
      </c>
      <c r="G399" s="109" t="s">
        <v>265</v>
      </c>
      <c r="H399" s="87">
        <v>2</v>
      </c>
      <c r="I399" s="89"/>
      <c r="J399" s="89"/>
      <c r="K399" s="89" t="s">
        <v>1614</v>
      </c>
      <c r="L399" s="84" t="s">
        <v>182</v>
      </c>
      <c r="M399" s="88" t="str">
        <f>VLOOKUP(L399,lookups!B:C,2,FALSE)</f>
        <v>Ted</v>
      </c>
      <c r="N399" s="89" t="str">
        <f>VLOOKUP(K399,TeamLookup[],2,0)</f>
        <v>Cyber</v>
      </c>
      <c r="O399" s="84" t="e">
        <f>VLOOKUP(VALUE($S399),lookups!I:J,2,FALSE)</f>
        <v>#N/A</v>
      </c>
      <c r="P399" s="84" t="e">
        <f>VLOOKUP(VALUE($S399),lookups!F:G,2,FALSE)</f>
        <v>#N/A</v>
      </c>
      <c r="Q399" s="84" t="str">
        <f t="shared" si="24"/>
        <v/>
      </c>
      <c r="R399" s="84">
        <f t="shared" si="25"/>
        <v>245560</v>
      </c>
      <c r="S399" s="84">
        <f t="shared" si="26"/>
        <v>395373</v>
      </c>
      <c r="T399" s="84">
        <f t="shared" si="27"/>
        <v>395387</v>
      </c>
    </row>
    <row r="400" spans="1:22" ht="58.5" customHeight="1" x14ac:dyDescent="0.3">
      <c r="B400" s="84">
        <v>395383</v>
      </c>
      <c r="C400" s="85">
        <v>395373</v>
      </c>
      <c r="D400" s="84" t="s">
        <v>6</v>
      </c>
      <c r="E400" s="88" t="s">
        <v>345</v>
      </c>
      <c r="F400" s="86" t="s">
        <v>231</v>
      </c>
      <c r="G400" s="109" t="s">
        <v>265</v>
      </c>
      <c r="H400" s="87">
        <v>1</v>
      </c>
      <c r="I400" s="89"/>
      <c r="J400" s="89"/>
      <c r="K400" s="89" t="s">
        <v>1614</v>
      </c>
      <c r="L400" s="84" t="s">
        <v>107</v>
      </c>
      <c r="M400" s="88" t="str">
        <f>VLOOKUP(L400,lookups!B:C,2,FALSE)</f>
        <v>Chris</v>
      </c>
      <c r="N400" s="89" t="str">
        <f>VLOOKUP(K400,TeamLookup[],2,0)</f>
        <v>Cyber</v>
      </c>
      <c r="O400" s="84" t="e">
        <f>VLOOKUP(VALUE($S400),lookups!I:J,2,FALSE)</f>
        <v>#N/A</v>
      </c>
      <c r="P400" s="84" t="e">
        <f>VLOOKUP(VALUE($S400),lookups!F:G,2,FALSE)</f>
        <v>#N/A</v>
      </c>
      <c r="Q400" s="84" t="str">
        <f t="shared" si="24"/>
        <v/>
      </c>
      <c r="R400" s="84">
        <f t="shared" si="25"/>
        <v>245560</v>
      </c>
      <c r="S400" s="84">
        <f t="shared" si="26"/>
        <v>395373</v>
      </c>
      <c r="T400" s="84">
        <f t="shared" si="27"/>
        <v>395383</v>
      </c>
    </row>
    <row r="401" spans="1:20" ht="28.5" customHeight="1" x14ac:dyDescent="0.3">
      <c r="B401" s="84">
        <v>395378</v>
      </c>
      <c r="C401" s="85">
        <v>395373</v>
      </c>
      <c r="D401" s="84" t="s">
        <v>6</v>
      </c>
      <c r="E401" s="84" t="s">
        <v>345</v>
      </c>
      <c r="F401" s="86" t="s">
        <v>236</v>
      </c>
      <c r="G401" s="109" t="s">
        <v>265</v>
      </c>
      <c r="H401" s="87">
        <v>2</v>
      </c>
      <c r="I401" s="89"/>
      <c r="J401" s="89"/>
      <c r="K401" s="89" t="s">
        <v>1614</v>
      </c>
      <c r="L401" s="84" t="s">
        <v>11</v>
      </c>
      <c r="M401" s="88" t="str">
        <f>VLOOKUP(L401,lookups!B:C,2,FALSE)</f>
        <v>Randy</v>
      </c>
      <c r="N401" s="89" t="str">
        <f>VLOOKUP(K401,TeamLookup[],2,0)</f>
        <v>Cyber</v>
      </c>
      <c r="O401" s="84" t="e">
        <f>VLOOKUP(VALUE($S401),lookups!I:J,2,FALSE)</f>
        <v>#N/A</v>
      </c>
      <c r="P401" s="84" t="e">
        <f>VLOOKUP(VALUE($S401),lookups!F:G,2,FALSE)</f>
        <v>#N/A</v>
      </c>
      <c r="Q401" s="84" t="str">
        <f t="shared" si="24"/>
        <v/>
      </c>
      <c r="R401" s="84">
        <f t="shared" si="25"/>
        <v>245560</v>
      </c>
      <c r="S401" s="84">
        <f t="shared" si="26"/>
        <v>395373</v>
      </c>
      <c r="T401" s="84">
        <f t="shared" si="27"/>
        <v>395378</v>
      </c>
    </row>
    <row r="402" spans="1:20" ht="40.5" customHeight="1" x14ac:dyDescent="0.3">
      <c r="B402" s="84">
        <v>1014880</v>
      </c>
      <c r="C402" s="85">
        <v>395373</v>
      </c>
      <c r="D402" s="84" t="s">
        <v>6</v>
      </c>
      <c r="E402" s="84" t="s">
        <v>345</v>
      </c>
      <c r="F402" s="133" t="s">
        <v>1421</v>
      </c>
      <c r="G402" s="109" t="s">
        <v>263</v>
      </c>
      <c r="H402" s="87">
        <v>3</v>
      </c>
      <c r="I402" s="89" t="s">
        <v>48</v>
      </c>
      <c r="J402" s="89"/>
      <c r="K402" s="89" t="s">
        <v>1614</v>
      </c>
      <c r="L402" s="84" t="s">
        <v>125</v>
      </c>
      <c r="M402" s="88" t="str">
        <f>VLOOKUP(L402,lookups!B:C,2,FALSE)</f>
        <v>Dave C</v>
      </c>
      <c r="N402" s="89" t="str">
        <f>VLOOKUP(K402,TeamLookup[],2,0)</f>
        <v>Cyber</v>
      </c>
      <c r="O402" s="84" t="e">
        <f>VLOOKUP(VALUE($S402),lookups!I:J,2,FALSE)</f>
        <v>#N/A</v>
      </c>
      <c r="P402" s="84" t="e">
        <f>VLOOKUP(VALUE($S402),lookups!F:G,2,FALSE)</f>
        <v>#N/A</v>
      </c>
      <c r="Q402" s="84" t="str">
        <f t="shared" si="24"/>
        <v/>
      </c>
      <c r="R402" s="84">
        <f t="shared" si="25"/>
        <v>245560</v>
      </c>
      <c r="S402" s="84">
        <f t="shared" si="26"/>
        <v>395373</v>
      </c>
      <c r="T402" s="84">
        <f t="shared" si="27"/>
        <v>1014880</v>
      </c>
    </row>
    <row r="403" spans="1:20" ht="38.4" customHeight="1" x14ac:dyDescent="0.3">
      <c r="B403" s="84">
        <v>1008646</v>
      </c>
      <c r="C403" s="85">
        <v>395373</v>
      </c>
      <c r="D403" s="84" t="s">
        <v>6</v>
      </c>
      <c r="E403" s="84" t="s">
        <v>345</v>
      </c>
      <c r="F403" s="86" t="s">
        <v>1423</v>
      </c>
      <c r="G403" s="109" t="s">
        <v>263</v>
      </c>
      <c r="H403" s="87">
        <v>3</v>
      </c>
      <c r="I403" s="89"/>
      <c r="J403" s="89"/>
      <c r="K403" s="89" t="s">
        <v>1614</v>
      </c>
      <c r="L403" s="84" t="s">
        <v>125</v>
      </c>
      <c r="M403" s="88" t="str">
        <f>VLOOKUP(L403,lookups!B:C,2,FALSE)</f>
        <v>Dave C</v>
      </c>
      <c r="N403" s="89" t="str">
        <f>VLOOKUP(K403,TeamLookup[],2,0)</f>
        <v>Cyber</v>
      </c>
      <c r="O403" s="84" t="e">
        <f>VLOOKUP(VALUE($S403),lookups!I:J,2,FALSE)</f>
        <v>#N/A</v>
      </c>
      <c r="P403" s="84" t="e">
        <f>VLOOKUP(VALUE($S403),lookups!F:G,2,FALSE)</f>
        <v>#N/A</v>
      </c>
      <c r="Q403" s="84" t="str">
        <f t="shared" si="24"/>
        <v/>
      </c>
      <c r="R403" s="84">
        <f t="shared" si="25"/>
        <v>245560</v>
      </c>
      <c r="S403" s="84">
        <f t="shared" si="26"/>
        <v>395373</v>
      </c>
      <c r="T403" s="84">
        <f t="shared" si="27"/>
        <v>1008646</v>
      </c>
    </row>
    <row r="404" spans="1:20" x14ac:dyDescent="0.3">
      <c r="B404" s="84">
        <v>1008035</v>
      </c>
      <c r="C404" s="85">
        <v>395373</v>
      </c>
      <c r="D404" s="84" t="s">
        <v>6</v>
      </c>
      <c r="E404" s="84" t="s">
        <v>345</v>
      </c>
      <c r="F404" s="86" t="s">
        <v>318</v>
      </c>
      <c r="G404" s="109" t="s">
        <v>263</v>
      </c>
      <c r="H404" s="87">
        <v>1</v>
      </c>
      <c r="I404" s="89"/>
      <c r="J404" s="89"/>
      <c r="K404" s="89" t="s">
        <v>1614</v>
      </c>
      <c r="L404" s="84" t="s">
        <v>214</v>
      </c>
      <c r="M404" s="88" t="str">
        <f>VLOOKUP(L404,lookups!B:C,2,FALSE)</f>
        <v>Dave G</v>
      </c>
      <c r="N404" s="89" t="str">
        <f>VLOOKUP(K404,TeamLookup[],2,0)</f>
        <v>Cyber</v>
      </c>
      <c r="O404" s="84" t="e">
        <f>VLOOKUP(VALUE($S404),lookups!I:J,2,FALSE)</f>
        <v>#N/A</v>
      </c>
      <c r="P404" s="84" t="e">
        <f>VLOOKUP(VALUE($S404),lookups!F:G,2,FALSE)</f>
        <v>#N/A</v>
      </c>
      <c r="Q404" s="84" t="str">
        <f t="shared" si="24"/>
        <v/>
      </c>
      <c r="R404" s="84">
        <f t="shared" si="25"/>
        <v>245560</v>
      </c>
      <c r="S404" s="84">
        <f t="shared" si="26"/>
        <v>395373</v>
      </c>
      <c r="T404" s="84">
        <f t="shared" si="27"/>
        <v>1008035</v>
      </c>
    </row>
    <row r="405" spans="1:20" x14ac:dyDescent="0.3">
      <c r="B405" s="84">
        <v>1008028</v>
      </c>
      <c r="C405" s="85">
        <v>395373</v>
      </c>
      <c r="D405" s="84" t="s">
        <v>6</v>
      </c>
      <c r="E405" s="84" t="s">
        <v>345</v>
      </c>
      <c r="F405" s="86" t="s">
        <v>322</v>
      </c>
      <c r="G405" s="109" t="s">
        <v>263</v>
      </c>
      <c r="H405" s="87">
        <v>1</v>
      </c>
      <c r="I405" s="89"/>
      <c r="J405" s="89"/>
      <c r="K405" s="89" t="s">
        <v>1614</v>
      </c>
      <c r="L405" s="84" t="s">
        <v>37</v>
      </c>
      <c r="M405" s="88" t="str">
        <f>VLOOKUP(L405,lookups!B:C,2,FALSE)</f>
        <v>Kent</v>
      </c>
      <c r="N405" s="89" t="str">
        <f>VLOOKUP(K405,TeamLookup[],2,0)</f>
        <v>Cyber</v>
      </c>
      <c r="O405" s="84" t="e">
        <f>VLOOKUP(VALUE($S405),lookups!I:J,2,FALSE)</f>
        <v>#N/A</v>
      </c>
      <c r="P405" s="84" t="e">
        <f>VLOOKUP(VALUE($S405),lookups!F:G,2,FALSE)</f>
        <v>#N/A</v>
      </c>
      <c r="Q405" s="84" t="str">
        <f t="shared" si="24"/>
        <v/>
      </c>
      <c r="R405" s="84">
        <f t="shared" si="25"/>
        <v>245560</v>
      </c>
      <c r="S405" s="84">
        <f t="shared" si="26"/>
        <v>395373</v>
      </c>
      <c r="T405" s="84">
        <f t="shared" si="27"/>
        <v>1008028</v>
      </c>
    </row>
    <row r="406" spans="1:20" ht="28.8" x14ac:dyDescent="0.3">
      <c r="B406" s="84">
        <v>1008026</v>
      </c>
      <c r="C406" s="85">
        <v>395373</v>
      </c>
      <c r="D406" s="84" t="s">
        <v>6</v>
      </c>
      <c r="E406" s="84" t="s">
        <v>345</v>
      </c>
      <c r="F406" s="86" t="s">
        <v>1424</v>
      </c>
      <c r="G406" s="109" t="s">
        <v>263</v>
      </c>
      <c r="H406" s="87">
        <v>3</v>
      </c>
      <c r="I406" s="89" t="s">
        <v>48</v>
      </c>
      <c r="J406" s="89"/>
      <c r="K406" s="89" t="s">
        <v>1614</v>
      </c>
      <c r="L406" s="84" t="s">
        <v>191</v>
      </c>
      <c r="M406" s="88" t="str">
        <f>VLOOKUP(L406,lookups!B:C,2,FALSE)</f>
        <v>Gerald V</v>
      </c>
      <c r="N406" s="89" t="str">
        <f>VLOOKUP(K406,TeamLookup[],2,0)</f>
        <v>Cyber</v>
      </c>
      <c r="O406" s="84" t="e">
        <f>VLOOKUP(VALUE($S406),lookups!I:J,2,FALSE)</f>
        <v>#N/A</v>
      </c>
      <c r="P406" s="84" t="e">
        <f>VLOOKUP(VALUE($S406),lookups!F:G,2,FALSE)</f>
        <v>#N/A</v>
      </c>
      <c r="Q406" s="84" t="str">
        <f t="shared" si="24"/>
        <v/>
      </c>
      <c r="R406" s="84">
        <f t="shared" si="25"/>
        <v>245560</v>
      </c>
      <c r="S406" s="84">
        <f t="shared" si="26"/>
        <v>395373</v>
      </c>
      <c r="T406" s="84">
        <f t="shared" si="27"/>
        <v>1008026</v>
      </c>
    </row>
    <row r="407" spans="1:20" x14ac:dyDescent="0.3">
      <c r="B407" s="84">
        <v>395384</v>
      </c>
      <c r="C407" s="85">
        <v>395373</v>
      </c>
      <c r="D407" s="84" t="s">
        <v>6</v>
      </c>
      <c r="E407" s="84" t="s">
        <v>345</v>
      </c>
      <c r="F407" s="86" t="s">
        <v>230</v>
      </c>
      <c r="G407" s="109" t="s">
        <v>263</v>
      </c>
      <c r="H407" s="87">
        <v>1</v>
      </c>
      <c r="I407" s="89"/>
      <c r="J407" s="89"/>
      <c r="K407" s="89" t="s">
        <v>1614</v>
      </c>
      <c r="L407" s="84" t="s">
        <v>107</v>
      </c>
      <c r="M407" s="88" t="str">
        <f>VLOOKUP(L407,lookups!B:C,2,FALSE)</f>
        <v>Chris</v>
      </c>
      <c r="N407" s="89" t="str">
        <f>VLOOKUP(K407,TeamLookup[],2,0)</f>
        <v>Cyber</v>
      </c>
      <c r="O407" s="84" t="e">
        <f>VLOOKUP(VALUE($S407),lookups!I:J,2,FALSE)</f>
        <v>#N/A</v>
      </c>
      <c r="P407" s="84" t="e">
        <f>VLOOKUP(VALUE($S407),lookups!F:G,2,FALSE)</f>
        <v>#N/A</v>
      </c>
      <c r="Q407" s="84" t="str">
        <f t="shared" si="24"/>
        <v/>
      </c>
      <c r="R407" s="84">
        <f t="shared" si="25"/>
        <v>245560</v>
      </c>
      <c r="S407" s="84">
        <f t="shared" si="26"/>
        <v>395373</v>
      </c>
      <c r="T407" s="84">
        <f t="shared" si="27"/>
        <v>395384</v>
      </c>
    </row>
    <row r="408" spans="1:20" ht="22.5" customHeight="1" x14ac:dyDescent="0.3">
      <c r="B408" s="84">
        <v>395379</v>
      </c>
      <c r="C408" s="85">
        <v>395373</v>
      </c>
      <c r="D408" s="84" t="s">
        <v>6</v>
      </c>
      <c r="E408" s="84" t="s">
        <v>345</v>
      </c>
      <c r="F408" s="86" t="s">
        <v>235</v>
      </c>
      <c r="G408" s="109" t="s">
        <v>263</v>
      </c>
      <c r="H408" s="87">
        <v>2</v>
      </c>
      <c r="I408" s="89"/>
      <c r="J408" s="89"/>
      <c r="K408" s="89" t="s">
        <v>1614</v>
      </c>
      <c r="L408" s="84" t="s">
        <v>11</v>
      </c>
      <c r="M408" s="88" t="str">
        <f>VLOOKUP(L408,lookups!B:C,2,FALSE)</f>
        <v>Randy</v>
      </c>
      <c r="N408" s="89" t="str">
        <f>VLOOKUP(K408,TeamLookup[],2,0)</f>
        <v>Cyber</v>
      </c>
      <c r="O408" s="84" t="e">
        <f>VLOOKUP(VALUE($S408),lookups!I:J,2,FALSE)</f>
        <v>#N/A</v>
      </c>
      <c r="P408" s="84" t="e">
        <f>VLOOKUP(VALUE($S408),lookups!F:G,2,FALSE)</f>
        <v>#N/A</v>
      </c>
      <c r="Q408" s="84" t="str">
        <f t="shared" si="24"/>
        <v/>
      </c>
      <c r="R408" s="84">
        <f t="shared" si="25"/>
        <v>245560</v>
      </c>
      <c r="S408" s="84">
        <f t="shared" si="26"/>
        <v>395373</v>
      </c>
      <c r="T408" s="84">
        <f t="shared" si="27"/>
        <v>395379</v>
      </c>
    </row>
    <row r="409" spans="1:20" x14ac:dyDescent="0.3">
      <c r="B409" s="84">
        <v>1017295</v>
      </c>
      <c r="C409" s="85">
        <v>395373</v>
      </c>
      <c r="D409" s="84" t="s">
        <v>6</v>
      </c>
      <c r="E409" s="84" t="s">
        <v>345</v>
      </c>
      <c r="F409" s="86" t="s">
        <v>1445</v>
      </c>
      <c r="G409" s="109" t="s">
        <v>262</v>
      </c>
      <c r="H409" s="87">
        <v>3</v>
      </c>
      <c r="I409" s="89" t="s">
        <v>48</v>
      </c>
      <c r="J409" s="89"/>
      <c r="K409" s="89" t="s">
        <v>1614</v>
      </c>
      <c r="L409" s="84" t="s">
        <v>107</v>
      </c>
      <c r="M409" s="88" t="str">
        <f>VLOOKUP(L409,lookups!B:C,2,FALSE)</f>
        <v>Chris</v>
      </c>
      <c r="N409" s="89" t="str">
        <f>VLOOKUP(K409,TeamLookup[],2,0)</f>
        <v>Cyber</v>
      </c>
      <c r="O409" s="84" t="e">
        <f>VLOOKUP(VALUE($S409),lookups!I:J,2,FALSE)</f>
        <v>#N/A</v>
      </c>
      <c r="P409" s="84" t="e">
        <f>VLOOKUP(VALUE($S409),lookups!F:G,2,FALSE)</f>
        <v>#N/A</v>
      </c>
      <c r="Q409" s="84" t="str">
        <f t="shared" si="24"/>
        <v/>
      </c>
      <c r="R409" s="84">
        <f t="shared" si="25"/>
        <v>245560</v>
      </c>
      <c r="S409" s="84">
        <f t="shared" si="26"/>
        <v>395373</v>
      </c>
      <c r="T409" s="84">
        <f t="shared" si="27"/>
        <v>1017295</v>
      </c>
    </row>
    <row r="410" spans="1:20" ht="16.2" customHeight="1" x14ac:dyDescent="0.3">
      <c r="B410" s="84">
        <v>1016831</v>
      </c>
      <c r="C410" s="85">
        <v>395373</v>
      </c>
      <c r="D410" s="84" t="s">
        <v>6</v>
      </c>
      <c r="E410" s="84" t="s">
        <v>345</v>
      </c>
      <c r="F410" s="86" t="s">
        <v>1473</v>
      </c>
      <c r="G410" s="109" t="s">
        <v>262</v>
      </c>
      <c r="H410" s="87">
        <v>5</v>
      </c>
      <c r="I410" s="89"/>
      <c r="J410" s="89"/>
      <c r="K410" s="89" t="s">
        <v>1614</v>
      </c>
      <c r="L410" s="84" t="s">
        <v>125</v>
      </c>
      <c r="M410" s="88" t="str">
        <f>VLOOKUP(L410,lookups!B:C,2,FALSE)</f>
        <v>Dave C</v>
      </c>
      <c r="N410" s="89" t="str">
        <f>VLOOKUP(K410,TeamLookup[],2,0)</f>
        <v>Cyber</v>
      </c>
      <c r="O410" s="84" t="e">
        <f>VLOOKUP(VALUE($S410),lookups!I:J,2,FALSE)</f>
        <v>#N/A</v>
      </c>
      <c r="P410" s="84" t="e">
        <f>VLOOKUP(VALUE($S410),lookups!F:G,2,FALSE)</f>
        <v>#N/A</v>
      </c>
      <c r="Q410" s="84" t="str">
        <f t="shared" si="24"/>
        <v/>
      </c>
      <c r="R410" s="84">
        <f t="shared" si="25"/>
        <v>245560</v>
      </c>
      <c r="S410" s="84">
        <f t="shared" si="26"/>
        <v>395373</v>
      </c>
      <c r="T410" s="84">
        <f t="shared" si="27"/>
        <v>1016831</v>
      </c>
    </row>
    <row r="411" spans="1:20" ht="19.2" customHeight="1" x14ac:dyDescent="0.3">
      <c r="B411" s="84">
        <v>1016222</v>
      </c>
      <c r="C411" s="85">
        <v>395373</v>
      </c>
      <c r="D411" s="84" t="s">
        <v>6</v>
      </c>
      <c r="E411" s="84" t="s">
        <v>345</v>
      </c>
      <c r="F411" s="86" t="s">
        <v>1436</v>
      </c>
      <c r="G411" s="109" t="s">
        <v>262</v>
      </c>
      <c r="H411" s="87">
        <v>2</v>
      </c>
      <c r="I411" s="89" t="s">
        <v>48</v>
      </c>
      <c r="J411" s="89"/>
      <c r="K411" s="89" t="s">
        <v>1614</v>
      </c>
      <c r="L411" s="84" t="s">
        <v>191</v>
      </c>
      <c r="M411" s="88" t="str">
        <f>VLOOKUP(L411,lookups!B:C,2,FALSE)</f>
        <v>Gerald V</v>
      </c>
      <c r="N411" s="89" t="str">
        <f>VLOOKUP(K411,TeamLookup[],2,0)</f>
        <v>Cyber</v>
      </c>
      <c r="O411" s="84" t="e">
        <f>VLOOKUP(VALUE($S411),lookups!I:J,2,FALSE)</f>
        <v>#N/A</v>
      </c>
      <c r="P411" s="84" t="e">
        <f>VLOOKUP(VALUE($S411),lookups!F:G,2,FALSE)</f>
        <v>#N/A</v>
      </c>
      <c r="Q411" s="84" t="str">
        <f t="shared" si="24"/>
        <v/>
      </c>
      <c r="R411" s="84">
        <f t="shared" si="25"/>
        <v>245560</v>
      </c>
      <c r="S411" s="84">
        <f t="shared" si="26"/>
        <v>395373</v>
      </c>
      <c r="T411" s="84">
        <f t="shared" si="27"/>
        <v>1016222</v>
      </c>
    </row>
    <row r="412" spans="1:20" ht="17.399999999999999" customHeight="1" x14ac:dyDescent="0.3">
      <c r="A412" s="96"/>
      <c r="B412" s="84">
        <v>1014881</v>
      </c>
      <c r="C412" s="85">
        <v>395373</v>
      </c>
      <c r="D412" s="84" t="s">
        <v>6</v>
      </c>
      <c r="E412" s="84" t="s">
        <v>345</v>
      </c>
      <c r="F412" s="86" t="s">
        <v>1420</v>
      </c>
      <c r="G412" s="109" t="s">
        <v>262</v>
      </c>
      <c r="H412" s="87">
        <v>5</v>
      </c>
      <c r="I412" s="84"/>
      <c r="J412" s="84"/>
      <c r="K412" s="84" t="s">
        <v>1614</v>
      </c>
      <c r="L412" s="84" t="s">
        <v>125</v>
      </c>
      <c r="M412" s="88" t="str">
        <f>VLOOKUP(L412,lookups!B:C,2,FALSE)</f>
        <v>Dave C</v>
      </c>
      <c r="N412" s="89" t="str">
        <f>VLOOKUP(K412,TeamLookup[],2,0)</f>
        <v>Cyber</v>
      </c>
      <c r="O412" s="84" t="e">
        <f>VLOOKUP(VALUE($S412),lookups!I:J,2,FALSE)</f>
        <v>#N/A</v>
      </c>
      <c r="P412" s="84" t="e">
        <f>VLOOKUP(VALUE($S412),lookups!F:G,2,FALSE)</f>
        <v>#N/A</v>
      </c>
      <c r="Q412" s="84" t="str">
        <f t="shared" si="24"/>
        <v/>
      </c>
      <c r="R412" s="84">
        <f t="shared" si="25"/>
        <v>245560</v>
      </c>
      <c r="S412" s="84">
        <f t="shared" si="26"/>
        <v>395373</v>
      </c>
      <c r="T412" s="84">
        <f t="shared" si="27"/>
        <v>1014881</v>
      </c>
    </row>
    <row r="413" spans="1:20" ht="15" customHeight="1" x14ac:dyDescent="0.3">
      <c r="B413" s="84">
        <v>396640</v>
      </c>
      <c r="C413" s="85">
        <v>395373</v>
      </c>
      <c r="D413" s="84" t="s">
        <v>6</v>
      </c>
      <c r="E413" s="84" t="s">
        <v>345</v>
      </c>
      <c r="F413" s="86" t="s">
        <v>261</v>
      </c>
      <c r="G413" s="109" t="s">
        <v>262</v>
      </c>
      <c r="H413" s="87">
        <v>1</v>
      </c>
      <c r="I413" s="84"/>
      <c r="J413" s="84"/>
      <c r="K413" s="84" t="s">
        <v>1614</v>
      </c>
      <c r="L413" s="84" t="s">
        <v>182</v>
      </c>
      <c r="M413" s="88" t="str">
        <f>VLOOKUP(L413,lookups!B:C,2,FALSE)</f>
        <v>Ted</v>
      </c>
      <c r="N413" s="89" t="str">
        <f>VLOOKUP(K413,TeamLookup[],2,0)</f>
        <v>Cyber</v>
      </c>
      <c r="O413" s="84" t="e">
        <f>VLOOKUP(VALUE($S413),lookups!I:J,2,FALSE)</f>
        <v>#N/A</v>
      </c>
      <c r="P413" s="84" t="e">
        <f>VLOOKUP(VALUE($S413),lookups!F:G,2,FALSE)</f>
        <v>#N/A</v>
      </c>
      <c r="Q413" s="84" t="str">
        <f t="shared" si="24"/>
        <v/>
      </c>
      <c r="R413" s="84">
        <f t="shared" si="25"/>
        <v>245560</v>
      </c>
      <c r="S413" s="84">
        <f t="shared" si="26"/>
        <v>395373</v>
      </c>
      <c r="T413" s="84">
        <f t="shared" si="27"/>
        <v>396640</v>
      </c>
    </row>
    <row r="414" spans="1:20" ht="15.6" customHeight="1" x14ac:dyDescent="0.3">
      <c r="B414" s="84">
        <v>395388</v>
      </c>
      <c r="C414" s="85">
        <v>395373</v>
      </c>
      <c r="D414" s="84" t="s">
        <v>6</v>
      </c>
      <c r="E414" s="84" t="s">
        <v>345</v>
      </c>
      <c r="F414" s="86" t="s">
        <v>226</v>
      </c>
      <c r="G414" s="109" t="s">
        <v>262</v>
      </c>
      <c r="H414" s="87">
        <v>2</v>
      </c>
      <c r="I414" s="89"/>
      <c r="J414" s="89"/>
      <c r="K414" s="89" t="s">
        <v>1614</v>
      </c>
      <c r="L414" s="84" t="s">
        <v>182</v>
      </c>
      <c r="M414" s="88" t="str">
        <f>VLOOKUP(L414,lookups!B:C,2,FALSE)</f>
        <v>Ted</v>
      </c>
      <c r="N414" s="89" t="str">
        <f>VLOOKUP(K414,TeamLookup[],2,0)</f>
        <v>Cyber</v>
      </c>
      <c r="O414" s="84" t="e">
        <f>VLOOKUP(VALUE($S414),lookups!I:J,2,FALSE)</f>
        <v>#N/A</v>
      </c>
      <c r="P414" s="84" t="e">
        <f>VLOOKUP(VALUE($S414),lookups!F:G,2,FALSE)</f>
        <v>#N/A</v>
      </c>
      <c r="Q414" s="84" t="str">
        <f t="shared" si="24"/>
        <v/>
      </c>
      <c r="R414" s="84">
        <f t="shared" si="25"/>
        <v>245560</v>
      </c>
      <c r="S414" s="84">
        <f t="shared" si="26"/>
        <v>395373</v>
      </c>
      <c r="T414" s="84">
        <f t="shared" si="27"/>
        <v>395388</v>
      </c>
    </row>
    <row r="415" spans="1:20" x14ac:dyDescent="0.3">
      <c r="B415" s="84">
        <v>395385</v>
      </c>
      <c r="C415" s="85">
        <v>395373</v>
      </c>
      <c r="D415" s="84" t="s">
        <v>6</v>
      </c>
      <c r="E415" s="84" t="s">
        <v>345</v>
      </c>
      <c r="F415" s="86" t="s">
        <v>229</v>
      </c>
      <c r="G415" s="109" t="s">
        <v>262</v>
      </c>
      <c r="H415" s="87">
        <v>1</v>
      </c>
      <c r="I415" s="89"/>
      <c r="J415" s="89"/>
      <c r="K415" s="89" t="s">
        <v>1614</v>
      </c>
      <c r="L415" s="84" t="s">
        <v>107</v>
      </c>
      <c r="M415" s="88" t="str">
        <f>VLOOKUP(L415,lookups!B:C,2,FALSE)</f>
        <v>Chris</v>
      </c>
      <c r="N415" s="89" t="str">
        <f>VLOOKUP(K415,TeamLookup[],2,0)</f>
        <v>Cyber</v>
      </c>
      <c r="O415" s="84" t="e">
        <f>VLOOKUP(VALUE($S415),lookups!I:J,2,FALSE)</f>
        <v>#N/A</v>
      </c>
      <c r="P415" s="84" t="e">
        <f>VLOOKUP(VALUE($S415),lookups!F:G,2,FALSE)</f>
        <v>#N/A</v>
      </c>
      <c r="Q415" s="84" t="str">
        <f t="shared" si="24"/>
        <v/>
      </c>
      <c r="R415" s="84">
        <f t="shared" si="25"/>
        <v>245560</v>
      </c>
      <c r="S415" s="84">
        <f t="shared" si="26"/>
        <v>395373</v>
      </c>
      <c r="T415" s="84">
        <f t="shared" si="27"/>
        <v>395385</v>
      </c>
    </row>
    <row r="416" spans="1:20" ht="33.6" customHeight="1" x14ac:dyDescent="0.3">
      <c r="B416" s="84">
        <v>395380</v>
      </c>
      <c r="C416" s="85">
        <v>395373</v>
      </c>
      <c r="D416" s="84" t="s">
        <v>6</v>
      </c>
      <c r="E416" s="84" t="s">
        <v>345</v>
      </c>
      <c r="F416" s="86" t="s">
        <v>234</v>
      </c>
      <c r="G416" s="109" t="s">
        <v>262</v>
      </c>
      <c r="H416" s="87">
        <v>2</v>
      </c>
      <c r="I416" s="84"/>
      <c r="J416" s="84"/>
      <c r="K416" s="84" t="s">
        <v>1614</v>
      </c>
      <c r="L416" s="84" t="s">
        <v>11</v>
      </c>
      <c r="M416" s="88" t="str">
        <f>VLOOKUP(L416,lookups!B:C,2,FALSE)</f>
        <v>Randy</v>
      </c>
      <c r="N416" s="89" t="str">
        <f>VLOOKUP(K416,TeamLookup[],2,0)</f>
        <v>Cyber</v>
      </c>
      <c r="O416" s="84" t="e">
        <f>VLOOKUP(VALUE($S416),lookups!I:J,2,FALSE)</f>
        <v>#N/A</v>
      </c>
      <c r="P416" s="84" t="e">
        <f>VLOOKUP(VALUE($S416),lookups!F:G,2,FALSE)</f>
        <v>#N/A</v>
      </c>
      <c r="Q416" s="84" t="str">
        <f t="shared" si="24"/>
        <v/>
      </c>
      <c r="R416" s="84">
        <f t="shared" si="25"/>
        <v>245560</v>
      </c>
      <c r="S416" s="84">
        <f t="shared" si="26"/>
        <v>395373</v>
      </c>
      <c r="T416" s="84">
        <f t="shared" si="27"/>
        <v>395380</v>
      </c>
    </row>
    <row r="417" spans="1:20" x14ac:dyDescent="0.3">
      <c r="B417" s="84">
        <v>395373</v>
      </c>
      <c r="C417" s="85">
        <v>245560</v>
      </c>
      <c r="D417" s="84" t="s">
        <v>24</v>
      </c>
      <c r="E417" s="84" t="s">
        <v>345</v>
      </c>
      <c r="F417" s="86" t="s">
        <v>275</v>
      </c>
      <c r="G417" s="109" t="s">
        <v>262</v>
      </c>
      <c r="H417" s="87"/>
      <c r="I417" s="84" t="s">
        <v>48</v>
      </c>
      <c r="J417" s="84"/>
      <c r="K417" s="84" t="s">
        <v>1614</v>
      </c>
      <c r="L417" s="84" t="s">
        <v>129</v>
      </c>
      <c r="M417" s="88" t="str">
        <f>VLOOKUP(L417,lookups!B:C,2,FALSE)</f>
        <v>Derek</v>
      </c>
      <c r="N417" s="89" t="str">
        <f>VLOOKUP(K417,TeamLookup[],2,0)</f>
        <v>Cyber</v>
      </c>
      <c r="O417" s="84" t="e">
        <f>VLOOKUP(VALUE($S417),lookups!I:J,2,FALSE)</f>
        <v>#N/A</v>
      </c>
      <c r="P417" s="84" t="e">
        <f>VLOOKUP(VALUE($S417),lookups!F:G,2,FALSE)</f>
        <v>#N/A</v>
      </c>
      <c r="Q417" s="84" t="str">
        <f t="shared" si="24"/>
        <v>ParentNotInCyberQuery</v>
      </c>
      <c r="R417" s="84">
        <f t="shared" si="25"/>
        <v>245560</v>
      </c>
      <c r="S417" s="84">
        <f t="shared" si="26"/>
        <v>395373</v>
      </c>
      <c r="T417" s="84">
        <f t="shared" si="27"/>
        <v>0</v>
      </c>
    </row>
    <row r="418" spans="1:20" x14ac:dyDescent="0.3">
      <c r="B418" s="84">
        <v>1018613</v>
      </c>
      <c r="C418" s="85">
        <v>395688</v>
      </c>
      <c r="D418" s="84" t="s">
        <v>6</v>
      </c>
      <c r="E418" s="84" t="s">
        <v>345</v>
      </c>
      <c r="F418" s="86" t="s">
        <v>1522</v>
      </c>
      <c r="G418" s="109" t="s">
        <v>260</v>
      </c>
      <c r="H418" s="87">
        <v>1</v>
      </c>
      <c r="I418" s="89"/>
      <c r="J418" s="89"/>
      <c r="K418" s="89" t="s">
        <v>1614</v>
      </c>
      <c r="L418" s="84" t="s">
        <v>1342</v>
      </c>
      <c r="M418" s="88" t="str">
        <f>VLOOKUP(L418,lookups!B:C,2,FALSE)</f>
        <v>John</v>
      </c>
      <c r="N418" s="89" t="str">
        <f>VLOOKUP(K418,TeamLookup[],2,0)</f>
        <v>Cyber</v>
      </c>
      <c r="O418" s="84">
        <f>VLOOKUP(VALUE($S418),lookups!I:J,2,FALSE)</f>
        <v>3</v>
      </c>
      <c r="P418" s="84" t="e">
        <f>VLOOKUP(VALUE($S418),lookups!F:G,2,FALSE)</f>
        <v>#N/A</v>
      </c>
      <c r="Q418" s="84" t="str">
        <f t="shared" si="24"/>
        <v/>
      </c>
      <c r="R418" s="84">
        <f t="shared" si="25"/>
        <v>245560</v>
      </c>
      <c r="S418" s="84">
        <f t="shared" si="26"/>
        <v>395688</v>
      </c>
      <c r="T418" s="84">
        <f t="shared" si="27"/>
        <v>1018613</v>
      </c>
    </row>
    <row r="419" spans="1:20" ht="28.8" x14ac:dyDescent="0.3">
      <c r="B419" s="88">
        <v>1018174</v>
      </c>
      <c r="C419" s="85">
        <v>395688</v>
      </c>
      <c r="D419" s="84" t="s">
        <v>6</v>
      </c>
      <c r="E419" s="88" t="s">
        <v>345</v>
      </c>
      <c r="F419" s="86" t="s">
        <v>1504</v>
      </c>
      <c r="G419" s="109" t="s">
        <v>260</v>
      </c>
      <c r="H419" s="87">
        <v>3</v>
      </c>
      <c r="I419" s="89"/>
      <c r="J419" s="89"/>
      <c r="K419" s="89" t="s">
        <v>1614</v>
      </c>
      <c r="L419" s="84" t="s">
        <v>1375</v>
      </c>
      <c r="M419" s="88" t="str">
        <f>VLOOKUP(L419,lookups!B:C,2,FALSE)</f>
        <v>Kirk</v>
      </c>
      <c r="N419" s="89" t="str">
        <f>VLOOKUP(K419,TeamLookup[],2,0)</f>
        <v>Cyber</v>
      </c>
      <c r="O419" s="84">
        <f>VLOOKUP(VALUE($S419),lookups!I:J,2,FALSE)</f>
        <v>3</v>
      </c>
      <c r="P419" s="84" t="e">
        <f>VLOOKUP(VALUE($S419),lookups!F:G,2,FALSE)</f>
        <v>#N/A</v>
      </c>
      <c r="Q419" s="84" t="str">
        <f t="shared" si="24"/>
        <v/>
      </c>
      <c r="R419" s="84">
        <f t="shared" si="25"/>
        <v>245560</v>
      </c>
      <c r="S419" s="84">
        <f t="shared" si="26"/>
        <v>395688</v>
      </c>
      <c r="T419" s="84">
        <f t="shared" si="27"/>
        <v>1018174</v>
      </c>
    </row>
    <row r="420" spans="1:20" x14ac:dyDescent="0.3">
      <c r="B420" s="84">
        <v>1017752</v>
      </c>
      <c r="C420" s="85">
        <v>395688</v>
      </c>
      <c r="D420" s="84" t="s">
        <v>6</v>
      </c>
      <c r="E420" s="84" t="s">
        <v>345</v>
      </c>
      <c r="F420" s="86" t="s">
        <v>1456</v>
      </c>
      <c r="G420" s="109" t="s">
        <v>260</v>
      </c>
      <c r="H420" s="87">
        <v>1</v>
      </c>
      <c r="I420" s="89"/>
      <c r="J420" s="89"/>
      <c r="K420" s="89" t="s">
        <v>1614</v>
      </c>
      <c r="L420" s="84" t="s">
        <v>1375</v>
      </c>
      <c r="M420" s="88" t="str">
        <f>VLOOKUP(L420,lookups!B:C,2,FALSE)</f>
        <v>Kirk</v>
      </c>
      <c r="N420" s="89" t="str">
        <f>VLOOKUP(K420,TeamLookup[],2,0)</f>
        <v>Cyber</v>
      </c>
      <c r="O420" s="84">
        <f>VLOOKUP(VALUE($S420),lookups!I:J,2,FALSE)</f>
        <v>3</v>
      </c>
      <c r="P420" s="84" t="e">
        <f>VLOOKUP(VALUE($S420),lookups!F:G,2,FALSE)</f>
        <v>#N/A</v>
      </c>
      <c r="Q420" s="84" t="str">
        <f t="shared" si="24"/>
        <v/>
      </c>
      <c r="R420" s="84">
        <f t="shared" si="25"/>
        <v>245560</v>
      </c>
      <c r="S420" s="84">
        <f t="shared" si="26"/>
        <v>395688</v>
      </c>
      <c r="T420" s="84">
        <f t="shared" si="27"/>
        <v>1017752</v>
      </c>
    </row>
    <row r="421" spans="1:20" ht="20.25" customHeight="1" x14ac:dyDescent="0.3">
      <c r="B421" s="84">
        <v>1017751</v>
      </c>
      <c r="C421" s="85">
        <v>395688</v>
      </c>
      <c r="D421" s="84" t="s">
        <v>6</v>
      </c>
      <c r="E421" s="84" t="s">
        <v>345</v>
      </c>
      <c r="F421" s="86" t="s">
        <v>1457</v>
      </c>
      <c r="G421" s="109" t="s">
        <v>260</v>
      </c>
      <c r="H421" s="87">
        <v>1</v>
      </c>
      <c r="I421" s="89"/>
      <c r="J421" s="89"/>
      <c r="K421" s="89" t="s">
        <v>1614</v>
      </c>
      <c r="L421" s="84" t="s">
        <v>1342</v>
      </c>
      <c r="M421" s="88" t="str">
        <f>VLOOKUP(L421,lookups!B:C,2,FALSE)</f>
        <v>John</v>
      </c>
      <c r="N421" s="89" t="str">
        <f>VLOOKUP(K421,TeamLookup[],2,0)</f>
        <v>Cyber</v>
      </c>
      <c r="O421" s="84">
        <f>VLOOKUP(VALUE($S421),lookups!I:J,2,FALSE)</f>
        <v>3</v>
      </c>
      <c r="P421" s="84" t="e">
        <f>VLOOKUP(VALUE($S421),lookups!F:G,2,FALSE)</f>
        <v>#N/A</v>
      </c>
      <c r="Q421" s="84" t="str">
        <f t="shared" si="24"/>
        <v/>
      </c>
      <c r="R421" s="84">
        <f t="shared" si="25"/>
        <v>245560</v>
      </c>
      <c r="S421" s="84">
        <f t="shared" si="26"/>
        <v>395688</v>
      </c>
      <c r="T421" s="84">
        <f t="shared" si="27"/>
        <v>1017751</v>
      </c>
    </row>
    <row r="422" spans="1:20" ht="6" customHeight="1" x14ac:dyDescent="0.3">
      <c r="B422" s="84">
        <v>1014505</v>
      </c>
      <c r="C422" s="85">
        <v>395688</v>
      </c>
      <c r="D422" s="84" t="s">
        <v>6</v>
      </c>
      <c r="E422" s="84" t="s">
        <v>345</v>
      </c>
      <c r="F422" s="86" t="s">
        <v>1560</v>
      </c>
      <c r="G422" s="109" t="s">
        <v>260</v>
      </c>
      <c r="H422" s="87">
        <v>3</v>
      </c>
      <c r="I422" s="89"/>
      <c r="J422" s="89"/>
      <c r="K422" s="89" t="s">
        <v>1614</v>
      </c>
      <c r="L422" s="84" t="s">
        <v>1375</v>
      </c>
      <c r="M422" s="88" t="str">
        <f>VLOOKUP(L422,lookups!B:C,2,FALSE)</f>
        <v>Kirk</v>
      </c>
      <c r="N422" s="89" t="str">
        <f>VLOOKUP(K422,TeamLookup[],2,0)</f>
        <v>Cyber</v>
      </c>
      <c r="O422" s="84">
        <f>VLOOKUP(VALUE($S422),lookups!I:J,2,FALSE)</f>
        <v>3</v>
      </c>
      <c r="P422" s="84" t="e">
        <f>VLOOKUP(VALUE($S422),lookups!F:G,2,FALSE)</f>
        <v>#N/A</v>
      </c>
      <c r="Q422" s="84" t="str">
        <f t="shared" si="24"/>
        <v/>
      </c>
      <c r="R422" s="84">
        <f t="shared" si="25"/>
        <v>245560</v>
      </c>
      <c r="S422" s="84">
        <f t="shared" si="26"/>
        <v>395688</v>
      </c>
      <c r="T422" s="84">
        <f t="shared" si="27"/>
        <v>1014505</v>
      </c>
    </row>
    <row r="423" spans="1:20" x14ac:dyDescent="0.3">
      <c r="B423" s="84">
        <v>395713</v>
      </c>
      <c r="C423" s="85">
        <v>395688</v>
      </c>
      <c r="D423" s="84" t="s">
        <v>6</v>
      </c>
      <c r="E423" s="84" t="s">
        <v>345</v>
      </c>
      <c r="F423" s="86" t="s">
        <v>1466</v>
      </c>
      <c r="G423" s="109" t="s">
        <v>260</v>
      </c>
      <c r="H423" s="87">
        <v>2</v>
      </c>
      <c r="I423" s="84"/>
      <c r="J423" s="84"/>
      <c r="K423" s="84" t="s">
        <v>1614</v>
      </c>
      <c r="L423" s="84" t="s">
        <v>1342</v>
      </c>
      <c r="M423" s="88" t="str">
        <f>VLOOKUP(L423,lookups!B:C,2,FALSE)</f>
        <v>John</v>
      </c>
      <c r="N423" s="89" t="str">
        <f>VLOOKUP(K423,TeamLookup[],2,0)</f>
        <v>Cyber</v>
      </c>
      <c r="O423" s="84">
        <f>VLOOKUP(VALUE($S423),lookups!I:J,2,FALSE)</f>
        <v>3</v>
      </c>
      <c r="P423" s="84" t="e">
        <f>VLOOKUP(VALUE($S423),lookups!F:G,2,FALSE)</f>
        <v>#N/A</v>
      </c>
      <c r="Q423" s="84" t="str">
        <f t="shared" si="24"/>
        <v/>
      </c>
      <c r="R423" s="84">
        <f t="shared" si="25"/>
        <v>245560</v>
      </c>
      <c r="S423" s="84">
        <f t="shared" si="26"/>
        <v>395688</v>
      </c>
      <c r="T423" s="84">
        <f t="shared" si="27"/>
        <v>395713</v>
      </c>
    </row>
    <row r="424" spans="1:20" x14ac:dyDescent="0.3">
      <c r="A424" s="96"/>
      <c r="B424" s="88">
        <v>395704</v>
      </c>
      <c r="C424" s="85">
        <v>395688</v>
      </c>
      <c r="D424" s="84" t="s">
        <v>6</v>
      </c>
      <c r="E424" s="88" t="s">
        <v>345</v>
      </c>
      <c r="F424" s="91" t="s">
        <v>1560</v>
      </c>
      <c r="G424" s="109" t="s">
        <v>260</v>
      </c>
      <c r="H424" s="87">
        <v>5</v>
      </c>
      <c r="I424" s="89"/>
      <c r="J424" s="89"/>
      <c r="K424" s="89" t="s">
        <v>1614</v>
      </c>
      <c r="L424" s="84" t="s">
        <v>1342</v>
      </c>
      <c r="M424" s="88" t="str">
        <f>VLOOKUP(L424,lookups!B:C,2,FALSE)</f>
        <v>John</v>
      </c>
      <c r="N424" s="89" t="str">
        <f>VLOOKUP(K424,TeamLookup[],2,0)</f>
        <v>Cyber</v>
      </c>
      <c r="O424" s="84">
        <f>VLOOKUP(VALUE($S424),lookups!I:J,2,FALSE)</f>
        <v>3</v>
      </c>
      <c r="P424" s="84" t="e">
        <f>VLOOKUP(VALUE($S424),lookups!F:G,2,FALSE)</f>
        <v>#N/A</v>
      </c>
      <c r="Q424" s="84" t="str">
        <f t="shared" si="24"/>
        <v/>
      </c>
      <c r="R424" s="84">
        <f t="shared" si="25"/>
        <v>245560</v>
      </c>
      <c r="S424" s="84">
        <f t="shared" si="26"/>
        <v>395688</v>
      </c>
      <c r="T424" s="84">
        <f t="shared" si="27"/>
        <v>395704</v>
      </c>
    </row>
    <row r="425" spans="1:20" x14ac:dyDescent="0.3">
      <c r="B425" s="84">
        <v>1020149</v>
      </c>
      <c r="C425" s="85">
        <v>395688</v>
      </c>
      <c r="D425" s="84" t="s">
        <v>6</v>
      </c>
      <c r="E425" s="84" t="s">
        <v>345</v>
      </c>
      <c r="F425" s="86" t="s">
        <v>1555</v>
      </c>
      <c r="G425" s="109" t="s">
        <v>259</v>
      </c>
      <c r="H425" s="87">
        <v>2</v>
      </c>
      <c r="I425" s="84"/>
      <c r="J425" s="84" t="s">
        <v>1556</v>
      </c>
      <c r="K425" s="84" t="s">
        <v>1614</v>
      </c>
      <c r="L425" s="84" t="s">
        <v>1342</v>
      </c>
      <c r="M425" s="88" t="str">
        <f>VLOOKUP(L425,lookups!B:C,2,FALSE)</f>
        <v>John</v>
      </c>
      <c r="N425" s="89" t="str">
        <f>VLOOKUP(K425,TeamLookup[],2,0)</f>
        <v>Cyber</v>
      </c>
      <c r="O425" s="84">
        <f>VLOOKUP(VALUE($S425),lookups!I:J,2,FALSE)</f>
        <v>3</v>
      </c>
      <c r="P425" s="84" t="e">
        <f>VLOOKUP(VALUE($S425),lookups!F:G,2,FALSE)</f>
        <v>#N/A</v>
      </c>
      <c r="Q425" s="84" t="str">
        <f t="shared" si="24"/>
        <v/>
      </c>
      <c r="R425" s="84">
        <f t="shared" si="25"/>
        <v>245560</v>
      </c>
      <c r="S425" s="84">
        <f t="shared" si="26"/>
        <v>395688</v>
      </c>
      <c r="T425" s="84">
        <f t="shared" si="27"/>
        <v>1020149</v>
      </c>
    </row>
    <row r="426" spans="1:20" x14ac:dyDescent="0.3">
      <c r="B426" s="84">
        <v>1020148</v>
      </c>
      <c r="C426" s="85">
        <v>395688</v>
      </c>
      <c r="D426" s="84" t="s">
        <v>6</v>
      </c>
      <c r="E426" s="84" t="s">
        <v>345</v>
      </c>
      <c r="F426" s="86" t="s">
        <v>1555</v>
      </c>
      <c r="G426" s="109" t="s">
        <v>259</v>
      </c>
      <c r="H426" s="87">
        <v>2</v>
      </c>
      <c r="I426" s="89"/>
      <c r="J426" s="89" t="s">
        <v>1557</v>
      </c>
      <c r="K426" s="89" t="s">
        <v>1614</v>
      </c>
      <c r="L426" s="84" t="s">
        <v>1375</v>
      </c>
      <c r="M426" s="88" t="str">
        <f>VLOOKUP(L426,lookups!B:C,2,FALSE)</f>
        <v>Kirk</v>
      </c>
      <c r="N426" s="89" t="str">
        <f>VLOOKUP(K426,TeamLookup[],2,0)</f>
        <v>Cyber</v>
      </c>
      <c r="O426" s="84">
        <f>VLOOKUP(VALUE($S426),lookups!I:J,2,FALSE)</f>
        <v>3</v>
      </c>
      <c r="P426" s="84" t="e">
        <f>VLOOKUP(VALUE($S426),lookups!F:G,2,FALSE)</f>
        <v>#N/A</v>
      </c>
      <c r="Q426" s="84" t="str">
        <f t="shared" si="24"/>
        <v/>
      </c>
      <c r="R426" s="84">
        <f t="shared" si="25"/>
        <v>245560</v>
      </c>
      <c r="S426" s="84">
        <f t="shared" si="26"/>
        <v>395688</v>
      </c>
      <c r="T426" s="84">
        <f t="shared" si="27"/>
        <v>1020148</v>
      </c>
    </row>
    <row r="427" spans="1:20" ht="15.75" customHeight="1" x14ac:dyDescent="0.3">
      <c r="B427" s="84">
        <v>1018614</v>
      </c>
      <c r="C427" s="85">
        <v>395688</v>
      </c>
      <c r="D427" s="84" t="s">
        <v>6</v>
      </c>
      <c r="E427" s="84" t="s">
        <v>345</v>
      </c>
      <c r="F427" s="91" t="s">
        <v>1521</v>
      </c>
      <c r="G427" s="109" t="s">
        <v>259</v>
      </c>
      <c r="H427" s="87">
        <v>1</v>
      </c>
      <c r="I427" s="89"/>
      <c r="J427" s="89"/>
      <c r="K427" s="89" t="s">
        <v>1614</v>
      </c>
      <c r="L427" s="84" t="s">
        <v>1342</v>
      </c>
      <c r="M427" s="88" t="str">
        <f>VLOOKUP(L427,lookups!B:C,2,FALSE)</f>
        <v>John</v>
      </c>
      <c r="N427" s="89" t="str">
        <f>VLOOKUP(K427,TeamLookup[],2,0)</f>
        <v>Cyber</v>
      </c>
      <c r="O427" s="84">
        <f>VLOOKUP(VALUE($S427),lookups!I:J,2,FALSE)</f>
        <v>3</v>
      </c>
      <c r="P427" s="84" t="e">
        <f>VLOOKUP(VALUE($S427),lookups!F:G,2,FALSE)</f>
        <v>#N/A</v>
      </c>
      <c r="Q427" s="84" t="str">
        <f t="shared" si="24"/>
        <v/>
      </c>
      <c r="R427" s="84">
        <f t="shared" si="25"/>
        <v>245560</v>
      </c>
      <c r="S427" s="84">
        <f t="shared" si="26"/>
        <v>395688</v>
      </c>
      <c r="T427" s="84">
        <f t="shared" si="27"/>
        <v>1018614</v>
      </c>
    </row>
    <row r="428" spans="1:20" ht="75" customHeight="1" x14ac:dyDescent="0.3">
      <c r="B428" s="84">
        <v>1018344</v>
      </c>
      <c r="C428" s="85">
        <v>395688</v>
      </c>
      <c r="D428" s="84" t="s">
        <v>6</v>
      </c>
      <c r="E428" s="84" t="s">
        <v>345</v>
      </c>
      <c r="F428" s="86" t="s">
        <v>1594</v>
      </c>
      <c r="G428" s="109" t="s">
        <v>259</v>
      </c>
      <c r="H428" s="87">
        <v>2</v>
      </c>
      <c r="I428" s="89"/>
      <c r="J428" s="89"/>
      <c r="K428" s="89" t="s">
        <v>1614</v>
      </c>
      <c r="L428" s="84" t="s">
        <v>1375</v>
      </c>
      <c r="M428" s="88" t="str">
        <f>VLOOKUP(L428,lookups!B:C,2,FALSE)</f>
        <v>Kirk</v>
      </c>
      <c r="N428" s="89" t="str">
        <f>VLOOKUP(K428,TeamLookup[],2,0)</f>
        <v>Cyber</v>
      </c>
      <c r="O428" s="84">
        <f>VLOOKUP(VALUE($S428),lookups!I:J,2,FALSE)</f>
        <v>3</v>
      </c>
      <c r="P428" s="84" t="e">
        <f>VLOOKUP(VALUE($S428),lookups!F:G,2,FALSE)</f>
        <v>#N/A</v>
      </c>
      <c r="Q428" s="84" t="str">
        <f t="shared" si="24"/>
        <v/>
      </c>
      <c r="R428" s="84">
        <f t="shared" si="25"/>
        <v>245560</v>
      </c>
      <c r="S428" s="84">
        <f t="shared" si="26"/>
        <v>395688</v>
      </c>
      <c r="T428" s="84">
        <f t="shared" si="27"/>
        <v>1018344</v>
      </c>
    </row>
    <row r="429" spans="1:20" ht="30" customHeight="1" x14ac:dyDescent="0.3">
      <c r="A429" s="96"/>
      <c r="B429" s="84">
        <v>1018343</v>
      </c>
      <c r="C429" s="85">
        <v>395688</v>
      </c>
      <c r="D429" s="84" t="s">
        <v>6</v>
      </c>
      <c r="E429" s="84" t="s">
        <v>345</v>
      </c>
      <c r="F429" s="86" t="s">
        <v>1503</v>
      </c>
      <c r="G429" s="109" t="s">
        <v>259</v>
      </c>
      <c r="H429" s="87">
        <v>1</v>
      </c>
      <c r="I429" s="89"/>
      <c r="J429" s="89"/>
      <c r="K429" s="89" t="s">
        <v>1614</v>
      </c>
      <c r="L429" s="84" t="s">
        <v>1342</v>
      </c>
      <c r="M429" s="88" t="str">
        <f>VLOOKUP(L429,lookups!B:C,2,FALSE)</f>
        <v>John</v>
      </c>
      <c r="N429" s="89" t="str">
        <f>VLOOKUP(K429,TeamLookup[],2,0)</f>
        <v>Cyber</v>
      </c>
      <c r="O429" s="84">
        <f>VLOOKUP(VALUE($S429),lookups!I:J,2,FALSE)</f>
        <v>3</v>
      </c>
      <c r="P429" s="84" t="e">
        <f>VLOOKUP(VALUE($S429),lookups!F:G,2,FALSE)</f>
        <v>#N/A</v>
      </c>
      <c r="Q429" s="84" t="str">
        <f t="shared" si="24"/>
        <v/>
      </c>
      <c r="R429" s="84">
        <f t="shared" si="25"/>
        <v>245560</v>
      </c>
      <c r="S429" s="84">
        <f t="shared" si="26"/>
        <v>395688</v>
      </c>
      <c r="T429" s="84">
        <f t="shared" si="27"/>
        <v>1018343</v>
      </c>
    </row>
    <row r="430" spans="1:20" ht="28.8" x14ac:dyDescent="0.3">
      <c r="A430" s="96"/>
      <c r="B430" s="84">
        <v>1014504</v>
      </c>
      <c r="C430" s="85">
        <v>395688</v>
      </c>
      <c r="D430" s="84" t="s">
        <v>6</v>
      </c>
      <c r="E430" s="84" t="s">
        <v>345</v>
      </c>
      <c r="F430" s="86" t="s">
        <v>1591</v>
      </c>
      <c r="G430" s="109" t="s">
        <v>259</v>
      </c>
      <c r="H430" s="87">
        <v>3</v>
      </c>
      <c r="I430" s="89"/>
      <c r="J430" s="89"/>
      <c r="K430" s="89" t="s">
        <v>1614</v>
      </c>
      <c r="L430" s="84" t="s">
        <v>1375</v>
      </c>
      <c r="M430" s="88" t="str">
        <f>VLOOKUP(L430,lookups!B:C,2,FALSE)</f>
        <v>Kirk</v>
      </c>
      <c r="N430" s="89" t="str">
        <f>VLOOKUP(K430,TeamLookup[],2,0)</f>
        <v>Cyber</v>
      </c>
      <c r="O430" s="84">
        <f>VLOOKUP(VALUE($S430),lookups!I:J,2,FALSE)</f>
        <v>3</v>
      </c>
      <c r="P430" s="84" t="e">
        <f>VLOOKUP(VALUE($S430),lookups!F:G,2,FALSE)</f>
        <v>#N/A</v>
      </c>
      <c r="Q430" s="84" t="str">
        <f t="shared" si="24"/>
        <v/>
      </c>
      <c r="R430" s="84">
        <f t="shared" si="25"/>
        <v>245560</v>
      </c>
      <c r="S430" s="84">
        <f t="shared" si="26"/>
        <v>395688</v>
      </c>
      <c r="T430" s="84">
        <f t="shared" si="27"/>
        <v>1014504</v>
      </c>
    </row>
    <row r="431" spans="1:20" ht="26.25" customHeight="1" x14ac:dyDescent="0.3">
      <c r="A431" s="96"/>
      <c r="B431" s="84">
        <v>395703</v>
      </c>
      <c r="C431" s="85">
        <v>395688</v>
      </c>
      <c r="D431" s="84" t="s">
        <v>6</v>
      </c>
      <c r="E431" s="84" t="s">
        <v>345</v>
      </c>
      <c r="F431" s="86" t="s">
        <v>1592</v>
      </c>
      <c r="G431" s="109" t="s">
        <v>259</v>
      </c>
      <c r="H431" s="87">
        <v>3</v>
      </c>
      <c r="I431" s="89"/>
      <c r="J431" s="89"/>
      <c r="K431" s="89" t="s">
        <v>1614</v>
      </c>
      <c r="L431" s="84" t="s">
        <v>1342</v>
      </c>
      <c r="M431" s="88" t="str">
        <f>VLOOKUP(L431,lookups!B:C,2,FALSE)</f>
        <v>John</v>
      </c>
      <c r="N431" s="89" t="str">
        <f>VLOOKUP(K431,TeamLookup[],2,0)</f>
        <v>Cyber</v>
      </c>
      <c r="O431" s="84">
        <f>VLOOKUP(VALUE($S431),lookups!I:J,2,FALSE)</f>
        <v>3</v>
      </c>
      <c r="P431" s="84" t="e">
        <f>VLOOKUP(VALUE($S431),lookups!F:G,2,FALSE)</f>
        <v>#N/A</v>
      </c>
      <c r="Q431" s="84" t="str">
        <f t="shared" si="24"/>
        <v/>
      </c>
      <c r="R431" s="84">
        <f t="shared" si="25"/>
        <v>245560</v>
      </c>
      <c r="S431" s="84">
        <f t="shared" si="26"/>
        <v>395688</v>
      </c>
      <c r="T431" s="84">
        <f t="shared" si="27"/>
        <v>395703</v>
      </c>
    </row>
    <row r="432" spans="1:20" ht="24" customHeight="1" x14ac:dyDescent="0.3">
      <c r="B432" s="84">
        <v>1018615</v>
      </c>
      <c r="C432" s="85">
        <v>395688</v>
      </c>
      <c r="D432" s="84" t="s">
        <v>6</v>
      </c>
      <c r="E432" s="84" t="s">
        <v>345</v>
      </c>
      <c r="F432" s="86" t="s">
        <v>1520</v>
      </c>
      <c r="G432" s="109" t="s">
        <v>256</v>
      </c>
      <c r="H432" s="87">
        <v>1</v>
      </c>
      <c r="I432" s="89"/>
      <c r="J432" s="89"/>
      <c r="K432" s="89" t="s">
        <v>1614</v>
      </c>
      <c r="L432" s="84" t="s">
        <v>1342</v>
      </c>
      <c r="M432" s="88" t="str">
        <f>VLOOKUP(L432,lookups!B:C,2,FALSE)</f>
        <v>John</v>
      </c>
      <c r="N432" s="89" t="str">
        <f>VLOOKUP(K432,TeamLookup[],2,0)</f>
        <v>Cyber</v>
      </c>
      <c r="O432" s="84">
        <f>VLOOKUP(VALUE($S432),lookups!I:J,2,FALSE)</f>
        <v>3</v>
      </c>
      <c r="P432" s="84" t="e">
        <f>VLOOKUP(VALUE($S432),lookups!F:G,2,FALSE)</f>
        <v>#N/A</v>
      </c>
      <c r="Q432" s="84" t="str">
        <f t="shared" si="24"/>
        <v/>
      </c>
      <c r="R432" s="84">
        <f t="shared" si="25"/>
        <v>245560</v>
      </c>
      <c r="S432" s="84">
        <f t="shared" si="26"/>
        <v>395688</v>
      </c>
      <c r="T432" s="84">
        <f t="shared" si="27"/>
        <v>1018615</v>
      </c>
    </row>
    <row r="433" spans="1:20" x14ac:dyDescent="0.3">
      <c r="B433" s="84">
        <v>1014500</v>
      </c>
      <c r="C433" s="85">
        <v>395688</v>
      </c>
      <c r="D433" s="84" t="s">
        <v>6</v>
      </c>
      <c r="E433" s="84" t="s">
        <v>345</v>
      </c>
      <c r="F433" s="86" t="s">
        <v>1482</v>
      </c>
      <c r="G433" s="109" t="s">
        <v>256</v>
      </c>
      <c r="H433" s="87">
        <v>3</v>
      </c>
      <c r="I433" s="89"/>
      <c r="J433" s="89"/>
      <c r="K433" s="89" t="s">
        <v>1614</v>
      </c>
      <c r="L433" s="84" t="s">
        <v>1375</v>
      </c>
      <c r="M433" s="88" t="str">
        <f>VLOOKUP(L433,lookups!B:C,2,FALSE)</f>
        <v>Kirk</v>
      </c>
      <c r="N433" s="89" t="str">
        <f>VLOOKUP(K433,TeamLookup[],2,0)</f>
        <v>Cyber</v>
      </c>
      <c r="O433" s="84">
        <f>VLOOKUP(VALUE($S433),lookups!I:J,2,FALSE)</f>
        <v>3</v>
      </c>
      <c r="P433" s="84" t="e">
        <f>VLOOKUP(VALUE($S433),lookups!F:G,2,FALSE)</f>
        <v>#N/A</v>
      </c>
      <c r="Q433" s="84" t="str">
        <f t="shared" si="24"/>
        <v/>
      </c>
      <c r="R433" s="84">
        <f t="shared" si="25"/>
        <v>245560</v>
      </c>
      <c r="S433" s="84">
        <f t="shared" si="26"/>
        <v>395688</v>
      </c>
      <c r="T433" s="84">
        <f t="shared" si="27"/>
        <v>1014500</v>
      </c>
    </row>
    <row r="434" spans="1:20" x14ac:dyDescent="0.3">
      <c r="B434" s="84">
        <v>395692</v>
      </c>
      <c r="C434" s="85">
        <v>395688</v>
      </c>
      <c r="D434" s="84" t="s">
        <v>6</v>
      </c>
      <c r="E434" s="84" t="s">
        <v>345</v>
      </c>
      <c r="F434" s="86" t="s">
        <v>1483</v>
      </c>
      <c r="G434" s="109" t="s">
        <v>256</v>
      </c>
      <c r="H434" s="87">
        <v>3</v>
      </c>
      <c r="I434" s="89"/>
      <c r="J434" s="89"/>
      <c r="K434" s="89" t="s">
        <v>1614</v>
      </c>
      <c r="L434" s="84" t="s">
        <v>1342</v>
      </c>
      <c r="M434" s="88" t="str">
        <f>VLOOKUP(L434,lookups!B:C,2,FALSE)</f>
        <v>John</v>
      </c>
      <c r="N434" s="89" t="str">
        <f>VLOOKUP(K434,TeamLookup[],2,0)</f>
        <v>Cyber</v>
      </c>
      <c r="O434" s="84">
        <f>VLOOKUP(VALUE($S434),lookups!I:J,2,FALSE)</f>
        <v>3</v>
      </c>
      <c r="P434" s="84" t="e">
        <f>VLOOKUP(VALUE($S434),lookups!F:G,2,FALSE)</f>
        <v>#N/A</v>
      </c>
      <c r="Q434" s="84" t="str">
        <f t="shared" si="24"/>
        <v/>
      </c>
      <c r="R434" s="84">
        <f t="shared" si="25"/>
        <v>245560</v>
      </c>
      <c r="S434" s="84">
        <f t="shared" si="26"/>
        <v>395688</v>
      </c>
      <c r="T434" s="84">
        <f t="shared" si="27"/>
        <v>395692</v>
      </c>
    </row>
    <row r="435" spans="1:20" x14ac:dyDescent="0.3">
      <c r="B435" s="84">
        <v>1022762</v>
      </c>
      <c r="C435" s="85">
        <v>395688</v>
      </c>
      <c r="D435" s="84" t="s">
        <v>6</v>
      </c>
      <c r="E435" s="84" t="s">
        <v>345</v>
      </c>
      <c r="F435" s="86" t="s">
        <v>1610</v>
      </c>
      <c r="G435" s="109" t="s">
        <v>258</v>
      </c>
      <c r="H435" s="87">
        <v>2</v>
      </c>
      <c r="I435" s="89"/>
      <c r="J435" s="89"/>
      <c r="K435" s="89" t="s">
        <v>1614</v>
      </c>
      <c r="L435" s="84" t="s">
        <v>1375</v>
      </c>
      <c r="M435" s="88" t="str">
        <f>VLOOKUP(L435,lookups!B:C,2,FALSE)</f>
        <v>Kirk</v>
      </c>
      <c r="N435" s="89" t="str">
        <f>VLOOKUP(K435,TeamLookup[],2,0)</f>
        <v>Cyber</v>
      </c>
      <c r="O435" s="84">
        <f>VLOOKUP(VALUE($S435),lookups!I:J,2,FALSE)</f>
        <v>3</v>
      </c>
      <c r="P435" s="84" t="e">
        <f>VLOOKUP(VALUE($S435),lookups!F:G,2,FALSE)</f>
        <v>#N/A</v>
      </c>
      <c r="Q435" s="84" t="str">
        <f t="shared" si="24"/>
        <v/>
      </c>
      <c r="R435" s="84">
        <f t="shared" si="25"/>
        <v>245560</v>
      </c>
      <c r="S435" s="84">
        <f t="shared" si="26"/>
        <v>395688</v>
      </c>
      <c r="T435" s="84">
        <f t="shared" si="27"/>
        <v>1022762</v>
      </c>
    </row>
    <row r="436" spans="1:20" x14ac:dyDescent="0.3">
      <c r="B436" s="84">
        <v>1018616</v>
      </c>
      <c r="C436" s="85">
        <v>395688</v>
      </c>
      <c r="D436" s="84" t="s">
        <v>6</v>
      </c>
      <c r="E436" s="84" t="s">
        <v>345</v>
      </c>
      <c r="F436" s="86" t="s">
        <v>1519</v>
      </c>
      <c r="G436" s="109" t="s">
        <v>258</v>
      </c>
      <c r="H436" s="87">
        <v>1</v>
      </c>
      <c r="I436" s="89"/>
      <c r="J436" s="89"/>
      <c r="K436" s="89" t="s">
        <v>1614</v>
      </c>
      <c r="L436" s="84" t="s">
        <v>1342</v>
      </c>
      <c r="M436" s="88" t="str">
        <f>VLOOKUP(L436,lookups!B:C,2,FALSE)</f>
        <v>John</v>
      </c>
      <c r="N436" s="89" t="str">
        <f>VLOOKUP(K436,TeamLookup[],2,0)</f>
        <v>Cyber</v>
      </c>
      <c r="O436" s="84">
        <f>VLOOKUP(VALUE($S436),lookups!I:J,2,FALSE)</f>
        <v>3</v>
      </c>
      <c r="P436" s="84" t="e">
        <f>VLOOKUP(VALUE($S436),lookups!F:G,2,FALSE)</f>
        <v>#N/A</v>
      </c>
      <c r="Q436" s="84" t="str">
        <f t="shared" si="24"/>
        <v/>
      </c>
      <c r="R436" s="84">
        <f t="shared" si="25"/>
        <v>245560</v>
      </c>
      <c r="S436" s="84">
        <f t="shared" si="26"/>
        <v>395688</v>
      </c>
      <c r="T436" s="84">
        <f t="shared" si="27"/>
        <v>1018616</v>
      </c>
    </row>
    <row r="437" spans="1:20" ht="43.5" customHeight="1" x14ac:dyDescent="0.3">
      <c r="B437" s="84">
        <v>1018177</v>
      </c>
      <c r="C437" s="85">
        <v>395688</v>
      </c>
      <c r="D437" s="84" t="s">
        <v>6</v>
      </c>
      <c r="E437" s="84" t="s">
        <v>345</v>
      </c>
      <c r="F437" s="86" t="s">
        <v>1511</v>
      </c>
      <c r="G437" s="109" t="s">
        <v>258</v>
      </c>
      <c r="H437" s="87">
        <v>1</v>
      </c>
      <c r="I437" s="84"/>
      <c r="J437" s="84"/>
      <c r="K437" s="84" t="s">
        <v>1619</v>
      </c>
      <c r="L437" s="84" t="s">
        <v>114</v>
      </c>
      <c r="M437" s="88" t="str">
        <f>VLOOKUP(L437,lookups!B:C,2,FALSE)</f>
        <v>Shawn R</v>
      </c>
      <c r="N437" s="89" t="str">
        <f>VLOOKUP(K437,TeamLookup[],2,0)</f>
        <v>TOFF</v>
      </c>
      <c r="O437" s="84">
        <f>VLOOKUP(VALUE($S437),lookups!I:J,2,FALSE)</f>
        <v>3</v>
      </c>
      <c r="P437" s="84" t="e">
        <f>VLOOKUP(VALUE($S437),lookups!F:G,2,FALSE)</f>
        <v>#N/A</v>
      </c>
      <c r="Q437" s="84" t="str">
        <f t="shared" si="24"/>
        <v/>
      </c>
      <c r="R437" s="84">
        <f t="shared" si="25"/>
        <v>245560</v>
      </c>
      <c r="S437" s="84">
        <f t="shared" si="26"/>
        <v>395688</v>
      </c>
      <c r="T437" s="84">
        <f t="shared" si="27"/>
        <v>1018177</v>
      </c>
    </row>
    <row r="438" spans="1:20" ht="28.8" x14ac:dyDescent="0.3">
      <c r="B438" s="84">
        <v>1014501</v>
      </c>
      <c r="C438" s="85">
        <v>395688</v>
      </c>
      <c r="D438" s="84" t="s">
        <v>6</v>
      </c>
      <c r="E438" s="84" t="s">
        <v>345</v>
      </c>
      <c r="F438" s="86" t="s">
        <v>1465</v>
      </c>
      <c r="G438" s="109" t="s">
        <v>258</v>
      </c>
      <c r="H438" s="87">
        <v>3</v>
      </c>
      <c r="I438" s="89"/>
      <c r="J438" s="89"/>
      <c r="K438" s="89" t="s">
        <v>1614</v>
      </c>
      <c r="L438" s="84" t="s">
        <v>1375</v>
      </c>
      <c r="M438" s="88" t="str">
        <f>VLOOKUP(L438,lookups!B:C,2,FALSE)</f>
        <v>Kirk</v>
      </c>
      <c r="N438" s="89" t="str">
        <f>VLOOKUP(K438,TeamLookup[],2,0)</f>
        <v>Cyber</v>
      </c>
      <c r="O438" s="84">
        <f>VLOOKUP(VALUE($S438),lookups!I:J,2,FALSE)</f>
        <v>3</v>
      </c>
      <c r="P438" s="84" t="e">
        <f>VLOOKUP(VALUE($S438),lookups!F:G,2,FALSE)</f>
        <v>#N/A</v>
      </c>
      <c r="Q438" s="84" t="str">
        <f t="shared" si="24"/>
        <v/>
      </c>
      <c r="R438" s="84">
        <f t="shared" si="25"/>
        <v>245560</v>
      </c>
      <c r="S438" s="84">
        <f t="shared" si="26"/>
        <v>395688</v>
      </c>
      <c r="T438" s="84">
        <f t="shared" si="27"/>
        <v>1014501</v>
      </c>
    </row>
    <row r="439" spans="1:20" x14ac:dyDescent="0.3">
      <c r="B439" s="84">
        <v>395698</v>
      </c>
      <c r="C439" s="85">
        <v>395688</v>
      </c>
      <c r="D439" s="84" t="s">
        <v>6</v>
      </c>
      <c r="E439" s="84" t="s">
        <v>345</v>
      </c>
      <c r="F439" s="86" t="s">
        <v>1470</v>
      </c>
      <c r="G439" s="109" t="s">
        <v>258</v>
      </c>
      <c r="H439" s="87">
        <v>2</v>
      </c>
      <c r="I439" s="84"/>
      <c r="J439" s="84"/>
      <c r="K439" s="84" t="s">
        <v>1614</v>
      </c>
      <c r="L439" s="84" t="s">
        <v>1342</v>
      </c>
      <c r="M439" s="88" t="str">
        <f>VLOOKUP(L439,lookups!B:C,2,FALSE)</f>
        <v>John</v>
      </c>
      <c r="N439" s="89" t="str">
        <f>VLOOKUP(K439,TeamLookup[],2,0)</f>
        <v>Cyber</v>
      </c>
      <c r="O439" s="84">
        <f>VLOOKUP(VALUE($S439),lookups!I:J,2,FALSE)</f>
        <v>3</v>
      </c>
      <c r="P439" s="84" t="e">
        <f>VLOOKUP(VALUE($S439),lookups!F:G,2,FALSE)</f>
        <v>#N/A</v>
      </c>
      <c r="Q439" s="84" t="str">
        <f t="shared" si="24"/>
        <v/>
      </c>
      <c r="R439" s="84">
        <f t="shared" si="25"/>
        <v>245560</v>
      </c>
      <c r="S439" s="84">
        <f t="shared" si="26"/>
        <v>395688</v>
      </c>
      <c r="T439" s="84">
        <f t="shared" si="27"/>
        <v>395698</v>
      </c>
    </row>
    <row r="440" spans="1:20" ht="16.95" customHeight="1" x14ac:dyDescent="0.3">
      <c r="B440" s="84">
        <v>395696</v>
      </c>
      <c r="C440" s="85">
        <v>395688</v>
      </c>
      <c r="D440" s="84" t="s">
        <v>6</v>
      </c>
      <c r="E440" s="84" t="s">
        <v>345</v>
      </c>
      <c r="F440" s="86" t="s">
        <v>1471</v>
      </c>
      <c r="G440" s="109" t="s">
        <v>258</v>
      </c>
      <c r="H440" s="87">
        <v>3</v>
      </c>
      <c r="I440" s="89"/>
      <c r="J440" s="89"/>
      <c r="K440" s="89" t="s">
        <v>1614</v>
      </c>
      <c r="L440" s="84" t="s">
        <v>1342</v>
      </c>
      <c r="M440" s="88" t="str">
        <f>VLOOKUP(L440,lookups!B:C,2,FALSE)</f>
        <v>John</v>
      </c>
      <c r="N440" s="89" t="str">
        <f>VLOOKUP(K440,TeamLookup[],2,0)</f>
        <v>Cyber</v>
      </c>
      <c r="O440" s="84">
        <f>VLOOKUP(VALUE($S440),lookups!I:J,2,FALSE)</f>
        <v>3</v>
      </c>
      <c r="P440" s="84" t="e">
        <f>VLOOKUP(VALUE($S440),lookups!F:G,2,FALSE)</f>
        <v>#N/A</v>
      </c>
      <c r="Q440" s="84" t="str">
        <f t="shared" si="24"/>
        <v/>
      </c>
      <c r="R440" s="84">
        <f t="shared" si="25"/>
        <v>245560</v>
      </c>
      <c r="S440" s="84">
        <f t="shared" si="26"/>
        <v>395688</v>
      </c>
      <c r="T440" s="84">
        <f t="shared" si="27"/>
        <v>395696</v>
      </c>
    </row>
    <row r="441" spans="1:20" ht="42" customHeight="1" x14ac:dyDescent="0.3">
      <c r="B441" s="84">
        <v>1018617</v>
      </c>
      <c r="C441" s="85">
        <v>395688</v>
      </c>
      <c r="D441" s="84" t="s">
        <v>6</v>
      </c>
      <c r="E441" s="84" t="s">
        <v>7</v>
      </c>
      <c r="F441" s="86" t="s">
        <v>1518</v>
      </c>
      <c r="G441" s="109" t="s">
        <v>257</v>
      </c>
      <c r="H441" s="87">
        <v>1</v>
      </c>
      <c r="I441" s="89"/>
      <c r="J441" s="89"/>
      <c r="K441" s="89" t="s">
        <v>1614</v>
      </c>
      <c r="L441" s="84" t="s">
        <v>1342</v>
      </c>
      <c r="M441" s="88" t="str">
        <f>VLOOKUP(L441,lookups!B:C,2,FALSE)</f>
        <v>John</v>
      </c>
      <c r="N441" s="89" t="str">
        <f>VLOOKUP(K441,TeamLookup[],2,0)</f>
        <v>Cyber</v>
      </c>
      <c r="O441" s="84">
        <f>VLOOKUP(VALUE($S441),lookups!I:J,2,FALSE)</f>
        <v>3</v>
      </c>
      <c r="P441" s="84" t="e">
        <f>VLOOKUP(VALUE($S441),lookups!F:G,2,FALSE)</f>
        <v>#N/A</v>
      </c>
      <c r="Q441" s="84" t="str">
        <f t="shared" si="24"/>
        <v/>
      </c>
      <c r="R441" s="84">
        <f t="shared" si="25"/>
        <v>245560</v>
      </c>
      <c r="S441" s="84">
        <f t="shared" si="26"/>
        <v>395688</v>
      </c>
      <c r="T441" s="84">
        <f t="shared" si="27"/>
        <v>1018617</v>
      </c>
    </row>
    <row r="442" spans="1:20" ht="29.25" customHeight="1" x14ac:dyDescent="0.3">
      <c r="B442" s="84">
        <v>1017882</v>
      </c>
      <c r="C442" s="85">
        <v>395688</v>
      </c>
      <c r="D442" s="84" t="s">
        <v>6</v>
      </c>
      <c r="E442" s="84" t="s">
        <v>7</v>
      </c>
      <c r="F442" s="86" t="s">
        <v>1454</v>
      </c>
      <c r="G442" s="109" t="s">
        <v>257</v>
      </c>
      <c r="H442" s="87">
        <v>2</v>
      </c>
      <c r="I442" s="89"/>
      <c r="J442" s="89"/>
      <c r="K442" s="89" t="s">
        <v>1614</v>
      </c>
      <c r="L442" s="84" t="s">
        <v>1342</v>
      </c>
      <c r="M442" s="88" t="str">
        <f>VLOOKUP(L442,lookups!B:C,2,FALSE)</f>
        <v>John</v>
      </c>
      <c r="N442" s="89" t="str">
        <f>VLOOKUP(K442,TeamLookup[],2,0)</f>
        <v>Cyber</v>
      </c>
      <c r="O442" s="84">
        <f>VLOOKUP(VALUE($S442),lookups!I:J,2,FALSE)</f>
        <v>3</v>
      </c>
      <c r="P442" s="84" t="e">
        <f>VLOOKUP(VALUE($S442),lookups!F:G,2,FALSE)</f>
        <v>#N/A</v>
      </c>
      <c r="Q442" s="84" t="str">
        <f t="shared" si="24"/>
        <v/>
      </c>
      <c r="R442" s="84">
        <f t="shared" si="25"/>
        <v>245560</v>
      </c>
      <c r="S442" s="84">
        <f t="shared" si="26"/>
        <v>395688</v>
      </c>
      <c r="T442" s="84">
        <f t="shared" si="27"/>
        <v>1017882</v>
      </c>
    </row>
    <row r="443" spans="1:20" x14ac:dyDescent="0.3">
      <c r="A443" s="96"/>
      <c r="B443" s="84">
        <v>1017768</v>
      </c>
      <c r="C443" s="85">
        <v>395688</v>
      </c>
      <c r="D443" s="84" t="s">
        <v>6</v>
      </c>
      <c r="E443" s="84" t="s">
        <v>7</v>
      </c>
      <c r="F443" s="86" t="s">
        <v>1455</v>
      </c>
      <c r="G443" s="109" t="s">
        <v>257</v>
      </c>
      <c r="H443" s="87">
        <v>1</v>
      </c>
      <c r="I443" s="89"/>
      <c r="J443" s="89"/>
      <c r="K443" s="89" t="s">
        <v>1614</v>
      </c>
      <c r="L443" s="84" t="s">
        <v>1375</v>
      </c>
      <c r="M443" s="88" t="str">
        <f>VLOOKUP(L443,lookups!B:C,2,FALSE)</f>
        <v>Kirk</v>
      </c>
      <c r="N443" s="89" t="str">
        <f>VLOOKUP(K443,TeamLookup[],2,0)</f>
        <v>Cyber</v>
      </c>
      <c r="O443" s="84">
        <f>VLOOKUP(VALUE($S443),lookups!I:J,2,FALSE)</f>
        <v>3</v>
      </c>
      <c r="P443" s="84" t="e">
        <f>VLOOKUP(VALUE($S443),lookups!F:G,2,FALSE)</f>
        <v>#N/A</v>
      </c>
      <c r="Q443" s="84" t="str">
        <f t="shared" si="24"/>
        <v/>
      </c>
      <c r="R443" s="84">
        <f t="shared" si="25"/>
        <v>245560</v>
      </c>
      <c r="S443" s="84">
        <f t="shared" si="26"/>
        <v>395688</v>
      </c>
      <c r="T443" s="84">
        <f t="shared" si="27"/>
        <v>1017768</v>
      </c>
    </row>
    <row r="444" spans="1:20" ht="19.2" customHeight="1" x14ac:dyDescent="0.3">
      <c r="B444" s="84">
        <v>1014507</v>
      </c>
      <c r="C444" s="85">
        <v>395688</v>
      </c>
      <c r="D444" s="84" t="s">
        <v>6</v>
      </c>
      <c r="E444" s="84" t="s">
        <v>7</v>
      </c>
      <c r="F444" s="86" t="s">
        <v>1461</v>
      </c>
      <c r="G444" s="109" t="s">
        <v>257</v>
      </c>
      <c r="H444" s="87">
        <v>3</v>
      </c>
      <c r="I444" s="89"/>
      <c r="J444" s="89"/>
      <c r="K444" s="89" t="s">
        <v>1614</v>
      </c>
      <c r="L444" s="84" t="s">
        <v>1375</v>
      </c>
      <c r="M444" s="88" t="str">
        <f>VLOOKUP(L444,lookups!B:C,2,FALSE)</f>
        <v>Kirk</v>
      </c>
      <c r="N444" s="89" t="str">
        <f>VLOOKUP(K444,TeamLookup[],2,0)</f>
        <v>Cyber</v>
      </c>
      <c r="O444" s="84">
        <f>VLOOKUP(VALUE($S444),lookups!I:J,2,FALSE)</f>
        <v>3</v>
      </c>
      <c r="P444" s="84" t="e">
        <f>VLOOKUP(VALUE($S444),lookups!F:G,2,FALSE)</f>
        <v>#N/A</v>
      </c>
      <c r="Q444" s="84" t="str">
        <f t="shared" si="24"/>
        <v/>
      </c>
      <c r="R444" s="84">
        <f t="shared" si="25"/>
        <v>245560</v>
      </c>
      <c r="S444" s="84">
        <f t="shared" si="26"/>
        <v>395688</v>
      </c>
      <c r="T444" s="84">
        <f t="shared" si="27"/>
        <v>1014507</v>
      </c>
    </row>
    <row r="445" spans="1:20" ht="25.2" customHeight="1" x14ac:dyDescent="0.3">
      <c r="A445" s="96"/>
      <c r="B445" s="84">
        <v>1014506</v>
      </c>
      <c r="C445" s="85">
        <v>395688</v>
      </c>
      <c r="D445" s="84" t="s">
        <v>6</v>
      </c>
      <c r="E445" s="84" t="s">
        <v>7</v>
      </c>
      <c r="F445" s="86" t="s">
        <v>1462</v>
      </c>
      <c r="G445" s="109" t="s">
        <v>257</v>
      </c>
      <c r="H445" s="87">
        <v>2</v>
      </c>
      <c r="I445" s="89"/>
      <c r="J445" s="89"/>
      <c r="K445" s="89" t="s">
        <v>1614</v>
      </c>
      <c r="L445" s="84" t="s">
        <v>1375</v>
      </c>
      <c r="M445" s="88" t="str">
        <f>VLOOKUP(L445,lookups!B:C,2,FALSE)</f>
        <v>Kirk</v>
      </c>
      <c r="N445" s="89" t="str">
        <f>VLOOKUP(K445,TeamLookup[],2,0)</f>
        <v>Cyber</v>
      </c>
      <c r="O445" s="84">
        <f>VLOOKUP(VALUE($S445),lookups!I:J,2,FALSE)</f>
        <v>3</v>
      </c>
      <c r="P445" s="84" t="e">
        <f>VLOOKUP(VALUE($S445),lookups!F:G,2,FALSE)</f>
        <v>#N/A</v>
      </c>
      <c r="Q445" s="84" t="str">
        <f t="shared" si="24"/>
        <v/>
      </c>
      <c r="R445" s="84">
        <f t="shared" si="25"/>
        <v>245560</v>
      </c>
      <c r="S445" s="84">
        <f t="shared" si="26"/>
        <v>395688</v>
      </c>
      <c r="T445" s="84">
        <f t="shared" si="27"/>
        <v>1014506</v>
      </c>
    </row>
    <row r="446" spans="1:20" ht="15" customHeight="1" x14ac:dyDescent="0.3">
      <c r="B446" s="84">
        <v>1014503</v>
      </c>
      <c r="C446" s="85">
        <v>395688</v>
      </c>
      <c r="D446" s="84" t="s">
        <v>6</v>
      </c>
      <c r="E446" s="84" t="s">
        <v>7</v>
      </c>
      <c r="F446" s="86" t="s">
        <v>1463</v>
      </c>
      <c r="G446" s="109" t="s">
        <v>257</v>
      </c>
      <c r="H446" s="87">
        <v>2</v>
      </c>
      <c r="I446" s="84"/>
      <c r="J446" s="84"/>
      <c r="K446" s="84" t="s">
        <v>1614</v>
      </c>
      <c r="L446" s="84" t="s">
        <v>1375</v>
      </c>
      <c r="M446" s="88" t="str">
        <f>VLOOKUP(L446,lookups!B:C,2,FALSE)</f>
        <v>Kirk</v>
      </c>
      <c r="N446" s="89" t="str">
        <f>VLOOKUP(K446,TeamLookup[],2,0)</f>
        <v>Cyber</v>
      </c>
      <c r="O446" s="84">
        <f>VLOOKUP(VALUE($S446),lookups!I:J,2,FALSE)</f>
        <v>3</v>
      </c>
      <c r="P446" s="84" t="e">
        <f>VLOOKUP(VALUE($S446),lookups!F:G,2,FALSE)</f>
        <v>#N/A</v>
      </c>
      <c r="Q446" s="84" t="str">
        <f t="shared" si="24"/>
        <v/>
      </c>
      <c r="R446" s="84">
        <f t="shared" si="25"/>
        <v>245560</v>
      </c>
      <c r="S446" s="84">
        <f t="shared" si="26"/>
        <v>395688</v>
      </c>
      <c r="T446" s="84">
        <f t="shared" si="27"/>
        <v>1014503</v>
      </c>
    </row>
    <row r="447" spans="1:20" ht="18" customHeight="1" x14ac:dyDescent="0.3">
      <c r="B447" s="84">
        <v>1014502</v>
      </c>
      <c r="C447" s="85">
        <v>395688</v>
      </c>
      <c r="D447" s="84" t="s">
        <v>6</v>
      </c>
      <c r="E447" s="84" t="s">
        <v>7</v>
      </c>
      <c r="F447" s="86" t="s">
        <v>1464</v>
      </c>
      <c r="G447" s="119" t="s">
        <v>257</v>
      </c>
      <c r="H447" s="87">
        <v>2</v>
      </c>
      <c r="I447" s="89"/>
      <c r="J447" s="89"/>
      <c r="K447" s="89" t="s">
        <v>1614</v>
      </c>
      <c r="L447" s="84" t="s">
        <v>1375</v>
      </c>
      <c r="M447" s="88" t="str">
        <f>VLOOKUP(L447,lookups!B:C,2,FALSE)</f>
        <v>Kirk</v>
      </c>
      <c r="N447" s="89" t="str">
        <f>VLOOKUP(K447,TeamLookup[],2,0)</f>
        <v>Cyber</v>
      </c>
      <c r="O447" s="84">
        <f>VLOOKUP(VALUE($S447),lookups!I:J,2,FALSE)</f>
        <v>3</v>
      </c>
      <c r="P447" s="84" t="e">
        <f>VLOOKUP(VALUE($S447),lookups!F:G,2,FALSE)</f>
        <v>#N/A</v>
      </c>
      <c r="Q447" s="84" t="str">
        <f t="shared" si="24"/>
        <v/>
      </c>
      <c r="R447" s="84">
        <f t="shared" si="25"/>
        <v>245560</v>
      </c>
      <c r="S447" s="84">
        <f t="shared" si="26"/>
        <v>395688</v>
      </c>
      <c r="T447" s="84">
        <f t="shared" si="27"/>
        <v>1014502</v>
      </c>
    </row>
    <row r="448" spans="1:20" ht="18" customHeight="1" x14ac:dyDescent="0.3">
      <c r="B448" s="84">
        <v>395709</v>
      </c>
      <c r="C448" s="85">
        <v>395688</v>
      </c>
      <c r="D448" s="84" t="s">
        <v>6</v>
      </c>
      <c r="E448" s="84" t="s">
        <v>7</v>
      </c>
      <c r="F448" s="86" t="s">
        <v>1467</v>
      </c>
      <c r="G448" s="109" t="s">
        <v>257</v>
      </c>
      <c r="H448" s="87">
        <v>3</v>
      </c>
      <c r="I448" s="89"/>
      <c r="J448" s="89"/>
      <c r="K448" s="89" t="s">
        <v>1614</v>
      </c>
      <c r="L448" s="84" t="s">
        <v>1342</v>
      </c>
      <c r="M448" s="88" t="str">
        <f>VLOOKUP(L448,lookups!B:C,2,FALSE)</f>
        <v>John</v>
      </c>
      <c r="N448" s="89" t="str">
        <f>VLOOKUP(K448,TeamLookup[],2,0)</f>
        <v>Cyber</v>
      </c>
      <c r="O448" s="84">
        <f>VLOOKUP(VALUE($S448),lookups!I:J,2,FALSE)</f>
        <v>3</v>
      </c>
      <c r="P448" s="84" t="e">
        <f>VLOOKUP(VALUE($S448),lookups!F:G,2,FALSE)</f>
        <v>#N/A</v>
      </c>
      <c r="Q448" s="84" t="str">
        <f t="shared" si="24"/>
        <v/>
      </c>
      <c r="R448" s="84">
        <f t="shared" si="25"/>
        <v>245560</v>
      </c>
      <c r="S448" s="84">
        <f t="shared" si="26"/>
        <v>395688</v>
      </c>
      <c r="T448" s="84">
        <f t="shared" si="27"/>
        <v>395709</v>
      </c>
    </row>
    <row r="449" spans="1:20" ht="27.75" customHeight="1" x14ac:dyDescent="0.3">
      <c r="A449" s="96"/>
      <c r="B449" s="84">
        <v>395701</v>
      </c>
      <c r="C449" s="85">
        <v>395688</v>
      </c>
      <c r="D449" s="84" t="s">
        <v>6</v>
      </c>
      <c r="E449" s="84" t="s">
        <v>7</v>
      </c>
      <c r="F449" s="86" t="s">
        <v>1468</v>
      </c>
      <c r="G449" s="109" t="s">
        <v>257</v>
      </c>
      <c r="H449" s="87">
        <v>1</v>
      </c>
      <c r="I449" s="89"/>
      <c r="J449" s="89"/>
      <c r="K449" s="89" t="s">
        <v>1614</v>
      </c>
      <c r="L449" s="84" t="s">
        <v>1342</v>
      </c>
      <c r="M449" s="88" t="str">
        <f>VLOOKUP(L449,lookups!B:C,2,FALSE)</f>
        <v>John</v>
      </c>
      <c r="N449" s="89" t="str">
        <f>VLOOKUP(K449,TeamLookup[],2,0)</f>
        <v>Cyber</v>
      </c>
      <c r="O449" s="84">
        <f>VLOOKUP(VALUE($S449),lookups!I:J,2,FALSE)</f>
        <v>3</v>
      </c>
      <c r="P449" s="84" t="e">
        <f>VLOOKUP(VALUE($S449),lookups!F:G,2,FALSE)</f>
        <v>#N/A</v>
      </c>
      <c r="Q449" s="84" t="str">
        <f t="shared" si="24"/>
        <v/>
      </c>
      <c r="R449" s="84">
        <f t="shared" si="25"/>
        <v>245560</v>
      </c>
      <c r="S449" s="84">
        <f t="shared" si="26"/>
        <v>395688</v>
      </c>
      <c r="T449" s="84">
        <f t="shared" si="27"/>
        <v>395701</v>
      </c>
    </row>
    <row r="450" spans="1:20" x14ac:dyDescent="0.3">
      <c r="B450" s="84">
        <v>395699</v>
      </c>
      <c r="C450" s="85">
        <v>395688</v>
      </c>
      <c r="D450" s="84" t="s">
        <v>6</v>
      </c>
      <c r="E450" s="84" t="s">
        <v>7</v>
      </c>
      <c r="F450" s="86" t="s">
        <v>1469</v>
      </c>
      <c r="G450" s="109" t="s">
        <v>257</v>
      </c>
      <c r="H450" s="87">
        <v>2</v>
      </c>
      <c r="I450" s="84"/>
      <c r="J450" s="84"/>
      <c r="K450" s="84" t="s">
        <v>1614</v>
      </c>
      <c r="L450" s="84" t="s">
        <v>1342</v>
      </c>
      <c r="M450" s="88" t="str">
        <f>VLOOKUP(L450,lookups!B:C,2,FALSE)</f>
        <v>John</v>
      </c>
      <c r="N450" s="89" t="str">
        <f>VLOOKUP(K450,TeamLookup[],2,0)</f>
        <v>Cyber</v>
      </c>
      <c r="O450" s="84">
        <f>VLOOKUP(VALUE($S450),lookups!I:J,2,FALSE)</f>
        <v>3</v>
      </c>
      <c r="P450" s="84" t="e">
        <f>VLOOKUP(VALUE($S450),lookups!F:G,2,FALSE)</f>
        <v>#N/A</v>
      </c>
      <c r="Q450" s="84" t="str">
        <f t="shared" ref="Q450:Q513" si="28">IF($B450="","ZeroEntry",
IF($D450="Program Epic","",
IF(OR($D450="Feature",$D450="Story",$D450="Task"),
  IF($C450="","Missing_ParentEntry",
IF(ISERROR(MATCH(VALUE($C450),$B:$B,0)),"ParentNotInCyberQuery",
IF(AND($D450="Story",VLOOKUP(VALUE($C450),$B:$D,3,FALSE)&lt;&gt;"Feature"),"Warning: StoryParentIs_"&amp;VLOOKUP(VALUE($C450),$B:$D,3,FALSE)&amp;"_NotFeature",
IF(AND(OR($D450="Story",$D450="Task"),VLOOKUP(VALUE($C450),$B:$C,2,FALSE)=""),"MissingGrandparent",
IF(AND($D450="Feature",ISERROR(MATCH("#"&amp;$B450,$C:$C,0))),"FeatureHasNoStories",
IF(AND($D450="Feature",VLOOKUP(VALUE($C450),$B:$D,3,FALSE)&lt;&gt;"Program Epic"),"FeatureParentIs_"&amp;VLOOKUP(VALUE($C450),$B:$D,3,FALSE)&amp;"_NotEpic","")))))),"")))</f>
        <v/>
      </c>
      <c r="R450" s="84">
        <f t="shared" ref="R450:R513" si="29">IF(AND($Q450&lt;&gt;"FeatureHasNoStories","Warning: StoryParentIs_Program Epic_NotFeature"&lt;&gt;$Q450,$Q450&lt;&gt;"ParentNotInCyberQuery",$Q450&lt;&gt;""),$Q450,
IF($D450="Program Epic",B450,
IF($D450="Feature",VALUE($C450),
IF("Warning: StoryParentIs_Program Epic_NotFeature"=$Q450,VALUE($C450),
IF(AND($D450="Story",$Q450="ParentNotInCyberQuery"),"MT",
IF($C450=0,"N/A",
IF(OR($D450="Story",$D450="Task"),VALUE(VLOOKUP(VALUE($C450),$B:$C,2,FALSE)),"N/A")))))))</f>
        <v>245560</v>
      </c>
      <c r="S450" s="84">
        <f t="shared" ref="S450:S513" si="30">IF($D450="Program Epic",0,
IF($D450="Feature",$B450,
IF($C450=0,"NoParentFeature",VALUE($C450))))</f>
        <v>395688</v>
      </c>
      <c r="T450" s="84">
        <f t="shared" ref="T450:T513" si="31">IF(OR($D450="Story",$D450="Task"),$B450,0)</f>
        <v>395699</v>
      </c>
    </row>
    <row r="451" spans="1:20" x14ac:dyDescent="0.3">
      <c r="B451" s="84">
        <v>395688</v>
      </c>
      <c r="C451" s="85">
        <v>245560</v>
      </c>
      <c r="D451" s="84" t="s">
        <v>24</v>
      </c>
      <c r="E451" s="84" t="s">
        <v>105</v>
      </c>
      <c r="F451" s="86" t="s">
        <v>1428</v>
      </c>
      <c r="G451" s="109" t="s">
        <v>257</v>
      </c>
      <c r="H451" s="87"/>
      <c r="I451" s="84" t="s">
        <v>397</v>
      </c>
      <c r="J451" s="84"/>
      <c r="K451" s="84" t="s">
        <v>1614</v>
      </c>
      <c r="L451" s="84" t="s">
        <v>1342</v>
      </c>
      <c r="M451" s="88" t="str">
        <f>VLOOKUP(L451,lookups!B:C,2,FALSE)</f>
        <v>John</v>
      </c>
      <c r="N451" s="89" t="str">
        <f>VLOOKUP(K451,TeamLookup[],2,0)</f>
        <v>Cyber</v>
      </c>
      <c r="O451" s="84">
        <f>VLOOKUP(VALUE($S451),lookups!I:J,2,FALSE)</f>
        <v>3</v>
      </c>
      <c r="P451" s="84" t="e">
        <f>VLOOKUP(VALUE($S451),lookups!F:G,2,FALSE)</f>
        <v>#N/A</v>
      </c>
      <c r="Q451" s="84" t="str">
        <f t="shared" si="28"/>
        <v>ParentNotInCyberQuery</v>
      </c>
      <c r="R451" s="84">
        <f t="shared" si="29"/>
        <v>245560</v>
      </c>
      <c r="S451" s="84">
        <f t="shared" si="30"/>
        <v>395688</v>
      </c>
      <c r="T451" s="84">
        <f t="shared" si="31"/>
        <v>0</v>
      </c>
    </row>
    <row r="452" spans="1:20" x14ac:dyDescent="0.3">
      <c r="A452" s="96"/>
      <c r="B452" s="84">
        <v>1008622</v>
      </c>
      <c r="C452" s="85">
        <v>395835</v>
      </c>
      <c r="D452" s="84" t="s">
        <v>6</v>
      </c>
      <c r="E452" s="84" t="s">
        <v>345</v>
      </c>
      <c r="F452" s="86" t="s">
        <v>305</v>
      </c>
      <c r="G452" s="109" t="s">
        <v>217</v>
      </c>
      <c r="H452" s="87">
        <v>1</v>
      </c>
      <c r="I452" s="84"/>
      <c r="J452" s="84"/>
      <c r="K452" s="84" t="s">
        <v>1614</v>
      </c>
      <c r="L452" s="84" t="s">
        <v>125</v>
      </c>
      <c r="M452" s="88" t="str">
        <f>VLOOKUP(L452,lookups!B:C,2,FALSE)</f>
        <v>Dave C</v>
      </c>
      <c r="N452" s="89" t="str">
        <f>VLOOKUP(K452,TeamLookup[],2,0)</f>
        <v>Cyber</v>
      </c>
      <c r="O452" s="84" t="e">
        <f>VLOOKUP(VALUE($S452),lookups!I:J,2,FALSE)</f>
        <v>#N/A</v>
      </c>
      <c r="P452" s="84" t="e">
        <f>VLOOKUP(VALUE($S452),lookups!F:G,2,FALSE)</f>
        <v>#N/A</v>
      </c>
      <c r="Q452" s="84" t="str">
        <f t="shared" si="28"/>
        <v/>
      </c>
      <c r="R452" s="84">
        <f t="shared" si="29"/>
        <v>245560</v>
      </c>
      <c r="S452" s="84">
        <f t="shared" si="30"/>
        <v>395835</v>
      </c>
      <c r="T452" s="84">
        <f t="shared" si="31"/>
        <v>1008622</v>
      </c>
    </row>
    <row r="453" spans="1:20" ht="39.75" customHeight="1" x14ac:dyDescent="0.3">
      <c r="B453" s="84">
        <v>395837</v>
      </c>
      <c r="C453" s="85">
        <v>395835</v>
      </c>
      <c r="D453" s="84" t="s">
        <v>6</v>
      </c>
      <c r="E453" s="84" t="s">
        <v>345</v>
      </c>
      <c r="F453" s="86" t="s">
        <v>255</v>
      </c>
      <c r="G453" s="109" t="s">
        <v>267</v>
      </c>
      <c r="H453" s="87">
        <v>1</v>
      </c>
      <c r="I453" s="89"/>
      <c r="J453" s="89"/>
      <c r="K453" s="89" t="s">
        <v>1614</v>
      </c>
      <c r="L453" s="84" t="s">
        <v>125</v>
      </c>
      <c r="M453" s="88" t="str">
        <f>VLOOKUP(L453,lookups!B:C,2,FALSE)</f>
        <v>Dave C</v>
      </c>
      <c r="N453" s="89" t="str">
        <f>VLOOKUP(K453,TeamLookup[],2,0)</f>
        <v>Cyber</v>
      </c>
      <c r="O453" s="84" t="e">
        <f>VLOOKUP(VALUE($S453),lookups!I:J,2,FALSE)</f>
        <v>#N/A</v>
      </c>
      <c r="P453" s="84" t="e">
        <f>VLOOKUP(VALUE($S453),lookups!F:G,2,FALSE)</f>
        <v>#N/A</v>
      </c>
      <c r="Q453" s="84" t="str">
        <f t="shared" si="28"/>
        <v/>
      </c>
      <c r="R453" s="84">
        <f t="shared" si="29"/>
        <v>245560</v>
      </c>
      <c r="S453" s="84">
        <f t="shared" si="30"/>
        <v>395835</v>
      </c>
      <c r="T453" s="84">
        <f t="shared" si="31"/>
        <v>395837</v>
      </c>
    </row>
    <row r="454" spans="1:20" x14ac:dyDescent="0.3">
      <c r="B454" s="84">
        <v>395839</v>
      </c>
      <c r="C454" s="85">
        <v>395835</v>
      </c>
      <c r="D454" s="84" t="s">
        <v>6</v>
      </c>
      <c r="E454" s="84" t="s">
        <v>345</v>
      </c>
      <c r="F454" s="86" t="s">
        <v>254</v>
      </c>
      <c r="G454" s="109" t="s">
        <v>263</v>
      </c>
      <c r="H454" s="87">
        <v>1</v>
      </c>
      <c r="I454" s="89"/>
      <c r="J454" s="89"/>
      <c r="K454" s="89" t="s">
        <v>1614</v>
      </c>
      <c r="L454" s="84" t="s">
        <v>125</v>
      </c>
      <c r="M454" s="88" t="str">
        <f>VLOOKUP(L454,lookups!B:C,2,FALSE)</f>
        <v>Dave C</v>
      </c>
      <c r="N454" s="89" t="str">
        <f>VLOOKUP(K454,TeamLookup[],2,0)</f>
        <v>Cyber</v>
      </c>
      <c r="O454" s="84" t="e">
        <f>VLOOKUP(VALUE($S454),lookups!I:J,2,FALSE)</f>
        <v>#N/A</v>
      </c>
      <c r="P454" s="84" t="e">
        <f>VLOOKUP(VALUE($S454),lookups!F:G,2,FALSE)</f>
        <v>#N/A</v>
      </c>
      <c r="Q454" s="84" t="str">
        <f t="shared" si="28"/>
        <v/>
      </c>
      <c r="R454" s="84">
        <f t="shared" si="29"/>
        <v>245560</v>
      </c>
      <c r="S454" s="84">
        <f t="shared" si="30"/>
        <v>395835</v>
      </c>
      <c r="T454" s="84">
        <f t="shared" si="31"/>
        <v>395839</v>
      </c>
    </row>
    <row r="455" spans="1:20" x14ac:dyDescent="0.3">
      <c r="B455" s="84">
        <v>395846</v>
      </c>
      <c r="C455" s="85">
        <v>395835</v>
      </c>
      <c r="D455" s="84" t="s">
        <v>6</v>
      </c>
      <c r="E455" s="84" t="s">
        <v>345</v>
      </c>
      <c r="F455" s="86" t="s">
        <v>252</v>
      </c>
      <c r="G455" s="109" t="s">
        <v>262</v>
      </c>
      <c r="H455" s="87">
        <v>2</v>
      </c>
      <c r="I455" s="89"/>
      <c r="J455" s="89"/>
      <c r="K455" s="89" t="s">
        <v>1614</v>
      </c>
      <c r="L455" s="84" t="s">
        <v>125</v>
      </c>
      <c r="M455" s="88" t="str">
        <f>VLOOKUP(L455,lookups!B:C,2,FALSE)</f>
        <v>Dave C</v>
      </c>
      <c r="N455" s="89" t="str">
        <f>VLOOKUP(K455,TeamLookup[],2,0)</f>
        <v>Cyber</v>
      </c>
      <c r="O455" s="84" t="e">
        <f>VLOOKUP(VALUE($S455),lookups!I:J,2,FALSE)</f>
        <v>#N/A</v>
      </c>
      <c r="P455" s="84" t="e">
        <f>VLOOKUP(VALUE($S455),lookups!F:G,2,FALSE)</f>
        <v>#N/A</v>
      </c>
      <c r="Q455" s="84" t="str">
        <f t="shared" si="28"/>
        <v/>
      </c>
      <c r="R455" s="84">
        <f t="shared" si="29"/>
        <v>245560</v>
      </c>
      <c r="S455" s="84">
        <f t="shared" si="30"/>
        <v>395835</v>
      </c>
      <c r="T455" s="84">
        <f t="shared" si="31"/>
        <v>395846</v>
      </c>
    </row>
    <row r="456" spans="1:20" x14ac:dyDescent="0.3">
      <c r="B456" s="84">
        <v>395843</v>
      </c>
      <c r="C456" s="85">
        <v>395835</v>
      </c>
      <c r="D456" s="84" t="s">
        <v>6</v>
      </c>
      <c r="E456" s="84" t="s">
        <v>345</v>
      </c>
      <c r="F456" s="86" t="s">
        <v>253</v>
      </c>
      <c r="G456" s="109" t="s">
        <v>262</v>
      </c>
      <c r="H456" s="87">
        <v>1</v>
      </c>
      <c r="I456" s="89"/>
      <c r="J456" s="89"/>
      <c r="K456" s="89" t="s">
        <v>1614</v>
      </c>
      <c r="L456" s="84" t="s">
        <v>11</v>
      </c>
      <c r="M456" s="88" t="str">
        <f>VLOOKUP(L456,lookups!B:C,2,FALSE)</f>
        <v>Randy</v>
      </c>
      <c r="N456" s="89" t="str">
        <f>VLOOKUP(K456,TeamLookup[],2,0)</f>
        <v>Cyber</v>
      </c>
      <c r="O456" s="84" t="e">
        <f>VLOOKUP(VALUE($S456),lookups!I:J,2,FALSE)</f>
        <v>#N/A</v>
      </c>
      <c r="P456" s="84" t="e">
        <f>VLOOKUP(VALUE($S456),lookups!F:G,2,FALSE)</f>
        <v>#N/A</v>
      </c>
      <c r="Q456" s="84" t="str">
        <f t="shared" si="28"/>
        <v/>
      </c>
      <c r="R456" s="84">
        <f t="shared" si="29"/>
        <v>245560</v>
      </c>
      <c r="S456" s="84">
        <f t="shared" si="30"/>
        <v>395835</v>
      </c>
      <c r="T456" s="84">
        <f t="shared" si="31"/>
        <v>395843</v>
      </c>
    </row>
    <row r="457" spans="1:20" x14ac:dyDescent="0.3">
      <c r="A457" s="96"/>
      <c r="B457" s="84">
        <v>395835</v>
      </c>
      <c r="C457" s="85">
        <v>245560</v>
      </c>
      <c r="D457" s="84" t="s">
        <v>24</v>
      </c>
      <c r="E457" s="84" t="s">
        <v>345</v>
      </c>
      <c r="F457" s="86" t="s">
        <v>274</v>
      </c>
      <c r="G457" s="109" t="s">
        <v>262</v>
      </c>
      <c r="H457" s="87"/>
      <c r="I457" s="84" t="s">
        <v>48</v>
      </c>
      <c r="J457" s="84"/>
      <c r="K457" s="84" t="s">
        <v>1614</v>
      </c>
      <c r="L457" s="84" t="s">
        <v>125</v>
      </c>
      <c r="M457" s="88" t="str">
        <f>VLOOKUP(L457,lookups!B:C,2,FALSE)</f>
        <v>Dave C</v>
      </c>
      <c r="N457" s="89" t="str">
        <f>VLOOKUP(K457,TeamLookup[],2,0)</f>
        <v>Cyber</v>
      </c>
      <c r="O457" s="84" t="e">
        <f>VLOOKUP(VALUE($S457),lookups!I:J,2,FALSE)</f>
        <v>#N/A</v>
      </c>
      <c r="P457" s="84" t="e">
        <f>VLOOKUP(VALUE($S457),lookups!F:G,2,FALSE)</f>
        <v>#N/A</v>
      </c>
      <c r="Q457" s="84" t="str">
        <f t="shared" si="28"/>
        <v>ParentNotInCyberQuery</v>
      </c>
      <c r="R457" s="84">
        <f t="shared" si="29"/>
        <v>245560</v>
      </c>
      <c r="S457" s="84">
        <f t="shared" si="30"/>
        <v>395835</v>
      </c>
      <c r="T457" s="84">
        <f t="shared" si="31"/>
        <v>0</v>
      </c>
    </row>
    <row r="458" spans="1:20" x14ac:dyDescent="0.3">
      <c r="B458" s="84">
        <v>1015885</v>
      </c>
      <c r="C458" s="85">
        <v>395853</v>
      </c>
      <c r="D458" s="84" t="s">
        <v>6</v>
      </c>
      <c r="E458" s="84" t="s">
        <v>345</v>
      </c>
      <c r="F458" s="86" t="s">
        <v>1438</v>
      </c>
      <c r="G458" s="109" t="s">
        <v>260</v>
      </c>
      <c r="H458" s="87">
        <v>5</v>
      </c>
      <c r="I458" s="89"/>
      <c r="J458" s="89"/>
      <c r="K458" s="89" t="s">
        <v>1614</v>
      </c>
      <c r="L458" s="84" t="s">
        <v>125</v>
      </c>
      <c r="M458" s="88" t="str">
        <f>VLOOKUP(L458,lookups!B:C,2,FALSE)</f>
        <v>Dave C</v>
      </c>
      <c r="N458" s="89" t="str">
        <f>VLOOKUP(K458,TeamLookup[],2,0)</f>
        <v>Cyber</v>
      </c>
      <c r="O458" s="84">
        <f>VLOOKUP(VALUE($S458),lookups!I:J,2,FALSE)</f>
        <v>2</v>
      </c>
      <c r="P458" s="84" t="e">
        <f>VLOOKUP(VALUE($S458),lookups!F:G,2,FALSE)</f>
        <v>#N/A</v>
      </c>
      <c r="Q458" s="84" t="str">
        <f t="shared" si="28"/>
        <v/>
      </c>
      <c r="R458" s="84">
        <f t="shared" si="29"/>
        <v>245560</v>
      </c>
      <c r="S458" s="84">
        <f t="shared" si="30"/>
        <v>395853</v>
      </c>
      <c r="T458" s="84">
        <f t="shared" si="31"/>
        <v>1015885</v>
      </c>
    </row>
    <row r="459" spans="1:20" x14ac:dyDescent="0.3">
      <c r="B459" s="84">
        <v>395876</v>
      </c>
      <c r="C459" s="85">
        <v>395853</v>
      </c>
      <c r="D459" s="84" t="s">
        <v>6</v>
      </c>
      <c r="E459" s="84" t="s">
        <v>345</v>
      </c>
      <c r="F459" s="86" t="s">
        <v>251</v>
      </c>
      <c r="G459" s="109" t="s">
        <v>260</v>
      </c>
      <c r="H459" s="87">
        <v>1</v>
      </c>
      <c r="I459" s="84"/>
      <c r="J459" s="84"/>
      <c r="K459" s="84" t="s">
        <v>1614</v>
      </c>
      <c r="L459" s="84" t="s">
        <v>214</v>
      </c>
      <c r="M459" s="88" t="str">
        <f>VLOOKUP(L459,lookups!B:C,2,FALSE)</f>
        <v>Dave G</v>
      </c>
      <c r="N459" s="89" t="str">
        <f>VLOOKUP(K459,TeamLookup[],2,0)</f>
        <v>Cyber</v>
      </c>
      <c r="O459" s="84">
        <f>VLOOKUP(VALUE($S459),lookups!I:J,2,FALSE)</f>
        <v>2</v>
      </c>
      <c r="P459" s="84" t="e">
        <f>VLOOKUP(VALUE($S459),lookups!F:G,2,FALSE)</f>
        <v>#N/A</v>
      </c>
      <c r="Q459" s="84" t="str">
        <f t="shared" si="28"/>
        <v/>
      </c>
      <c r="R459" s="84">
        <f t="shared" si="29"/>
        <v>245560</v>
      </c>
      <c r="S459" s="84">
        <f t="shared" si="30"/>
        <v>395853</v>
      </c>
      <c r="T459" s="84">
        <f t="shared" si="31"/>
        <v>395876</v>
      </c>
    </row>
    <row r="460" spans="1:20" x14ac:dyDescent="0.3">
      <c r="B460" s="84">
        <v>395877</v>
      </c>
      <c r="C460" s="85">
        <v>395853</v>
      </c>
      <c r="D460" s="84" t="s">
        <v>6</v>
      </c>
      <c r="E460" s="84" t="s">
        <v>345</v>
      </c>
      <c r="F460" s="86" t="s">
        <v>250</v>
      </c>
      <c r="G460" s="109" t="s">
        <v>259</v>
      </c>
      <c r="H460" s="87">
        <v>1</v>
      </c>
      <c r="I460" s="89"/>
      <c r="J460" s="89"/>
      <c r="K460" s="89" t="s">
        <v>1614</v>
      </c>
      <c r="L460" s="84" t="s">
        <v>214</v>
      </c>
      <c r="M460" s="88" t="str">
        <f>VLOOKUP(L460,lookups!B:C,2,FALSE)</f>
        <v>Dave G</v>
      </c>
      <c r="N460" s="89" t="str">
        <f>VLOOKUP(K460,TeamLookup[],2,0)</f>
        <v>Cyber</v>
      </c>
      <c r="O460" s="84">
        <f>VLOOKUP(VALUE($S460),lookups!I:J,2,FALSE)</f>
        <v>2</v>
      </c>
      <c r="P460" s="84" t="e">
        <f>VLOOKUP(VALUE($S460),lookups!F:G,2,FALSE)</f>
        <v>#N/A</v>
      </c>
      <c r="Q460" s="84" t="str">
        <f t="shared" si="28"/>
        <v/>
      </c>
      <c r="R460" s="84">
        <f t="shared" si="29"/>
        <v>245560</v>
      </c>
      <c r="S460" s="84">
        <f t="shared" si="30"/>
        <v>395853</v>
      </c>
      <c r="T460" s="84">
        <f t="shared" si="31"/>
        <v>395877</v>
      </c>
    </row>
    <row r="461" spans="1:20" ht="27.6" customHeight="1" x14ac:dyDescent="0.3">
      <c r="B461" s="84">
        <v>395895</v>
      </c>
      <c r="C461" s="85">
        <v>395853</v>
      </c>
      <c r="D461" s="84" t="s">
        <v>6</v>
      </c>
      <c r="E461" s="84" t="s">
        <v>345</v>
      </c>
      <c r="F461" s="86" t="s">
        <v>244</v>
      </c>
      <c r="G461" s="109" t="s">
        <v>256</v>
      </c>
      <c r="H461" s="87">
        <v>2</v>
      </c>
      <c r="I461" s="89"/>
      <c r="J461" s="89"/>
      <c r="K461" s="89" t="s">
        <v>1614</v>
      </c>
      <c r="L461" s="84" t="s">
        <v>125</v>
      </c>
      <c r="M461" s="88" t="str">
        <f>VLOOKUP(L461,lookups!B:C,2,FALSE)</f>
        <v>Dave C</v>
      </c>
      <c r="N461" s="89" t="str">
        <f>VLOOKUP(K461,TeamLookup[],2,0)</f>
        <v>Cyber</v>
      </c>
      <c r="O461" s="84">
        <f>VLOOKUP(VALUE($S461),lookups!I:J,2,FALSE)</f>
        <v>2</v>
      </c>
      <c r="P461" s="84" t="e">
        <f>VLOOKUP(VALUE($S461),lookups!F:G,2,FALSE)</f>
        <v>#N/A</v>
      </c>
      <c r="Q461" s="84" t="str">
        <f t="shared" si="28"/>
        <v/>
      </c>
      <c r="R461" s="84">
        <f t="shared" si="29"/>
        <v>245560</v>
      </c>
      <c r="S461" s="84">
        <f t="shared" si="30"/>
        <v>395853</v>
      </c>
      <c r="T461" s="84">
        <f t="shared" si="31"/>
        <v>395895</v>
      </c>
    </row>
    <row r="462" spans="1:20" ht="27.6" customHeight="1" x14ac:dyDescent="0.3">
      <c r="B462" s="84">
        <v>395886</v>
      </c>
      <c r="C462" s="85">
        <v>395853</v>
      </c>
      <c r="D462" s="84" t="s">
        <v>6</v>
      </c>
      <c r="E462" s="84" t="s">
        <v>345</v>
      </c>
      <c r="F462" s="86" t="s">
        <v>1608</v>
      </c>
      <c r="G462" s="109" t="s">
        <v>256</v>
      </c>
      <c r="H462" s="87">
        <v>3</v>
      </c>
      <c r="I462" s="89"/>
      <c r="J462" s="89"/>
      <c r="K462" s="89" t="s">
        <v>1614</v>
      </c>
      <c r="L462" s="84" t="s">
        <v>125</v>
      </c>
      <c r="M462" s="88" t="str">
        <f>VLOOKUP(L462,lookups!B:C,2,FALSE)</f>
        <v>Dave C</v>
      </c>
      <c r="N462" s="89" t="str">
        <f>VLOOKUP(K462,TeamLookup[],2,0)</f>
        <v>Cyber</v>
      </c>
      <c r="O462" s="84">
        <f>VLOOKUP(VALUE($S462),lookups!I:J,2,FALSE)</f>
        <v>2</v>
      </c>
      <c r="P462" s="84" t="e">
        <f>VLOOKUP(VALUE($S462),lookups!F:G,2,FALSE)</f>
        <v>#N/A</v>
      </c>
      <c r="Q462" s="84" t="str">
        <f t="shared" si="28"/>
        <v/>
      </c>
      <c r="R462" s="84">
        <f t="shared" si="29"/>
        <v>245560</v>
      </c>
      <c r="S462" s="84">
        <f t="shared" si="30"/>
        <v>395853</v>
      </c>
      <c r="T462" s="84">
        <f t="shared" si="31"/>
        <v>395886</v>
      </c>
    </row>
    <row r="463" spans="1:20" x14ac:dyDescent="0.3">
      <c r="B463" s="84">
        <v>395878</v>
      </c>
      <c r="C463" s="85">
        <v>395853</v>
      </c>
      <c r="D463" s="84" t="s">
        <v>6</v>
      </c>
      <c r="E463" s="84" t="s">
        <v>345</v>
      </c>
      <c r="F463" s="86" t="s">
        <v>249</v>
      </c>
      <c r="G463" s="109" t="s">
        <v>256</v>
      </c>
      <c r="H463" s="87">
        <v>1</v>
      </c>
      <c r="I463" s="84"/>
      <c r="J463" s="84"/>
      <c r="K463" s="84" t="s">
        <v>1614</v>
      </c>
      <c r="L463" s="84" t="s">
        <v>125</v>
      </c>
      <c r="M463" s="88" t="str">
        <f>VLOOKUP(L463,lookups!B:C,2,FALSE)</f>
        <v>Dave C</v>
      </c>
      <c r="N463" s="89" t="str">
        <f>VLOOKUP(K463,TeamLookup[],2,0)</f>
        <v>Cyber</v>
      </c>
      <c r="O463" s="84">
        <f>VLOOKUP(VALUE($S463),lookups!I:J,2,FALSE)</f>
        <v>2</v>
      </c>
      <c r="P463" s="84" t="e">
        <f>VLOOKUP(VALUE($S463),lookups!F:G,2,FALSE)</f>
        <v>#N/A</v>
      </c>
      <c r="Q463" s="84" t="str">
        <f t="shared" si="28"/>
        <v/>
      </c>
      <c r="R463" s="84">
        <f t="shared" si="29"/>
        <v>245560</v>
      </c>
      <c r="S463" s="84">
        <f t="shared" si="30"/>
        <v>395853</v>
      </c>
      <c r="T463" s="84">
        <f t="shared" si="31"/>
        <v>395878</v>
      </c>
    </row>
    <row r="464" spans="1:20" ht="19.2" customHeight="1" x14ac:dyDescent="0.3">
      <c r="B464" s="84">
        <v>395884</v>
      </c>
      <c r="C464" s="85">
        <v>395853</v>
      </c>
      <c r="D464" s="84" t="s">
        <v>6</v>
      </c>
      <c r="E464" s="84" t="s">
        <v>345</v>
      </c>
      <c r="F464" s="86" t="s">
        <v>1481</v>
      </c>
      <c r="G464" s="109" t="s">
        <v>258</v>
      </c>
      <c r="H464" s="87">
        <v>1</v>
      </c>
      <c r="I464" s="89"/>
      <c r="J464" s="89"/>
      <c r="K464" s="89" t="s">
        <v>1614</v>
      </c>
      <c r="L464" s="84" t="s">
        <v>125</v>
      </c>
      <c r="M464" s="88" t="str">
        <f>VLOOKUP(L464,lookups!B:C,2,FALSE)</f>
        <v>Dave C</v>
      </c>
      <c r="N464" s="89" t="str">
        <f>VLOOKUP(K464,TeamLookup[],2,0)</f>
        <v>Cyber</v>
      </c>
      <c r="O464" s="84">
        <f>VLOOKUP(VALUE($S464),lookups!I:J,2,FALSE)</f>
        <v>2</v>
      </c>
      <c r="P464" s="84" t="e">
        <f>VLOOKUP(VALUE($S464),lookups!F:G,2,FALSE)</f>
        <v>#N/A</v>
      </c>
      <c r="Q464" s="84" t="str">
        <f t="shared" si="28"/>
        <v/>
      </c>
      <c r="R464" s="84">
        <f t="shared" si="29"/>
        <v>245560</v>
      </c>
      <c r="S464" s="84">
        <f t="shared" si="30"/>
        <v>395853</v>
      </c>
      <c r="T464" s="84">
        <f t="shared" si="31"/>
        <v>395884</v>
      </c>
    </row>
    <row r="465" spans="1:20" ht="18.600000000000001" customHeight="1" x14ac:dyDescent="0.3">
      <c r="A465" s="96"/>
      <c r="B465" s="84">
        <v>395880</v>
      </c>
      <c r="C465" s="85">
        <v>395853</v>
      </c>
      <c r="D465" s="84" t="s">
        <v>6</v>
      </c>
      <c r="E465" s="84" t="s">
        <v>345</v>
      </c>
      <c r="F465" s="86" t="s">
        <v>248</v>
      </c>
      <c r="G465" s="109" t="s">
        <v>258</v>
      </c>
      <c r="H465" s="87">
        <v>1</v>
      </c>
      <c r="I465" s="89"/>
      <c r="J465" s="89"/>
      <c r="K465" s="89" t="s">
        <v>1614</v>
      </c>
      <c r="L465" s="84" t="s">
        <v>214</v>
      </c>
      <c r="M465" s="88" t="str">
        <f>VLOOKUP(L465,lookups!B:C,2,FALSE)</f>
        <v>Dave G</v>
      </c>
      <c r="N465" s="89" t="str">
        <f>VLOOKUP(K465,TeamLookup[],2,0)</f>
        <v>Cyber</v>
      </c>
      <c r="O465" s="84">
        <f>VLOOKUP(VALUE($S465),lookups!I:J,2,FALSE)</f>
        <v>2</v>
      </c>
      <c r="P465" s="84" t="e">
        <f>VLOOKUP(VALUE($S465),lookups!F:G,2,FALSE)</f>
        <v>#N/A</v>
      </c>
      <c r="Q465" s="84" t="str">
        <f t="shared" si="28"/>
        <v/>
      </c>
      <c r="R465" s="84">
        <f t="shared" si="29"/>
        <v>245560</v>
      </c>
      <c r="S465" s="84">
        <f t="shared" si="30"/>
        <v>395853</v>
      </c>
      <c r="T465" s="84">
        <f t="shared" si="31"/>
        <v>395880</v>
      </c>
    </row>
    <row r="466" spans="1:20" x14ac:dyDescent="0.3">
      <c r="B466" s="84">
        <v>1018029</v>
      </c>
      <c r="C466" s="85">
        <v>395853</v>
      </c>
      <c r="D466" s="84" t="s">
        <v>6</v>
      </c>
      <c r="E466" s="84" t="s">
        <v>7</v>
      </c>
      <c r="F466" s="86" t="s">
        <v>1480</v>
      </c>
      <c r="G466" s="109" t="s">
        <v>257</v>
      </c>
      <c r="H466" s="87">
        <v>2</v>
      </c>
      <c r="I466" s="84"/>
      <c r="J466" s="84"/>
      <c r="K466" s="84" t="s">
        <v>1614</v>
      </c>
      <c r="L466" s="84" t="s">
        <v>125</v>
      </c>
      <c r="M466" s="88" t="str">
        <f>VLOOKUP(L466,lookups!B:C,2,FALSE)</f>
        <v>Dave C</v>
      </c>
      <c r="N466" s="89" t="str">
        <f>VLOOKUP(K466,TeamLookup[],2,0)</f>
        <v>Cyber</v>
      </c>
      <c r="O466" s="84">
        <f>VLOOKUP(VALUE($S466),lookups!I:J,2,FALSE)</f>
        <v>2</v>
      </c>
      <c r="P466" s="84" t="e">
        <f>VLOOKUP(VALUE($S466),lookups!F:G,2,FALSE)</f>
        <v>#N/A</v>
      </c>
      <c r="Q466" s="84" t="str">
        <f t="shared" si="28"/>
        <v/>
      </c>
      <c r="R466" s="84">
        <f t="shared" si="29"/>
        <v>245560</v>
      </c>
      <c r="S466" s="84">
        <f t="shared" si="30"/>
        <v>395853</v>
      </c>
      <c r="T466" s="84">
        <f t="shared" si="31"/>
        <v>1018029</v>
      </c>
    </row>
    <row r="467" spans="1:20" x14ac:dyDescent="0.3">
      <c r="B467" s="84">
        <v>395894</v>
      </c>
      <c r="C467" s="85">
        <v>395853</v>
      </c>
      <c r="D467" s="84" t="s">
        <v>6</v>
      </c>
      <c r="E467" s="84" t="s">
        <v>7</v>
      </c>
      <c r="F467" s="86" t="s">
        <v>245</v>
      </c>
      <c r="G467" s="109" t="s">
        <v>257</v>
      </c>
      <c r="H467" s="87">
        <v>3</v>
      </c>
      <c r="I467" s="84"/>
      <c r="J467" s="84"/>
      <c r="K467" s="84" t="s">
        <v>1614</v>
      </c>
      <c r="L467" s="84" t="s">
        <v>11</v>
      </c>
      <c r="M467" s="88" t="str">
        <f>VLOOKUP(L467,lookups!B:C,2,FALSE)</f>
        <v>Randy</v>
      </c>
      <c r="N467" s="89" t="str">
        <f>VLOOKUP(K467,TeamLookup[],2,0)</f>
        <v>Cyber</v>
      </c>
      <c r="O467" s="84">
        <f>VLOOKUP(VALUE($S467),lookups!I:J,2,FALSE)</f>
        <v>2</v>
      </c>
      <c r="P467" s="84" t="e">
        <f>VLOOKUP(VALUE($S467),lookups!F:G,2,FALSE)</f>
        <v>#N/A</v>
      </c>
      <c r="Q467" s="84" t="str">
        <f t="shared" si="28"/>
        <v/>
      </c>
      <c r="R467" s="84">
        <f t="shared" si="29"/>
        <v>245560</v>
      </c>
      <c r="S467" s="84">
        <f t="shared" si="30"/>
        <v>395853</v>
      </c>
      <c r="T467" s="84">
        <f t="shared" si="31"/>
        <v>395894</v>
      </c>
    </row>
    <row r="468" spans="1:20" x14ac:dyDescent="0.3">
      <c r="B468" s="84">
        <v>395893</v>
      </c>
      <c r="C468" s="85">
        <v>395853</v>
      </c>
      <c r="D468" s="84" t="s">
        <v>6</v>
      </c>
      <c r="E468" s="84" t="s">
        <v>7</v>
      </c>
      <c r="F468" s="86" t="s">
        <v>246</v>
      </c>
      <c r="G468" s="109" t="s">
        <v>257</v>
      </c>
      <c r="H468" s="87">
        <v>3</v>
      </c>
      <c r="I468" s="89"/>
      <c r="J468" s="89"/>
      <c r="K468" s="89" t="s">
        <v>1614</v>
      </c>
      <c r="L468" s="84" t="s">
        <v>125</v>
      </c>
      <c r="M468" s="88" t="str">
        <f>VLOOKUP(L468,lookups!B:C,2,FALSE)</f>
        <v>Dave C</v>
      </c>
      <c r="N468" s="89" t="str">
        <f>VLOOKUP(K468,TeamLookup[],2,0)</f>
        <v>Cyber</v>
      </c>
      <c r="O468" s="84">
        <f>VLOOKUP(VALUE($S468),lookups!I:J,2,FALSE)</f>
        <v>2</v>
      </c>
      <c r="P468" s="84" t="e">
        <f>VLOOKUP(VALUE($S468),lookups!F:G,2,FALSE)</f>
        <v>#N/A</v>
      </c>
      <c r="Q468" s="84" t="str">
        <f t="shared" si="28"/>
        <v/>
      </c>
      <c r="R468" s="84">
        <f t="shared" si="29"/>
        <v>245560</v>
      </c>
      <c r="S468" s="84">
        <f t="shared" si="30"/>
        <v>395853</v>
      </c>
      <c r="T468" s="84">
        <f t="shared" si="31"/>
        <v>395893</v>
      </c>
    </row>
    <row r="469" spans="1:20" x14ac:dyDescent="0.3">
      <c r="B469" s="84">
        <v>395881</v>
      </c>
      <c r="C469" s="85">
        <v>395853</v>
      </c>
      <c r="D469" s="84" t="s">
        <v>6</v>
      </c>
      <c r="E469" s="84" t="s">
        <v>105</v>
      </c>
      <c r="F469" s="86" t="s">
        <v>247</v>
      </c>
      <c r="G469" s="109" t="s">
        <v>257</v>
      </c>
      <c r="H469" s="87">
        <v>1</v>
      </c>
      <c r="I469" s="89"/>
      <c r="J469" s="89"/>
      <c r="K469" s="89" t="s">
        <v>1614</v>
      </c>
      <c r="L469" s="84" t="s">
        <v>214</v>
      </c>
      <c r="M469" s="88" t="str">
        <f>VLOOKUP(L469,lookups!B:C,2,FALSE)</f>
        <v>Dave G</v>
      </c>
      <c r="N469" s="89" t="str">
        <f>VLOOKUP(K469,TeamLookup[],2,0)</f>
        <v>Cyber</v>
      </c>
      <c r="O469" s="84">
        <f>VLOOKUP(VALUE($S469),lookups!I:J,2,FALSE)</f>
        <v>2</v>
      </c>
      <c r="P469" s="84" t="e">
        <f>VLOOKUP(VALUE($S469),lookups!F:G,2,FALSE)</f>
        <v>#N/A</v>
      </c>
      <c r="Q469" s="84" t="str">
        <f t="shared" si="28"/>
        <v/>
      </c>
      <c r="R469" s="84">
        <f t="shared" si="29"/>
        <v>245560</v>
      </c>
      <c r="S469" s="84">
        <f t="shared" si="30"/>
        <v>395853</v>
      </c>
      <c r="T469" s="84">
        <f t="shared" si="31"/>
        <v>395881</v>
      </c>
    </row>
    <row r="470" spans="1:20" x14ac:dyDescent="0.3">
      <c r="B470" s="84">
        <v>395853</v>
      </c>
      <c r="C470" s="85">
        <v>245560</v>
      </c>
      <c r="D470" s="84" t="s">
        <v>24</v>
      </c>
      <c r="E470" s="84" t="s">
        <v>105</v>
      </c>
      <c r="F470" s="86" t="s">
        <v>1427</v>
      </c>
      <c r="G470" s="109" t="s">
        <v>257</v>
      </c>
      <c r="H470" s="87"/>
      <c r="I470" s="89" t="s">
        <v>48</v>
      </c>
      <c r="J470" s="89"/>
      <c r="K470" s="89" t="s">
        <v>1614</v>
      </c>
      <c r="L470" s="84" t="s">
        <v>125</v>
      </c>
      <c r="M470" s="88" t="str">
        <f>VLOOKUP(L470,lookups!B:C,2,FALSE)</f>
        <v>Dave C</v>
      </c>
      <c r="N470" s="89" t="str">
        <f>VLOOKUP(K470,TeamLookup[],2,0)</f>
        <v>Cyber</v>
      </c>
      <c r="O470" s="84">
        <f>VLOOKUP(VALUE($S470),lookups!I:J,2,FALSE)</f>
        <v>2</v>
      </c>
      <c r="P470" s="84" t="e">
        <f>VLOOKUP(VALUE($S470),lookups!F:G,2,FALSE)</f>
        <v>#N/A</v>
      </c>
      <c r="Q470" s="84" t="str">
        <f t="shared" si="28"/>
        <v>ParentNotInCyberQuery</v>
      </c>
      <c r="R470" s="84">
        <f t="shared" si="29"/>
        <v>245560</v>
      </c>
      <c r="S470" s="84">
        <f t="shared" si="30"/>
        <v>395853</v>
      </c>
      <c r="T470" s="84">
        <f t="shared" si="31"/>
        <v>0</v>
      </c>
    </row>
    <row r="471" spans="1:20" x14ac:dyDescent="0.3">
      <c r="B471" s="84">
        <v>1018364</v>
      </c>
      <c r="C471" s="85">
        <v>395897</v>
      </c>
      <c r="D471" s="84" t="s">
        <v>6</v>
      </c>
      <c r="E471" s="84" t="s">
        <v>345</v>
      </c>
      <c r="F471" s="86" t="s">
        <v>1508</v>
      </c>
      <c r="G471" s="109" t="s">
        <v>260</v>
      </c>
      <c r="H471" s="87">
        <v>1</v>
      </c>
      <c r="I471" s="84"/>
      <c r="J471" s="84"/>
      <c r="K471" s="84" t="s">
        <v>1614</v>
      </c>
      <c r="L471" s="84" t="s">
        <v>107</v>
      </c>
      <c r="M471" s="88" t="str">
        <f>VLOOKUP(L471,lookups!B:C,2,FALSE)</f>
        <v>Chris</v>
      </c>
      <c r="N471" s="89" t="str">
        <f>VLOOKUP(K471,TeamLookup[],2,0)</f>
        <v>Cyber</v>
      </c>
      <c r="O471" s="84">
        <f>VLOOKUP(VALUE($S471),lookups!I:J,2,FALSE)</f>
        <v>4</v>
      </c>
      <c r="P471" s="84" t="e">
        <f>VLOOKUP(VALUE($S471),lookups!F:G,2,FALSE)</f>
        <v>#N/A</v>
      </c>
      <c r="Q471" s="84" t="str">
        <f t="shared" si="28"/>
        <v/>
      </c>
      <c r="R471" s="84">
        <f t="shared" si="29"/>
        <v>245560</v>
      </c>
      <c r="S471" s="84">
        <f t="shared" si="30"/>
        <v>395897</v>
      </c>
      <c r="T471" s="84">
        <f t="shared" si="31"/>
        <v>1018364</v>
      </c>
    </row>
    <row r="472" spans="1:20" x14ac:dyDescent="0.3">
      <c r="B472" s="84">
        <v>1018203</v>
      </c>
      <c r="C472" s="85">
        <v>395897</v>
      </c>
      <c r="D472" s="84" t="s">
        <v>6</v>
      </c>
      <c r="E472" s="84" t="s">
        <v>345</v>
      </c>
      <c r="F472" s="86" t="s">
        <v>1492</v>
      </c>
      <c r="G472" s="109" t="s">
        <v>260</v>
      </c>
      <c r="H472" s="87">
        <v>3</v>
      </c>
      <c r="I472" s="89"/>
      <c r="J472" s="89"/>
      <c r="K472" s="89" t="s">
        <v>1614</v>
      </c>
      <c r="L472" s="84" t="s">
        <v>37</v>
      </c>
      <c r="M472" s="88" t="str">
        <f>VLOOKUP(L472,lookups!B:C,2,FALSE)</f>
        <v>Kent</v>
      </c>
      <c r="N472" s="89" t="str">
        <f>VLOOKUP(K472,TeamLookup[],2,0)</f>
        <v>Cyber</v>
      </c>
      <c r="O472" s="84">
        <f>VLOOKUP(VALUE($S472),lookups!I:J,2,FALSE)</f>
        <v>4</v>
      </c>
      <c r="P472" s="84" t="e">
        <f>VLOOKUP(VALUE($S472),lookups!F:G,2,FALSE)</f>
        <v>#N/A</v>
      </c>
      <c r="Q472" s="84" t="str">
        <f t="shared" si="28"/>
        <v/>
      </c>
      <c r="R472" s="84">
        <f t="shared" si="29"/>
        <v>245560</v>
      </c>
      <c r="S472" s="84">
        <f t="shared" si="30"/>
        <v>395897</v>
      </c>
      <c r="T472" s="84">
        <f t="shared" si="31"/>
        <v>1018203</v>
      </c>
    </row>
    <row r="473" spans="1:20" x14ac:dyDescent="0.3">
      <c r="B473" s="84">
        <v>1018192</v>
      </c>
      <c r="C473" s="85">
        <v>395897</v>
      </c>
      <c r="D473" s="84" t="s">
        <v>6</v>
      </c>
      <c r="E473" s="84" t="s">
        <v>345</v>
      </c>
      <c r="F473" s="86" t="s">
        <v>1510</v>
      </c>
      <c r="G473" s="109" t="s">
        <v>260</v>
      </c>
      <c r="H473" s="87">
        <v>3</v>
      </c>
      <c r="I473" s="89"/>
      <c r="J473" s="89"/>
      <c r="K473" s="89" t="s">
        <v>1614</v>
      </c>
      <c r="L473" s="84" t="s">
        <v>107</v>
      </c>
      <c r="M473" s="88" t="str">
        <f>VLOOKUP(L473,lookups!B:C,2,FALSE)</f>
        <v>Chris</v>
      </c>
      <c r="N473" s="89" t="str">
        <f>VLOOKUP(K473,TeamLookup[],2,0)</f>
        <v>Cyber</v>
      </c>
      <c r="O473" s="84">
        <f>VLOOKUP(VALUE($S473),lookups!I:J,2,FALSE)</f>
        <v>4</v>
      </c>
      <c r="P473" s="84" t="e">
        <f>VLOOKUP(VALUE($S473),lookups!F:G,2,FALSE)</f>
        <v>#N/A</v>
      </c>
      <c r="Q473" s="84" t="str">
        <f t="shared" si="28"/>
        <v/>
      </c>
      <c r="R473" s="84">
        <f t="shared" si="29"/>
        <v>245560</v>
      </c>
      <c r="S473" s="84">
        <f t="shared" si="30"/>
        <v>395897</v>
      </c>
      <c r="T473" s="84">
        <f t="shared" si="31"/>
        <v>1018192</v>
      </c>
    </row>
    <row r="474" spans="1:20" x14ac:dyDescent="0.3">
      <c r="B474" s="84">
        <v>1014890</v>
      </c>
      <c r="C474" s="85">
        <v>395897</v>
      </c>
      <c r="D474" s="84" t="s">
        <v>6</v>
      </c>
      <c r="E474" s="84" t="s">
        <v>345</v>
      </c>
      <c r="F474" s="86" t="s">
        <v>1419</v>
      </c>
      <c r="G474" s="109" t="s">
        <v>260</v>
      </c>
      <c r="H474" s="87">
        <v>2</v>
      </c>
      <c r="I474" s="89"/>
      <c r="J474" s="89"/>
      <c r="K474" s="89" t="s">
        <v>1616</v>
      </c>
      <c r="L474" s="84" t="s">
        <v>1459</v>
      </c>
      <c r="M474" s="88" t="str">
        <f>VLOOKUP(L474,lookups!B:C,2,FALSE)</f>
        <v>Mike K</v>
      </c>
      <c r="N474" s="89" t="str">
        <f>VLOOKUP(K474,TeamLookup[],2,0)</f>
        <v>Magic</v>
      </c>
      <c r="O474" s="84">
        <f>VLOOKUP(VALUE($S474),lookups!I:J,2,FALSE)</f>
        <v>4</v>
      </c>
      <c r="P474" s="84" t="e">
        <f>VLOOKUP(VALUE($S474),lookups!F:G,2,FALSE)</f>
        <v>#N/A</v>
      </c>
      <c r="Q474" s="84" t="str">
        <f t="shared" si="28"/>
        <v/>
      </c>
      <c r="R474" s="84">
        <f t="shared" si="29"/>
        <v>245560</v>
      </c>
      <c r="S474" s="84">
        <f t="shared" si="30"/>
        <v>395897</v>
      </c>
      <c r="T474" s="84">
        <f t="shared" si="31"/>
        <v>1014890</v>
      </c>
    </row>
    <row r="475" spans="1:20" x14ac:dyDescent="0.3">
      <c r="B475" s="84">
        <v>1014594</v>
      </c>
      <c r="C475" s="85">
        <v>395897</v>
      </c>
      <c r="D475" s="84" t="s">
        <v>6</v>
      </c>
      <c r="E475" s="84" t="s">
        <v>345</v>
      </c>
      <c r="F475" s="86" t="s">
        <v>1460</v>
      </c>
      <c r="G475" s="109" t="s">
        <v>260</v>
      </c>
      <c r="H475" s="87">
        <v>3</v>
      </c>
      <c r="I475" s="89"/>
      <c r="J475" s="89"/>
      <c r="K475" s="89" t="s">
        <v>1614</v>
      </c>
      <c r="L475" s="84" t="s">
        <v>125</v>
      </c>
      <c r="M475" s="88" t="str">
        <f>VLOOKUP(L475,lookups!B:C,2,FALSE)</f>
        <v>Dave C</v>
      </c>
      <c r="N475" s="89" t="str">
        <f>VLOOKUP(K475,TeamLookup[],2,0)</f>
        <v>Cyber</v>
      </c>
      <c r="O475" s="84">
        <f>VLOOKUP(VALUE($S475),lookups!I:J,2,FALSE)</f>
        <v>4</v>
      </c>
      <c r="P475" s="84" t="e">
        <f>VLOOKUP(VALUE($S475),lookups!F:G,2,FALSE)</f>
        <v>#N/A</v>
      </c>
      <c r="Q475" s="84" t="str">
        <f t="shared" si="28"/>
        <v/>
      </c>
      <c r="R475" s="84">
        <f t="shared" si="29"/>
        <v>245560</v>
      </c>
      <c r="S475" s="84">
        <f t="shared" si="30"/>
        <v>395897</v>
      </c>
      <c r="T475" s="84">
        <f t="shared" si="31"/>
        <v>1014594</v>
      </c>
    </row>
    <row r="476" spans="1:20" x14ac:dyDescent="0.3">
      <c r="B476" s="84">
        <v>395901</v>
      </c>
      <c r="C476" s="85">
        <v>395897</v>
      </c>
      <c r="D476" s="84" t="s">
        <v>6</v>
      </c>
      <c r="E476" s="84" t="s">
        <v>345</v>
      </c>
      <c r="F476" s="86" t="s">
        <v>243</v>
      </c>
      <c r="G476" s="109" t="s">
        <v>260</v>
      </c>
      <c r="H476" s="87">
        <v>2</v>
      </c>
      <c r="I476" s="89"/>
      <c r="J476" s="89"/>
      <c r="K476" s="89" t="s">
        <v>1614</v>
      </c>
      <c r="L476" s="84" t="s">
        <v>11</v>
      </c>
      <c r="M476" s="88" t="str">
        <f>VLOOKUP(L476,lookups!B:C,2,FALSE)</f>
        <v>Randy</v>
      </c>
      <c r="N476" s="89" t="str">
        <f>VLOOKUP(K476,TeamLookup[],2,0)</f>
        <v>Cyber</v>
      </c>
      <c r="O476" s="84">
        <f>VLOOKUP(VALUE($S476),lookups!I:J,2,FALSE)</f>
        <v>4</v>
      </c>
      <c r="P476" s="84" t="e">
        <f>VLOOKUP(VALUE($S476),lookups!F:G,2,FALSE)</f>
        <v>#N/A</v>
      </c>
      <c r="Q476" s="84" t="str">
        <f t="shared" si="28"/>
        <v/>
      </c>
      <c r="R476" s="84">
        <f t="shared" si="29"/>
        <v>245560</v>
      </c>
      <c r="S476" s="84">
        <f t="shared" si="30"/>
        <v>395897</v>
      </c>
      <c r="T476" s="84">
        <f t="shared" si="31"/>
        <v>395901</v>
      </c>
    </row>
    <row r="477" spans="1:20" x14ac:dyDescent="0.3">
      <c r="A477" s="96"/>
      <c r="B477" s="84">
        <v>1018365</v>
      </c>
      <c r="C477" s="85">
        <v>395897</v>
      </c>
      <c r="D477" s="84" t="s">
        <v>6</v>
      </c>
      <c r="E477" s="84" t="s">
        <v>345</v>
      </c>
      <c r="F477" s="86" t="s">
        <v>1507</v>
      </c>
      <c r="G477" s="109" t="s">
        <v>259</v>
      </c>
      <c r="H477" s="87">
        <v>1</v>
      </c>
      <c r="I477" s="89"/>
      <c r="J477" s="89"/>
      <c r="K477" s="89" t="s">
        <v>1614</v>
      </c>
      <c r="L477" s="84" t="s">
        <v>125</v>
      </c>
      <c r="M477" s="88" t="str">
        <f>VLOOKUP(L477,lookups!B:C,2,FALSE)</f>
        <v>Dave C</v>
      </c>
      <c r="N477" s="89" t="str">
        <f>VLOOKUP(K477,TeamLookup[],2,0)</f>
        <v>Cyber</v>
      </c>
      <c r="O477" s="84">
        <f>VLOOKUP(VALUE($S477),lookups!I:J,2,FALSE)</f>
        <v>4</v>
      </c>
      <c r="P477" s="84" t="e">
        <f>VLOOKUP(VALUE($S477),lookups!F:G,2,FALSE)</f>
        <v>#N/A</v>
      </c>
      <c r="Q477" s="84" t="str">
        <f t="shared" si="28"/>
        <v/>
      </c>
      <c r="R477" s="84">
        <f t="shared" si="29"/>
        <v>245560</v>
      </c>
      <c r="S477" s="84">
        <f t="shared" si="30"/>
        <v>395897</v>
      </c>
      <c r="T477" s="84">
        <f t="shared" si="31"/>
        <v>1018365</v>
      </c>
    </row>
    <row r="478" spans="1:20" x14ac:dyDescent="0.3">
      <c r="B478" s="84">
        <v>1018347</v>
      </c>
      <c r="C478" s="85">
        <v>395897</v>
      </c>
      <c r="D478" s="84" t="s">
        <v>6</v>
      </c>
      <c r="E478" s="84" t="s">
        <v>345</v>
      </c>
      <c r="F478" s="86" t="s">
        <v>1552</v>
      </c>
      <c r="G478" s="109" t="s">
        <v>259</v>
      </c>
      <c r="H478" s="87">
        <v>5</v>
      </c>
      <c r="I478" s="84"/>
      <c r="J478" s="84"/>
      <c r="K478" s="84" t="s">
        <v>1614</v>
      </c>
      <c r="L478" s="84" t="s">
        <v>125</v>
      </c>
      <c r="M478" s="88" t="str">
        <f>VLOOKUP(L478,lookups!B:C,2,FALSE)</f>
        <v>Dave C</v>
      </c>
      <c r="N478" s="89" t="str">
        <f>VLOOKUP(K478,TeamLookup[],2,0)</f>
        <v>Cyber</v>
      </c>
      <c r="O478" s="84">
        <f>VLOOKUP(VALUE($S478),lookups!I:J,2,FALSE)</f>
        <v>4</v>
      </c>
      <c r="P478" s="84" t="e">
        <f>VLOOKUP(VALUE($S478),lookups!F:G,2,FALSE)</f>
        <v>#N/A</v>
      </c>
      <c r="Q478" s="84" t="str">
        <f t="shared" si="28"/>
        <v/>
      </c>
      <c r="R478" s="84">
        <f t="shared" si="29"/>
        <v>245560</v>
      </c>
      <c r="S478" s="84">
        <f t="shared" si="30"/>
        <v>395897</v>
      </c>
      <c r="T478" s="84">
        <f t="shared" si="31"/>
        <v>1018347</v>
      </c>
    </row>
    <row r="479" spans="1:20" x14ac:dyDescent="0.3">
      <c r="B479" s="84">
        <v>1018346</v>
      </c>
      <c r="C479" s="85">
        <v>395897</v>
      </c>
      <c r="D479" s="84" t="s">
        <v>6</v>
      </c>
      <c r="E479" s="84" t="s">
        <v>345</v>
      </c>
      <c r="F479" s="86" t="s">
        <v>1502</v>
      </c>
      <c r="G479" s="109" t="s">
        <v>259</v>
      </c>
      <c r="H479" s="87">
        <v>2</v>
      </c>
      <c r="I479" s="89"/>
      <c r="J479" s="89"/>
      <c r="K479" s="89" t="s">
        <v>1620</v>
      </c>
      <c r="L479" s="84" t="s">
        <v>349</v>
      </c>
      <c r="M479" s="88" t="str">
        <f>VLOOKUP(L479,lookups!B:C,2,FALSE)</f>
        <v>Salazar, Charlie</v>
      </c>
      <c r="N479" s="89" t="str">
        <f>VLOOKUP(K479,TeamLookup[],2,0)</f>
        <v>Okapi</v>
      </c>
      <c r="O479" s="84">
        <f>VLOOKUP(VALUE($S479),lookups!I:J,2,FALSE)</f>
        <v>4</v>
      </c>
      <c r="P479" s="84" t="e">
        <f>VLOOKUP(VALUE($S479),lookups!F:G,2,FALSE)</f>
        <v>#N/A</v>
      </c>
      <c r="Q479" s="84" t="str">
        <f t="shared" si="28"/>
        <v/>
      </c>
      <c r="R479" s="84">
        <f t="shared" si="29"/>
        <v>245560</v>
      </c>
      <c r="S479" s="84">
        <f t="shared" si="30"/>
        <v>395897</v>
      </c>
      <c r="T479" s="84">
        <f t="shared" si="31"/>
        <v>1018346</v>
      </c>
    </row>
    <row r="480" spans="1:20" x14ac:dyDescent="0.3">
      <c r="B480" s="84">
        <v>1018205</v>
      </c>
      <c r="C480" s="85">
        <v>395897</v>
      </c>
      <c r="D480" s="84" t="s">
        <v>6</v>
      </c>
      <c r="E480" s="84" t="s">
        <v>345</v>
      </c>
      <c r="F480" s="86" t="s">
        <v>1491</v>
      </c>
      <c r="G480" s="109" t="s">
        <v>259</v>
      </c>
      <c r="H480" s="87">
        <v>3</v>
      </c>
      <c r="I480" s="89"/>
      <c r="J480" s="89"/>
      <c r="K480" s="89" t="s">
        <v>1614</v>
      </c>
      <c r="L480" s="84" t="s">
        <v>107</v>
      </c>
      <c r="M480" s="88" t="str">
        <f>VLOOKUP(L480,lookups!B:C,2,FALSE)</f>
        <v>Chris</v>
      </c>
      <c r="N480" s="89" t="str">
        <f>VLOOKUP(K480,TeamLookup[],2,0)</f>
        <v>Cyber</v>
      </c>
      <c r="O480" s="84">
        <f>VLOOKUP(VALUE($S480),lookups!I:J,2,FALSE)</f>
        <v>4</v>
      </c>
      <c r="P480" s="84" t="e">
        <f>VLOOKUP(VALUE($S480),lookups!F:G,2,FALSE)</f>
        <v>#N/A</v>
      </c>
      <c r="Q480" s="84" t="str">
        <f t="shared" si="28"/>
        <v/>
      </c>
      <c r="R480" s="84">
        <f t="shared" si="29"/>
        <v>245560</v>
      </c>
      <c r="S480" s="84">
        <f t="shared" si="30"/>
        <v>395897</v>
      </c>
      <c r="T480" s="84">
        <f t="shared" si="31"/>
        <v>1018205</v>
      </c>
    </row>
    <row r="481" spans="1:20" x14ac:dyDescent="0.3">
      <c r="B481" s="84">
        <v>1018194</v>
      </c>
      <c r="C481" s="85">
        <v>395897</v>
      </c>
      <c r="D481" s="84" t="s">
        <v>6</v>
      </c>
      <c r="E481" s="84" t="s">
        <v>345</v>
      </c>
      <c r="F481" s="86" t="s">
        <v>1514</v>
      </c>
      <c r="G481" s="109" t="s">
        <v>259</v>
      </c>
      <c r="H481" s="87">
        <v>3</v>
      </c>
      <c r="I481" s="89"/>
      <c r="J481" s="89"/>
      <c r="K481" s="89" t="s">
        <v>1614</v>
      </c>
      <c r="L481" s="84" t="s">
        <v>191</v>
      </c>
      <c r="M481" s="88" t="str">
        <f>VLOOKUP(L481,lookups!B:C,2,FALSE)</f>
        <v>Gerald V</v>
      </c>
      <c r="N481" s="89" t="str">
        <f>VLOOKUP(K481,TeamLookup[],2,0)</f>
        <v>Cyber</v>
      </c>
      <c r="O481" s="84">
        <f>VLOOKUP(VALUE($S481),lookups!I:J,2,FALSE)</f>
        <v>4</v>
      </c>
      <c r="P481" s="84" t="e">
        <f>VLOOKUP(VALUE($S481),lookups!F:G,2,FALSE)</f>
        <v>#N/A</v>
      </c>
      <c r="Q481" s="84" t="str">
        <f t="shared" si="28"/>
        <v/>
      </c>
      <c r="R481" s="84">
        <f t="shared" si="29"/>
        <v>245560</v>
      </c>
      <c r="S481" s="84">
        <f t="shared" si="30"/>
        <v>395897</v>
      </c>
      <c r="T481" s="84">
        <f t="shared" si="31"/>
        <v>1018194</v>
      </c>
    </row>
    <row r="482" spans="1:20" x14ac:dyDescent="0.3">
      <c r="A482" s="96"/>
      <c r="B482" s="84">
        <v>1018193</v>
      </c>
      <c r="C482" s="85">
        <v>395897</v>
      </c>
      <c r="D482" s="84" t="s">
        <v>6</v>
      </c>
      <c r="E482" s="84" t="s">
        <v>345</v>
      </c>
      <c r="F482" s="86" t="s">
        <v>1493</v>
      </c>
      <c r="G482" s="109" t="s">
        <v>259</v>
      </c>
      <c r="H482" s="87">
        <v>3</v>
      </c>
      <c r="I482" s="89"/>
      <c r="J482" s="89"/>
      <c r="K482" s="89" t="s">
        <v>1614</v>
      </c>
      <c r="L482" s="84" t="s">
        <v>214</v>
      </c>
      <c r="M482" s="88" t="str">
        <f>VLOOKUP(L482,lookups!B:C,2,FALSE)</f>
        <v>Dave G</v>
      </c>
      <c r="N482" s="89" t="str">
        <f>VLOOKUP(K482,TeamLookup[],2,0)</f>
        <v>Cyber</v>
      </c>
      <c r="O482" s="84">
        <f>VLOOKUP(VALUE($S482),lookups!I:J,2,FALSE)</f>
        <v>4</v>
      </c>
      <c r="P482" s="84" t="e">
        <f>VLOOKUP(VALUE($S482),lookups!F:G,2,FALSE)</f>
        <v>#N/A</v>
      </c>
      <c r="Q482" s="84" t="str">
        <f t="shared" si="28"/>
        <v/>
      </c>
      <c r="R482" s="84">
        <f t="shared" si="29"/>
        <v>245560</v>
      </c>
      <c r="S482" s="84">
        <f t="shared" si="30"/>
        <v>395897</v>
      </c>
      <c r="T482" s="84">
        <f t="shared" si="31"/>
        <v>1018193</v>
      </c>
    </row>
    <row r="483" spans="1:20" x14ac:dyDescent="0.3">
      <c r="B483" s="84">
        <v>1018179</v>
      </c>
      <c r="C483" s="85">
        <v>395897</v>
      </c>
      <c r="D483" s="84" t="s">
        <v>6</v>
      </c>
      <c r="E483" s="84" t="s">
        <v>345</v>
      </c>
      <c r="F483" s="86" t="s">
        <v>1497</v>
      </c>
      <c r="G483" s="109" t="s">
        <v>259</v>
      </c>
      <c r="H483" s="87">
        <v>2</v>
      </c>
      <c r="I483" s="89"/>
      <c r="J483" s="89"/>
      <c r="K483" s="89" t="s">
        <v>1614</v>
      </c>
      <c r="L483" s="84" t="s">
        <v>214</v>
      </c>
      <c r="M483" s="88" t="str">
        <f>VLOOKUP(L483,lookups!B:C,2,FALSE)</f>
        <v>Dave G</v>
      </c>
      <c r="N483" s="89" t="str">
        <f>VLOOKUP(K483,TeamLookup[],2,0)</f>
        <v>Cyber</v>
      </c>
      <c r="O483" s="84">
        <f>VLOOKUP(VALUE($S483),lookups!I:J,2,FALSE)</f>
        <v>4</v>
      </c>
      <c r="P483" s="84" t="e">
        <f>VLOOKUP(VALUE($S483),lookups!F:G,2,FALSE)</f>
        <v>#N/A</v>
      </c>
      <c r="Q483" s="84" t="str">
        <f t="shared" si="28"/>
        <v/>
      </c>
      <c r="R483" s="84">
        <f t="shared" si="29"/>
        <v>245560</v>
      </c>
      <c r="S483" s="84">
        <f t="shared" si="30"/>
        <v>395897</v>
      </c>
      <c r="T483" s="84">
        <f t="shared" si="31"/>
        <v>1018179</v>
      </c>
    </row>
    <row r="484" spans="1:20" x14ac:dyDescent="0.3">
      <c r="B484" s="84">
        <v>1015753</v>
      </c>
      <c r="C484" s="85">
        <v>395897</v>
      </c>
      <c r="D484" s="84" t="s">
        <v>6</v>
      </c>
      <c r="E484" s="84" t="s">
        <v>345</v>
      </c>
      <c r="F484" s="86" t="s">
        <v>1458</v>
      </c>
      <c r="G484" s="109" t="s">
        <v>259</v>
      </c>
      <c r="H484" s="87">
        <v>3</v>
      </c>
      <c r="I484" s="89"/>
      <c r="J484" s="89"/>
      <c r="K484" s="89" t="s">
        <v>1614</v>
      </c>
      <c r="L484" s="84" t="s">
        <v>125</v>
      </c>
      <c r="M484" s="88" t="str">
        <f>VLOOKUP(L484,lookups!B:C,2,FALSE)</f>
        <v>Dave C</v>
      </c>
      <c r="N484" s="89" t="str">
        <f>VLOOKUP(K484,TeamLookup[],2,0)</f>
        <v>Cyber</v>
      </c>
      <c r="O484" s="84">
        <f>VLOOKUP(VALUE($S484),lookups!I:J,2,FALSE)</f>
        <v>4</v>
      </c>
      <c r="P484" s="84" t="e">
        <f>VLOOKUP(VALUE($S484),lookups!F:G,2,FALSE)</f>
        <v>#N/A</v>
      </c>
      <c r="Q484" s="84" t="str">
        <f t="shared" si="28"/>
        <v/>
      </c>
      <c r="R484" s="84">
        <f t="shared" si="29"/>
        <v>245560</v>
      </c>
      <c r="S484" s="84">
        <f t="shared" si="30"/>
        <v>395897</v>
      </c>
      <c r="T484" s="84">
        <f t="shared" si="31"/>
        <v>1015753</v>
      </c>
    </row>
    <row r="485" spans="1:20" x14ac:dyDescent="0.3">
      <c r="B485" s="84">
        <v>395902</v>
      </c>
      <c r="C485" s="85">
        <v>395897</v>
      </c>
      <c r="D485" s="84" t="s">
        <v>6</v>
      </c>
      <c r="E485" s="84" t="s">
        <v>345</v>
      </c>
      <c r="F485" s="86" t="s">
        <v>242</v>
      </c>
      <c r="G485" s="109" t="s">
        <v>259</v>
      </c>
      <c r="H485" s="87">
        <v>2</v>
      </c>
      <c r="I485" s="89"/>
      <c r="J485" s="89"/>
      <c r="K485" s="89" t="s">
        <v>1614</v>
      </c>
      <c r="L485" s="84" t="s">
        <v>11</v>
      </c>
      <c r="M485" s="88" t="str">
        <f>VLOOKUP(L485,lookups!B:C,2,FALSE)</f>
        <v>Randy</v>
      </c>
      <c r="N485" s="89" t="str">
        <f>VLOOKUP(K485,TeamLookup[],2,0)</f>
        <v>Cyber</v>
      </c>
      <c r="O485" s="84">
        <f>VLOOKUP(VALUE($S485),lookups!I:J,2,FALSE)</f>
        <v>4</v>
      </c>
      <c r="P485" s="84" t="e">
        <f>VLOOKUP(VALUE($S485),lookups!F:G,2,FALSE)</f>
        <v>#N/A</v>
      </c>
      <c r="Q485" s="84" t="str">
        <f t="shared" si="28"/>
        <v/>
      </c>
      <c r="R485" s="84">
        <f t="shared" si="29"/>
        <v>245560</v>
      </c>
      <c r="S485" s="84">
        <f t="shared" si="30"/>
        <v>395897</v>
      </c>
      <c r="T485" s="84">
        <f t="shared" si="31"/>
        <v>395902</v>
      </c>
    </row>
    <row r="486" spans="1:20" x14ac:dyDescent="0.3">
      <c r="B486" s="88">
        <v>1018196</v>
      </c>
      <c r="C486" s="85">
        <v>395897</v>
      </c>
      <c r="D486" s="84" t="s">
        <v>6</v>
      </c>
      <c r="E486" s="88" t="s">
        <v>345</v>
      </c>
      <c r="F486" s="91" t="s">
        <v>1513</v>
      </c>
      <c r="G486" s="109" t="s">
        <v>256</v>
      </c>
      <c r="H486" s="87">
        <v>3</v>
      </c>
      <c r="I486" s="89"/>
      <c r="J486" s="89"/>
      <c r="K486" s="89" t="s">
        <v>1614</v>
      </c>
      <c r="L486" s="84" t="s">
        <v>107</v>
      </c>
      <c r="M486" s="88" t="str">
        <f>VLOOKUP(L486,lookups!B:C,2,FALSE)</f>
        <v>Chris</v>
      </c>
      <c r="N486" s="89" t="str">
        <f>VLOOKUP(K486,TeamLookup[],2,0)</f>
        <v>Cyber</v>
      </c>
      <c r="O486" s="84">
        <f>VLOOKUP(VALUE($S486),lookups!I:J,2,FALSE)</f>
        <v>4</v>
      </c>
      <c r="P486" s="84" t="e">
        <f>VLOOKUP(VALUE($S486),lookups!F:G,2,FALSE)</f>
        <v>#N/A</v>
      </c>
      <c r="Q486" s="84" t="str">
        <f t="shared" si="28"/>
        <v/>
      </c>
      <c r="R486" s="84">
        <f t="shared" si="29"/>
        <v>245560</v>
      </c>
      <c r="S486" s="84">
        <f t="shared" si="30"/>
        <v>395897</v>
      </c>
      <c r="T486" s="84">
        <f t="shared" si="31"/>
        <v>1018196</v>
      </c>
    </row>
    <row r="487" spans="1:20" x14ac:dyDescent="0.3">
      <c r="B487" s="84">
        <v>1018181</v>
      </c>
      <c r="C487" s="85">
        <v>395897</v>
      </c>
      <c r="D487" s="84" t="s">
        <v>6</v>
      </c>
      <c r="E487" s="84" t="s">
        <v>345</v>
      </c>
      <c r="F487" s="86" t="s">
        <v>1496</v>
      </c>
      <c r="G487" s="109" t="s">
        <v>256</v>
      </c>
      <c r="H487" s="87">
        <v>2</v>
      </c>
      <c r="I487" s="89"/>
      <c r="J487" s="89"/>
      <c r="K487" s="89" t="s">
        <v>1614</v>
      </c>
      <c r="L487" s="84" t="s">
        <v>107</v>
      </c>
      <c r="M487" s="88" t="str">
        <f>VLOOKUP(L487,lookups!B:C,2,FALSE)</f>
        <v>Chris</v>
      </c>
      <c r="N487" s="89" t="str">
        <f>VLOOKUP(K487,TeamLookup[],2,0)</f>
        <v>Cyber</v>
      </c>
      <c r="O487" s="84">
        <f>VLOOKUP(VALUE($S487),lookups!I:J,2,FALSE)</f>
        <v>4</v>
      </c>
      <c r="P487" s="84" t="e">
        <f>VLOOKUP(VALUE($S487),lookups!F:G,2,FALSE)</f>
        <v>#N/A</v>
      </c>
      <c r="Q487" s="84" t="str">
        <f t="shared" si="28"/>
        <v/>
      </c>
      <c r="R487" s="84">
        <f t="shared" si="29"/>
        <v>245560</v>
      </c>
      <c r="S487" s="84">
        <f t="shared" si="30"/>
        <v>395897</v>
      </c>
      <c r="T487" s="84">
        <f t="shared" si="31"/>
        <v>1018181</v>
      </c>
    </row>
    <row r="488" spans="1:20" x14ac:dyDescent="0.3">
      <c r="B488" s="84">
        <v>1014891</v>
      </c>
      <c r="C488" s="85">
        <v>395897</v>
      </c>
      <c r="D488" s="84" t="s">
        <v>6</v>
      </c>
      <c r="E488" s="84" t="s">
        <v>345</v>
      </c>
      <c r="F488" s="86" t="s">
        <v>1418</v>
      </c>
      <c r="G488" s="109" t="s">
        <v>256</v>
      </c>
      <c r="H488" s="87">
        <v>2</v>
      </c>
      <c r="I488" s="89"/>
      <c r="J488" s="89"/>
      <c r="K488" s="89" t="s">
        <v>1616</v>
      </c>
      <c r="L488" s="84" t="s">
        <v>1485</v>
      </c>
      <c r="M488" s="88" t="e">
        <f>VLOOKUP(L488,lookups!B:C,2,FALSE)</f>
        <v>#N/A</v>
      </c>
      <c r="N488" s="89" t="str">
        <f>VLOOKUP(K488,TeamLookup[],2,0)</f>
        <v>Magic</v>
      </c>
      <c r="O488" s="84">
        <f>VLOOKUP(VALUE($S488),lookups!I:J,2,FALSE)</f>
        <v>4</v>
      </c>
      <c r="P488" s="84" t="e">
        <f>VLOOKUP(VALUE($S488),lookups!F:G,2,FALSE)</f>
        <v>#N/A</v>
      </c>
      <c r="Q488" s="84" t="str">
        <f t="shared" si="28"/>
        <v/>
      </c>
      <c r="R488" s="84">
        <f t="shared" si="29"/>
        <v>245560</v>
      </c>
      <c r="S488" s="84">
        <f t="shared" si="30"/>
        <v>395897</v>
      </c>
      <c r="T488" s="84">
        <f t="shared" si="31"/>
        <v>1014891</v>
      </c>
    </row>
    <row r="489" spans="1:20" x14ac:dyDescent="0.3">
      <c r="B489" s="84">
        <v>395903</v>
      </c>
      <c r="C489" s="85">
        <v>395897</v>
      </c>
      <c r="D489" s="84" t="s">
        <v>6</v>
      </c>
      <c r="E489" s="84" t="s">
        <v>345</v>
      </c>
      <c r="F489" s="86" t="s">
        <v>241</v>
      </c>
      <c r="G489" s="109" t="s">
        <v>256</v>
      </c>
      <c r="H489" s="87">
        <v>2</v>
      </c>
      <c r="I489" s="84"/>
      <c r="J489" s="84"/>
      <c r="K489" s="84" t="s">
        <v>1614</v>
      </c>
      <c r="L489" s="84" t="s">
        <v>11</v>
      </c>
      <c r="M489" s="88" t="str">
        <f>VLOOKUP(L489,lookups!B:C,2,FALSE)</f>
        <v>Randy</v>
      </c>
      <c r="N489" s="89" t="str">
        <f>VLOOKUP(K489,TeamLookup[],2,0)</f>
        <v>Cyber</v>
      </c>
      <c r="O489" s="84">
        <f>VLOOKUP(VALUE($S489),lookups!I:J,2,FALSE)</f>
        <v>4</v>
      </c>
      <c r="P489" s="84" t="e">
        <f>VLOOKUP(VALUE($S489),lookups!F:G,2,FALSE)</f>
        <v>#N/A</v>
      </c>
      <c r="Q489" s="84" t="str">
        <f t="shared" si="28"/>
        <v/>
      </c>
      <c r="R489" s="84">
        <f t="shared" si="29"/>
        <v>245560</v>
      </c>
      <c r="S489" s="84">
        <f t="shared" si="30"/>
        <v>395897</v>
      </c>
      <c r="T489" s="84">
        <f t="shared" si="31"/>
        <v>395903</v>
      </c>
    </row>
    <row r="490" spans="1:20" ht="28.8" x14ac:dyDescent="0.3">
      <c r="B490" s="84">
        <v>1022054</v>
      </c>
      <c r="C490" s="85">
        <v>395897</v>
      </c>
      <c r="D490" s="84" t="s">
        <v>6</v>
      </c>
      <c r="E490" s="84" t="s">
        <v>345</v>
      </c>
      <c r="F490" s="86" t="s">
        <v>1607</v>
      </c>
      <c r="G490" s="109" t="s">
        <v>258</v>
      </c>
      <c r="H490" s="87">
        <v>3</v>
      </c>
      <c r="I490" s="84"/>
      <c r="J490" s="84"/>
      <c r="K490" s="84" t="s">
        <v>1614</v>
      </c>
      <c r="L490" s="84" t="s">
        <v>125</v>
      </c>
      <c r="M490" s="88" t="str">
        <f>VLOOKUP(L490,lookups!B:C,2,FALSE)</f>
        <v>Dave C</v>
      </c>
      <c r="N490" s="89" t="str">
        <f>VLOOKUP(K490,TeamLookup[],2,0)</f>
        <v>Cyber</v>
      </c>
      <c r="O490" s="84">
        <f>VLOOKUP(VALUE($S490),lookups!I:J,2,FALSE)</f>
        <v>4</v>
      </c>
      <c r="P490" s="84" t="e">
        <f>VLOOKUP(VALUE($S490),lookups!F:G,2,FALSE)</f>
        <v>#N/A</v>
      </c>
      <c r="Q490" s="84" t="str">
        <f t="shared" si="28"/>
        <v/>
      </c>
      <c r="R490" s="84">
        <f t="shared" si="29"/>
        <v>245560</v>
      </c>
      <c r="S490" s="84">
        <f t="shared" si="30"/>
        <v>395897</v>
      </c>
      <c r="T490" s="84">
        <f t="shared" si="31"/>
        <v>1022054</v>
      </c>
    </row>
    <row r="491" spans="1:20" x14ac:dyDescent="0.3">
      <c r="B491" s="84">
        <v>1018367</v>
      </c>
      <c r="C491" s="85">
        <v>395897</v>
      </c>
      <c r="D491" s="84" t="s">
        <v>6</v>
      </c>
      <c r="E491" s="84" t="s">
        <v>345</v>
      </c>
      <c r="F491" s="86" t="s">
        <v>1506</v>
      </c>
      <c r="G491" s="109" t="s">
        <v>258</v>
      </c>
      <c r="H491" s="87">
        <v>0</v>
      </c>
      <c r="I491" s="89"/>
      <c r="J491" s="89"/>
      <c r="K491" s="89" t="s">
        <v>1614</v>
      </c>
      <c r="L491" s="84" t="s">
        <v>107</v>
      </c>
      <c r="M491" s="88" t="str">
        <f>VLOOKUP(L491,lookups!B:C,2,FALSE)</f>
        <v>Chris</v>
      </c>
      <c r="N491" s="89" t="str">
        <f>VLOOKUP(K491,TeamLookup[],2,0)</f>
        <v>Cyber</v>
      </c>
      <c r="O491" s="84">
        <f>VLOOKUP(VALUE($S491),lookups!I:J,2,FALSE)</f>
        <v>4</v>
      </c>
      <c r="P491" s="84" t="e">
        <f>VLOOKUP(VALUE($S491),lookups!F:G,2,FALSE)</f>
        <v>#N/A</v>
      </c>
      <c r="Q491" s="84" t="str">
        <f t="shared" si="28"/>
        <v/>
      </c>
      <c r="R491" s="84">
        <f t="shared" si="29"/>
        <v>245560</v>
      </c>
      <c r="S491" s="84">
        <f t="shared" si="30"/>
        <v>395897</v>
      </c>
      <c r="T491" s="84">
        <f t="shared" si="31"/>
        <v>1018367</v>
      </c>
    </row>
    <row r="492" spans="1:20" x14ac:dyDescent="0.3">
      <c r="B492" s="84">
        <v>1018208</v>
      </c>
      <c r="C492" s="85">
        <v>395897</v>
      </c>
      <c r="D492" s="84" t="s">
        <v>6</v>
      </c>
      <c r="E492" s="84" t="s">
        <v>345</v>
      </c>
      <c r="F492" s="86" t="s">
        <v>1490</v>
      </c>
      <c r="G492" s="109" t="s">
        <v>258</v>
      </c>
      <c r="H492" s="87">
        <v>3</v>
      </c>
      <c r="I492" s="89"/>
      <c r="J492" s="89"/>
      <c r="K492" s="89" t="s">
        <v>1614</v>
      </c>
      <c r="L492" s="84" t="s">
        <v>191</v>
      </c>
      <c r="M492" s="88" t="str">
        <f>VLOOKUP(L492,lookups!B:C,2,FALSE)</f>
        <v>Gerald V</v>
      </c>
      <c r="N492" s="89" t="str">
        <f>VLOOKUP(K492,TeamLookup[],2,0)</f>
        <v>Cyber</v>
      </c>
      <c r="O492" s="84">
        <f>VLOOKUP(VALUE($S492),lookups!I:J,2,FALSE)</f>
        <v>4</v>
      </c>
      <c r="P492" s="84" t="e">
        <f>VLOOKUP(VALUE($S492),lookups!F:G,2,FALSE)</f>
        <v>#N/A</v>
      </c>
      <c r="Q492" s="84" t="str">
        <f t="shared" si="28"/>
        <v/>
      </c>
      <c r="R492" s="84">
        <f t="shared" si="29"/>
        <v>245560</v>
      </c>
      <c r="S492" s="84">
        <f t="shared" si="30"/>
        <v>395897</v>
      </c>
      <c r="T492" s="84">
        <f t="shared" si="31"/>
        <v>1018208</v>
      </c>
    </row>
    <row r="493" spans="1:20" x14ac:dyDescent="0.3">
      <c r="B493" s="84">
        <v>1018198</v>
      </c>
      <c r="C493" s="85">
        <v>395897</v>
      </c>
      <c r="D493" s="84" t="s">
        <v>6</v>
      </c>
      <c r="E493" s="84" t="s">
        <v>345</v>
      </c>
      <c r="F493" s="86" t="s">
        <v>1512</v>
      </c>
      <c r="G493" s="109" t="s">
        <v>258</v>
      </c>
      <c r="H493" s="87">
        <v>3</v>
      </c>
      <c r="I493" s="84"/>
      <c r="J493" s="84"/>
      <c r="K493" s="84" t="s">
        <v>1614</v>
      </c>
      <c r="L493" s="84" t="s">
        <v>214</v>
      </c>
      <c r="M493" s="88" t="str">
        <f>VLOOKUP(L493,lookups!B:C,2,FALSE)</f>
        <v>Dave G</v>
      </c>
      <c r="N493" s="89" t="str">
        <f>VLOOKUP(K493,TeamLookup[],2,0)</f>
        <v>Cyber</v>
      </c>
      <c r="O493" s="84">
        <f>VLOOKUP(VALUE($S493),lookups!I:J,2,FALSE)</f>
        <v>4</v>
      </c>
      <c r="P493" s="84" t="e">
        <f>VLOOKUP(VALUE($S493),lookups!F:G,2,FALSE)</f>
        <v>#N/A</v>
      </c>
      <c r="Q493" s="84" t="str">
        <f t="shared" si="28"/>
        <v/>
      </c>
      <c r="R493" s="84">
        <f t="shared" si="29"/>
        <v>245560</v>
      </c>
      <c r="S493" s="84">
        <f t="shared" si="30"/>
        <v>395897</v>
      </c>
      <c r="T493" s="84">
        <f t="shared" si="31"/>
        <v>1018198</v>
      </c>
    </row>
    <row r="494" spans="1:20" x14ac:dyDescent="0.3">
      <c r="B494" s="84">
        <v>1018182</v>
      </c>
      <c r="C494" s="85">
        <v>395897</v>
      </c>
      <c r="D494" s="84" t="s">
        <v>6</v>
      </c>
      <c r="E494" s="84" t="s">
        <v>345</v>
      </c>
      <c r="F494" s="86" t="s">
        <v>1495</v>
      </c>
      <c r="G494" s="109" t="s">
        <v>258</v>
      </c>
      <c r="H494" s="87">
        <v>2</v>
      </c>
      <c r="I494" s="89"/>
      <c r="J494" s="89"/>
      <c r="K494" s="89" t="s">
        <v>1614</v>
      </c>
      <c r="L494" s="84" t="s">
        <v>214</v>
      </c>
      <c r="M494" s="88" t="str">
        <f>VLOOKUP(L494,lookups!B:C,2,FALSE)</f>
        <v>Dave G</v>
      </c>
      <c r="N494" s="89" t="str">
        <f>VLOOKUP(K494,TeamLookup[],2,0)</f>
        <v>Cyber</v>
      </c>
      <c r="O494" s="84">
        <f>VLOOKUP(VALUE($S494),lookups!I:J,2,FALSE)</f>
        <v>4</v>
      </c>
      <c r="P494" s="84" t="e">
        <f>VLOOKUP(VALUE($S494),lookups!F:G,2,FALSE)</f>
        <v>#N/A</v>
      </c>
      <c r="Q494" s="84" t="str">
        <f t="shared" si="28"/>
        <v/>
      </c>
      <c r="R494" s="84">
        <f t="shared" si="29"/>
        <v>245560</v>
      </c>
      <c r="S494" s="84">
        <f t="shared" si="30"/>
        <v>395897</v>
      </c>
      <c r="T494" s="84">
        <f t="shared" si="31"/>
        <v>1018182</v>
      </c>
    </row>
    <row r="495" spans="1:20" x14ac:dyDescent="0.3">
      <c r="B495" s="84">
        <v>1018001</v>
      </c>
      <c r="C495" s="85">
        <v>395897</v>
      </c>
      <c r="D495" s="84" t="s">
        <v>6</v>
      </c>
      <c r="E495" s="84" t="s">
        <v>345</v>
      </c>
      <c r="F495" s="86" t="s">
        <v>1612</v>
      </c>
      <c r="G495" s="109" t="s">
        <v>258</v>
      </c>
      <c r="H495" s="87">
        <v>3</v>
      </c>
      <c r="I495" s="84"/>
      <c r="J495" s="84"/>
      <c r="K495" s="84" t="s">
        <v>1614</v>
      </c>
      <c r="L495" s="84" t="s">
        <v>191</v>
      </c>
      <c r="M495" s="88" t="str">
        <f>VLOOKUP(L495,lookups!B:C,2,FALSE)</f>
        <v>Gerald V</v>
      </c>
      <c r="N495" s="89" t="str">
        <f>VLOOKUP(K495,TeamLookup[],2,0)</f>
        <v>Cyber</v>
      </c>
      <c r="O495" s="84">
        <f>VLOOKUP(VALUE($S495),lookups!I:J,2,FALSE)</f>
        <v>4</v>
      </c>
      <c r="P495" s="84" t="e">
        <f>VLOOKUP(VALUE($S495),lookups!F:G,2,FALSE)</f>
        <v>#N/A</v>
      </c>
      <c r="Q495" s="84" t="str">
        <f t="shared" si="28"/>
        <v/>
      </c>
      <c r="R495" s="84">
        <f t="shared" si="29"/>
        <v>245560</v>
      </c>
      <c r="S495" s="84">
        <f t="shared" si="30"/>
        <v>395897</v>
      </c>
      <c r="T495" s="84">
        <f t="shared" si="31"/>
        <v>1018001</v>
      </c>
    </row>
    <row r="496" spans="1:20" x14ac:dyDescent="0.3">
      <c r="B496" s="84">
        <v>395904</v>
      </c>
      <c r="C496" s="85">
        <v>395897</v>
      </c>
      <c r="D496" s="84" t="s">
        <v>6</v>
      </c>
      <c r="E496" s="84" t="s">
        <v>345</v>
      </c>
      <c r="F496" s="86" t="s">
        <v>240</v>
      </c>
      <c r="G496" s="109" t="s">
        <v>258</v>
      </c>
      <c r="H496" s="87">
        <v>2</v>
      </c>
      <c r="I496" s="84"/>
      <c r="J496" s="84"/>
      <c r="K496" s="84" t="s">
        <v>1614</v>
      </c>
      <c r="L496" s="84" t="s">
        <v>11</v>
      </c>
      <c r="M496" s="88" t="str">
        <f>VLOOKUP(L496,lookups!B:C,2,FALSE)</f>
        <v>Randy</v>
      </c>
      <c r="N496" s="89" t="str">
        <f>VLOOKUP(K496,TeamLookup[],2,0)</f>
        <v>Cyber</v>
      </c>
      <c r="O496" s="84">
        <f>VLOOKUP(VALUE($S496),lookups!I:J,2,FALSE)</f>
        <v>4</v>
      </c>
      <c r="P496" s="84" t="e">
        <f>VLOOKUP(VALUE($S496),lookups!F:G,2,FALSE)</f>
        <v>#N/A</v>
      </c>
      <c r="Q496" s="84" t="str">
        <f t="shared" si="28"/>
        <v/>
      </c>
      <c r="R496" s="84">
        <f t="shared" si="29"/>
        <v>245560</v>
      </c>
      <c r="S496" s="84">
        <f t="shared" si="30"/>
        <v>395897</v>
      </c>
      <c r="T496" s="84">
        <f t="shared" si="31"/>
        <v>395904</v>
      </c>
    </row>
    <row r="497" spans="1:20" x14ac:dyDescent="0.3">
      <c r="B497" s="84">
        <v>1024626</v>
      </c>
      <c r="C497" s="85">
        <v>395897</v>
      </c>
      <c r="D497" s="84" t="s">
        <v>6</v>
      </c>
      <c r="E497" s="84" t="s">
        <v>7</v>
      </c>
      <c r="F497" s="86" t="s">
        <v>1670</v>
      </c>
      <c r="G497" s="109" t="s">
        <v>257</v>
      </c>
      <c r="H497" s="87">
        <v>3</v>
      </c>
      <c r="I497" s="89"/>
      <c r="J497" s="89"/>
      <c r="K497" s="89" t="s">
        <v>1614</v>
      </c>
      <c r="L497" s="84" t="s">
        <v>191</v>
      </c>
      <c r="M497" s="88" t="str">
        <f>VLOOKUP(L497,lookups!B:C,2,FALSE)</f>
        <v>Gerald V</v>
      </c>
      <c r="N497" s="89" t="str">
        <f>VLOOKUP(K497,TeamLookup[],2,0)</f>
        <v>Cyber</v>
      </c>
      <c r="O497" s="84">
        <f>VLOOKUP(VALUE($S497),lookups!I:J,2,FALSE)</f>
        <v>4</v>
      </c>
      <c r="P497" s="84" t="e">
        <f>VLOOKUP(VALUE($S497),lookups!F:G,2,FALSE)</f>
        <v>#N/A</v>
      </c>
      <c r="Q497" s="84" t="str">
        <f t="shared" si="28"/>
        <v/>
      </c>
      <c r="R497" s="84">
        <f t="shared" si="29"/>
        <v>245560</v>
      </c>
      <c r="S497" s="84">
        <f t="shared" si="30"/>
        <v>395897</v>
      </c>
      <c r="T497" s="84">
        <f t="shared" si="31"/>
        <v>1024626</v>
      </c>
    </row>
    <row r="498" spans="1:20" ht="43.2" customHeight="1" x14ac:dyDescent="0.3">
      <c r="B498" s="84">
        <v>1018368</v>
      </c>
      <c r="C498" s="85">
        <v>395897</v>
      </c>
      <c r="D498" s="84" t="s">
        <v>6</v>
      </c>
      <c r="E498" s="84" t="s">
        <v>7</v>
      </c>
      <c r="F498" s="86" t="s">
        <v>1505</v>
      </c>
      <c r="G498" s="109" t="s">
        <v>257</v>
      </c>
      <c r="H498" s="87">
        <v>1</v>
      </c>
      <c r="I498" s="84"/>
      <c r="J498" s="84"/>
      <c r="K498" s="84" t="s">
        <v>1614</v>
      </c>
      <c r="L498" s="84" t="s">
        <v>37</v>
      </c>
      <c r="M498" s="88" t="str">
        <f>VLOOKUP(L498,lookups!B:C,2,FALSE)</f>
        <v>Kent</v>
      </c>
      <c r="N498" s="89" t="str">
        <f>VLOOKUP(K498,TeamLookup[],2,0)</f>
        <v>Cyber</v>
      </c>
      <c r="O498" s="84">
        <f>VLOOKUP(VALUE($S498),lookups!I:J,2,FALSE)</f>
        <v>4</v>
      </c>
      <c r="P498" s="84" t="e">
        <f>VLOOKUP(VALUE($S498),lookups!F:G,2,FALSE)</f>
        <v>#N/A</v>
      </c>
      <c r="Q498" s="84" t="str">
        <f t="shared" si="28"/>
        <v/>
      </c>
      <c r="R498" s="84">
        <f t="shared" si="29"/>
        <v>245560</v>
      </c>
      <c r="S498" s="84">
        <f t="shared" si="30"/>
        <v>395897</v>
      </c>
      <c r="T498" s="84">
        <f t="shared" si="31"/>
        <v>1018368</v>
      </c>
    </row>
    <row r="499" spans="1:20" x14ac:dyDescent="0.3">
      <c r="B499" s="84">
        <v>1018355</v>
      </c>
      <c r="C499" s="85">
        <v>395897</v>
      </c>
      <c r="D499" s="84" t="s">
        <v>6</v>
      </c>
      <c r="E499" s="84" t="s">
        <v>7</v>
      </c>
      <c r="F499" s="91" t="s">
        <v>1509</v>
      </c>
      <c r="G499" s="109" t="s">
        <v>257</v>
      </c>
      <c r="H499" s="87">
        <v>1</v>
      </c>
      <c r="I499" s="89"/>
      <c r="J499" s="89"/>
      <c r="K499" s="89" t="s">
        <v>1620</v>
      </c>
      <c r="L499" s="84" t="s">
        <v>182</v>
      </c>
      <c r="M499" s="88" t="str">
        <f>VLOOKUP(L499,lookups!B:C,2,FALSE)</f>
        <v>Ted</v>
      </c>
      <c r="N499" s="89" t="str">
        <f>VLOOKUP(K499,TeamLookup[],2,0)</f>
        <v>Okapi</v>
      </c>
      <c r="O499" s="84">
        <f>VLOOKUP(VALUE($S499),lookups!I:J,2,FALSE)</f>
        <v>4</v>
      </c>
      <c r="P499" s="84" t="e">
        <f>VLOOKUP(VALUE($S499),lookups!F:G,2,FALSE)</f>
        <v>#N/A</v>
      </c>
      <c r="Q499" s="84" t="str">
        <f t="shared" si="28"/>
        <v/>
      </c>
      <c r="R499" s="84">
        <f t="shared" si="29"/>
        <v>245560</v>
      </c>
      <c r="S499" s="84">
        <f t="shared" si="30"/>
        <v>395897</v>
      </c>
      <c r="T499" s="84">
        <f t="shared" si="31"/>
        <v>1018355</v>
      </c>
    </row>
    <row r="500" spans="1:20" x14ac:dyDescent="0.3">
      <c r="B500" s="84">
        <v>1018210</v>
      </c>
      <c r="C500" s="85">
        <v>395897</v>
      </c>
      <c r="D500" s="84" t="s">
        <v>6</v>
      </c>
      <c r="E500" s="84" t="s">
        <v>7</v>
      </c>
      <c r="F500" s="86" t="s">
        <v>1489</v>
      </c>
      <c r="G500" s="109" t="s">
        <v>257</v>
      </c>
      <c r="H500" s="87">
        <v>3</v>
      </c>
      <c r="I500" s="89"/>
      <c r="J500" s="89"/>
      <c r="K500" s="89" t="s">
        <v>1614</v>
      </c>
      <c r="L500" s="84" t="s">
        <v>107</v>
      </c>
      <c r="M500" s="88" t="str">
        <f>VLOOKUP(L500,lookups!B:C,2,FALSE)</f>
        <v>Chris</v>
      </c>
      <c r="N500" s="89" t="str">
        <f>VLOOKUP(K500,TeamLookup[],2,0)</f>
        <v>Cyber</v>
      </c>
      <c r="O500" s="84">
        <f>VLOOKUP(VALUE($S500),lookups!I:J,2,FALSE)</f>
        <v>4</v>
      </c>
      <c r="P500" s="84" t="e">
        <f>VLOOKUP(VALUE($S500),lookups!F:G,2,FALSE)</f>
        <v>#N/A</v>
      </c>
      <c r="Q500" s="84" t="str">
        <f t="shared" si="28"/>
        <v/>
      </c>
      <c r="R500" s="84">
        <f t="shared" si="29"/>
        <v>245560</v>
      </c>
      <c r="S500" s="84">
        <f t="shared" si="30"/>
        <v>395897</v>
      </c>
      <c r="T500" s="84">
        <f t="shared" si="31"/>
        <v>1018210</v>
      </c>
    </row>
    <row r="501" spans="1:20" x14ac:dyDescent="0.3">
      <c r="B501" s="84">
        <v>1018184</v>
      </c>
      <c r="C501" s="85">
        <v>395897</v>
      </c>
      <c r="D501" s="84" t="s">
        <v>6</v>
      </c>
      <c r="E501" s="84" t="s">
        <v>105</v>
      </c>
      <c r="F501" s="86" t="s">
        <v>1494</v>
      </c>
      <c r="G501" s="109" t="s">
        <v>257</v>
      </c>
      <c r="H501" s="87">
        <v>2</v>
      </c>
      <c r="I501" s="89"/>
      <c r="J501" s="89"/>
      <c r="K501" s="89" t="s">
        <v>1614</v>
      </c>
      <c r="L501" s="84" t="s">
        <v>214</v>
      </c>
      <c r="M501" s="88" t="str">
        <f>VLOOKUP(L501,lookups!B:C,2,FALSE)</f>
        <v>Dave G</v>
      </c>
      <c r="N501" s="89" t="str">
        <f>VLOOKUP(K501,TeamLookup[],2,0)</f>
        <v>Cyber</v>
      </c>
      <c r="O501" s="84">
        <f>VLOOKUP(VALUE($S501),lookups!I:J,2,FALSE)</f>
        <v>4</v>
      </c>
      <c r="P501" s="84" t="e">
        <f>VLOOKUP(VALUE($S501),lookups!F:G,2,FALSE)</f>
        <v>#N/A</v>
      </c>
      <c r="Q501" s="84" t="str">
        <f t="shared" si="28"/>
        <v/>
      </c>
      <c r="R501" s="84">
        <f t="shared" si="29"/>
        <v>245560</v>
      </c>
      <c r="S501" s="84">
        <f t="shared" si="30"/>
        <v>395897</v>
      </c>
      <c r="T501" s="84">
        <f t="shared" si="31"/>
        <v>1018184</v>
      </c>
    </row>
    <row r="502" spans="1:20" x14ac:dyDescent="0.3">
      <c r="B502" s="84">
        <v>1014892</v>
      </c>
      <c r="C502" s="85">
        <v>395897</v>
      </c>
      <c r="D502" s="84" t="s">
        <v>6</v>
      </c>
      <c r="E502" s="84" t="s">
        <v>7</v>
      </c>
      <c r="F502" s="86" t="s">
        <v>1417</v>
      </c>
      <c r="G502" s="109" t="s">
        <v>257</v>
      </c>
      <c r="H502" s="87">
        <v>2</v>
      </c>
      <c r="I502" s="84"/>
      <c r="J502" s="84"/>
      <c r="K502" s="84" t="s">
        <v>1616</v>
      </c>
      <c r="L502" s="84" t="s">
        <v>1459</v>
      </c>
      <c r="M502" s="88" t="str">
        <f>VLOOKUP(L502,lookups!B:C,2,FALSE)</f>
        <v>Mike K</v>
      </c>
      <c r="N502" s="89" t="str">
        <f>VLOOKUP(K502,TeamLookup[],2,0)</f>
        <v>Magic</v>
      </c>
      <c r="O502" s="84">
        <f>VLOOKUP(VALUE($S502),lookups!I:J,2,FALSE)</f>
        <v>4</v>
      </c>
      <c r="P502" s="84" t="e">
        <f>VLOOKUP(VALUE($S502),lookups!F:G,2,FALSE)</f>
        <v>#N/A</v>
      </c>
      <c r="Q502" s="84" t="str">
        <f t="shared" si="28"/>
        <v/>
      </c>
      <c r="R502" s="84">
        <f t="shared" si="29"/>
        <v>245560</v>
      </c>
      <c r="S502" s="84">
        <f t="shared" si="30"/>
        <v>395897</v>
      </c>
      <c r="T502" s="84">
        <f t="shared" si="31"/>
        <v>1014892</v>
      </c>
    </row>
    <row r="503" spans="1:20" x14ac:dyDescent="0.3">
      <c r="A503" s="96"/>
      <c r="B503" s="84">
        <v>395905</v>
      </c>
      <c r="C503" s="85">
        <v>395897</v>
      </c>
      <c r="D503" s="84" t="s">
        <v>6</v>
      </c>
      <c r="E503" s="84" t="s">
        <v>7</v>
      </c>
      <c r="F503" s="86" t="s">
        <v>239</v>
      </c>
      <c r="G503" s="109" t="s">
        <v>257</v>
      </c>
      <c r="H503" s="87">
        <v>2</v>
      </c>
      <c r="I503" s="89"/>
      <c r="J503" s="89"/>
      <c r="K503" s="89" t="s">
        <v>1614</v>
      </c>
      <c r="L503" s="84" t="s">
        <v>11</v>
      </c>
      <c r="M503" s="88" t="str">
        <f>VLOOKUP(L503,lookups!B:C,2,FALSE)</f>
        <v>Randy</v>
      </c>
      <c r="N503" s="89" t="str">
        <f>VLOOKUP(K503,TeamLookup[],2,0)</f>
        <v>Cyber</v>
      </c>
      <c r="O503" s="84">
        <f>VLOOKUP(VALUE($S503),lookups!I:J,2,FALSE)</f>
        <v>4</v>
      </c>
      <c r="P503" s="84" t="e">
        <f>VLOOKUP(VALUE($S503),lookups!F:G,2,FALSE)</f>
        <v>#N/A</v>
      </c>
      <c r="Q503" s="84" t="str">
        <f t="shared" si="28"/>
        <v/>
      </c>
      <c r="R503" s="84">
        <f t="shared" si="29"/>
        <v>245560</v>
      </c>
      <c r="S503" s="84">
        <f t="shared" si="30"/>
        <v>395897</v>
      </c>
      <c r="T503" s="84">
        <f t="shared" si="31"/>
        <v>395905</v>
      </c>
    </row>
    <row r="504" spans="1:20" x14ac:dyDescent="0.3">
      <c r="B504" s="84">
        <v>395897</v>
      </c>
      <c r="C504" s="85">
        <v>245560</v>
      </c>
      <c r="D504" s="84" t="s">
        <v>24</v>
      </c>
      <c r="E504" s="84" t="s">
        <v>105</v>
      </c>
      <c r="F504" s="91" t="s">
        <v>1426</v>
      </c>
      <c r="G504" s="109" t="s">
        <v>257</v>
      </c>
      <c r="H504" s="87"/>
      <c r="I504" s="89" t="s">
        <v>48</v>
      </c>
      <c r="J504" s="89"/>
      <c r="K504" s="89" t="s">
        <v>1614</v>
      </c>
      <c r="L504" s="84" t="s">
        <v>214</v>
      </c>
      <c r="M504" s="88" t="str">
        <f>VLOOKUP(L504,lookups!B:C,2,FALSE)</f>
        <v>Dave G</v>
      </c>
      <c r="N504" s="89" t="str">
        <f>VLOOKUP(K504,TeamLookup[],2,0)</f>
        <v>Cyber</v>
      </c>
      <c r="O504" s="84">
        <f>VLOOKUP(VALUE($S504),lookups!I:J,2,FALSE)</f>
        <v>4</v>
      </c>
      <c r="P504" s="84" t="e">
        <f>VLOOKUP(VALUE($S504),lookups!F:G,2,FALSE)</f>
        <v>#N/A</v>
      </c>
      <c r="Q504" s="84" t="str">
        <f t="shared" si="28"/>
        <v>ParentNotInCyberQuery</v>
      </c>
      <c r="R504" s="84">
        <f t="shared" si="29"/>
        <v>245560</v>
      </c>
      <c r="S504" s="84">
        <f t="shared" si="30"/>
        <v>395897</v>
      </c>
      <c r="T504" s="84">
        <f t="shared" si="31"/>
        <v>0</v>
      </c>
    </row>
    <row r="505" spans="1:20" x14ac:dyDescent="0.3">
      <c r="B505" s="84">
        <v>1005360</v>
      </c>
      <c r="C505" s="85">
        <v>1001636</v>
      </c>
      <c r="D505" s="84" t="s">
        <v>6</v>
      </c>
      <c r="E505" s="84" t="s">
        <v>345</v>
      </c>
      <c r="F505" s="86" t="s">
        <v>360</v>
      </c>
      <c r="G505" s="109" t="s">
        <v>1344</v>
      </c>
      <c r="H505" s="87">
        <v>5</v>
      </c>
      <c r="I505" s="89"/>
      <c r="J505" s="89"/>
      <c r="K505" s="89" t="s">
        <v>1614</v>
      </c>
      <c r="L505" s="84" t="s">
        <v>182</v>
      </c>
      <c r="M505" s="88" t="str">
        <f>VLOOKUP(L505,lookups!B:C,2,FALSE)</f>
        <v>Ted</v>
      </c>
      <c r="N505" s="89" t="str">
        <f>VLOOKUP(K505,TeamLookup[],2,0)</f>
        <v>Cyber</v>
      </c>
      <c r="O505" s="84" t="e">
        <f>VLOOKUP(VALUE($S505),lookups!I:J,2,FALSE)</f>
        <v>#N/A</v>
      </c>
      <c r="P505" s="84" t="e">
        <f>VLOOKUP(VALUE($S505),lookups!F:G,2,FALSE)</f>
        <v>#N/A</v>
      </c>
      <c r="Q505" s="84" t="str">
        <f t="shared" si="28"/>
        <v/>
      </c>
      <c r="R505" s="84">
        <f t="shared" si="29"/>
        <v>245560</v>
      </c>
      <c r="S505" s="84">
        <f t="shared" si="30"/>
        <v>1001636</v>
      </c>
      <c r="T505" s="84">
        <f t="shared" si="31"/>
        <v>1005360</v>
      </c>
    </row>
    <row r="506" spans="1:20" x14ac:dyDescent="0.3">
      <c r="B506" s="84">
        <v>1005356</v>
      </c>
      <c r="C506" s="85">
        <v>1001636</v>
      </c>
      <c r="D506" s="84" t="s">
        <v>6</v>
      </c>
      <c r="E506" s="84" t="s">
        <v>345</v>
      </c>
      <c r="F506" s="86" t="s">
        <v>361</v>
      </c>
      <c r="G506" s="109" t="s">
        <v>1344</v>
      </c>
      <c r="H506" s="87">
        <v>5</v>
      </c>
      <c r="I506" s="84"/>
      <c r="J506" s="84"/>
      <c r="K506" s="84" t="s">
        <v>1614</v>
      </c>
      <c r="L506" s="84" t="s">
        <v>213</v>
      </c>
      <c r="M506" s="88" t="str">
        <f>VLOOKUP(L506,lookups!B:C,2,FALSE)</f>
        <v>Alice</v>
      </c>
      <c r="N506" s="89" t="str">
        <f>VLOOKUP(K506,TeamLookup[],2,0)</f>
        <v>Cyber</v>
      </c>
      <c r="O506" s="84" t="e">
        <f>VLOOKUP(VALUE($S506),lookups!I:J,2,FALSE)</f>
        <v>#N/A</v>
      </c>
      <c r="P506" s="84" t="e">
        <f>VLOOKUP(VALUE($S506),lookups!F:G,2,FALSE)</f>
        <v>#N/A</v>
      </c>
      <c r="Q506" s="84" t="str">
        <f t="shared" si="28"/>
        <v/>
      </c>
      <c r="R506" s="84">
        <f t="shared" si="29"/>
        <v>245560</v>
      </c>
      <c r="S506" s="84">
        <f t="shared" si="30"/>
        <v>1001636</v>
      </c>
      <c r="T506" s="84">
        <f t="shared" si="31"/>
        <v>1005356</v>
      </c>
    </row>
    <row r="507" spans="1:20" ht="28.8" x14ac:dyDescent="0.3">
      <c r="B507" s="84">
        <v>1008409</v>
      </c>
      <c r="C507" s="85">
        <v>1001636</v>
      </c>
      <c r="D507" s="84" t="s">
        <v>6</v>
      </c>
      <c r="E507" s="84" t="s">
        <v>345</v>
      </c>
      <c r="F507" s="86" t="s">
        <v>314</v>
      </c>
      <c r="G507" s="109" t="s">
        <v>217</v>
      </c>
      <c r="H507" s="87">
        <v>2</v>
      </c>
      <c r="I507" s="84"/>
      <c r="J507" s="84"/>
      <c r="K507" s="84" t="s">
        <v>1614</v>
      </c>
      <c r="L507" s="84" t="s">
        <v>214</v>
      </c>
      <c r="M507" s="88" t="str">
        <f>VLOOKUP(L507,lookups!B:C,2,FALSE)</f>
        <v>Dave G</v>
      </c>
      <c r="N507" s="89" t="str">
        <f>VLOOKUP(K507,TeamLookup[],2,0)</f>
        <v>Cyber</v>
      </c>
      <c r="O507" s="84" t="e">
        <f>VLOOKUP(VALUE($S507),lookups!I:J,2,FALSE)</f>
        <v>#N/A</v>
      </c>
      <c r="P507" s="84" t="e">
        <f>VLOOKUP(VALUE($S507),lookups!F:G,2,FALSE)</f>
        <v>#N/A</v>
      </c>
      <c r="Q507" s="84" t="str">
        <f t="shared" si="28"/>
        <v/>
      </c>
      <c r="R507" s="84">
        <f t="shared" si="29"/>
        <v>245560</v>
      </c>
      <c r="S507" s="84">
        <f t="shared" si="30"/>
        <v>1001636</v>
      </c>
      <c r="T507" s="84">
        <f t="shared" si="31"/>
        <v>1008409</v>
      </c>
    </row>
    <row r="508" spans="1:20" x14ac:dyDescent="0.3">
      <c r="B508" s="84">
        <v>1008408</v>
      </c>
      <c r="C508" s="85">
        <v>1001636</v>
      </c>
      <c r="D508" s="84" t="s">
        <v>6</v>
      </c>
      <c r="E508" s="84" t="s">
        <v>345</v>
      </c>
      <c r="F508" s="86" t="s">
        <v>315</v>
      </c>
      <c r="G508" s="109" t="s">
        <v>217</v>
      </c>
      <c r="H508" s="87">
        <v>3</v>
      </c>
      <c r="I508" s="89"/>
      <c r="J508" s="89"/>
      <c r="K508" s="89" t="s">
        <v>1614</v>
      </c>
      <c r="L508" s="84" t="s">
        <v>214</v>
      </c>
      <c r="M508" s="88" t="str">
        <f>VLOOKUP(L508,lookups!B:C,2,FALSE)</f>
        <v>Dave G</v>
      </c>
      <c r="N508" s="89" t="str">
        <f>VLOOKUP(K508,TeamLookup[],2,0)</f>
        <v>Cyber</v>
      </c>
      <c r="O508" s="84" t="e">
        <f>VLOOKUP(VALUE($S508),lookups!I:J,2,FALSE)</f>
        <v>#N/A</v>
      </c>
      <c r="P508" s="84" t="e">
        <f>VLOOKUP(VALUE($S508),lookups!F:G,2,FALSE)</f>
        <v>#N/A</v>
      </c>
      <c r="Q508" s="84" t="str">
        <f t="shared" si="28"/>
        <v/>
      </c>
      <c r="R508" s="84">
        <f t="shared" si="29"/>
        <v>245560</v>
      </c>
      <c r="S508" s="84">
        <f t="shared" si="30"/>
        <v>1001636</v>
      </c>
      <c r="T508" s="84">
        <f t="shared" si="31"/>
        <v>1008408</v>
      </c>
    </row>
    <row r="509" spans="1:20" x14ac:dyDescent="0.3">
      <c r="B509" s="84">
        <v>1001646</v>
      </c>
      <c r="C509" s="85">
        <v>1001636</v>
      </c>
      <c r="D509" s="84" t="s">
        <v>6</v>
      </c>
      <c r="E509" s="84" t="s">
        <v>345</v>
      </c>
      <c r="F509" s="86" t="s">
        <v>331</v>
      </c>
      <c r="G509" s="109" t="s">
        <v>267</v>
      </c>
      <c r="H509" s="87">
        <v>1</v>
      </c>
      <c r="I509" s="89"/>
      <c r="J509" s="89"/>
      <c r="K509" s="89" t="s">
        <v>1614</v>
      </c>
      <c r="L509" s="84" t="s">
        <v>214</v>
      </c>
      <c r="M509" s="88" t="str">
        <f>VLOOKUP(L509,lookups!B:C,2,FALSE)</f>
        <v>Dave G</v>
      </c>
      <c r="N509" s="89" t="str">
        <f>VLOOKUP(K509,TeamLookup[],2,0)</f>
        <v>Cyber</v>
      </c>
      <c r="O509" s="84" t="e">
        <f>VLOOKUP(VALUE($S509),lookups!I:J,2,FALSE)</f>
        <v>#N/A</v>
      </c>
      <c r="P509" s="84" t="e">
        <f>VLOOKUP(VALUE($S509),lookups!F:G,2,FALSE)</f>
        <v>#N/A</v>
      </c>
      <c r="Q509" s="84" t="str">
        <f t="shared" si="28"/>
        <v/>
      </c>
      <c r="R509" s="84">
        <f t="shared" si="29"/>
        <v>245560</v>
      </c>
      <c r="S509" s="84">
        <f t="shared" si="30"/>
        <v>1001636</v>
      </c>
      <c r="T509" s="84">
        <f t="shared" si="31"/>
        <v>1001646</v>
      </c>
    </row>
    <row r="510" spans="1:20" x14ac:dyDescent="0.3">
      <c r="A510" s="96"/>
      <c r="B510" s="84">
        <v>1008037</v>
      </c>
      <c r="C510" s="85">
        <v>1001636</v>
      </c>
      <c r="D510" s="84" t="s">
        <v>6</v>
      </c>
      <c r="E510" s="84" t="s">
        <v>345</v>
      </c>
      <c r="F510" s="86" t="s">
        <v>317</v>
      </c>
      <c r="G510" s="109" t="s">
        <v>265</v>
      </c>
      <c r="H510" s="87">
        <v>1</v>
      </c>
      <c r="I510" s="89"/>
      <c r="J510" s="89"/>
      <c r="K510" s="89" t="s">
        <v>1614</v>
      </c>
      <c r="L510" s="84" t="s">
        <v>214</v>
      </c>
      <c r="M510" s="88" t="str">
        <f>VLOOKUP(L510,lookups!B:C,2,FALSE)</f>
        <v>Dave G</v>
      </c>
      <c r="N510" s="89" t="str">
        <f>VLOOKUP(K510,TeamLookup[],2,0)</f>
        <v>Cyber</v>
      </c>
      <c r="O510" s="84" t="e">
        <f>VLOOKUP(VALUE($S510),lookups!I:J,2,FALSE)</f>
        <v>#N/A</v>
      </c>
      <c r="P510" s="84" t="e">
        <f>VLOOKUP(VALUE($S510),lookups!F:G,2,FALSE)</f>
        <v>#N/A</v>
      </c>
      <c r="Q510" s="84" t="str">
        <f t="shared" si="28"/>
        <v/>
      </c>
      <c r="R510" s="84">
        <f t="shared" si="29"/>
        <v>245560</v>
      </c>
      <c r="S510" s="84">
        <f t="shared" si="30"/>
        <v>1001636</v>
      </c>
      <c r="T510" s="84">
        <f t="shared" si="31"/>
        <v>1008037</v>
      </c>
    </row>
    <row r="511" spans="1:20" x14ac:dyDescent="0.3">
      <c r="A511" s="96"/>
      <c r="B511" s="84">
        <v>1001649</v>
      </c>
      <c r="C511" s="85">
        <v>1001636</v>
      </c>
      <c r="D511" s="84" t="s">
        <v>6</v>
      </c>
      <c r="E511" s="84" t="s">
        <v>345</v>
      </c>
      <c r="F511" s="86" t="s">
        <v>330</v>
      </c>
      <c r="G511" s="109" t="s">
        <v>263</v>
      </c>
      <c r="H511" s="87">
        <v>1</v>
      </c>
      <c r="I511" s="89"/>
      <c r="J511" s="89"/>
      <c r="K511" s="89" t="s">
        <v>1614</v>
      </c>
      <c r="L511" s="84" t="s">
        <v>214</v>
      </c>
      <c r="M511" s="88" t="str">
        <f>VLOOKUP(L511,lookups!B:C,2,FALSE)</f>
        <v>Dave G</v>
      </c>
      <c r="N511" s="89" t="str">
        <f>VLOOKUP(K511,TeamLookup[],2,0)</f>
        <v>Cyber</v>
      </c>
      <c r="O511" s="84" t="e">
        <f>VLOOKUP(VALUE($S511),lookups!I:J,2,FALSE)</f>
        <v>#N/A</v>
      </c>
      <c r="P511" s="84" t="e">
        <f>VLOOKUP(VALUE($S511),lookups!F:G,2,FALSE)</f>
        <v>#N/A</v>
      </c>
      <c r="Q511" s="84" t="str">
        <f t="shared" si="28"/>
        <v/>
      </c>
      <c r="R511" s="84">
        <f t="shared" si="29"/>
        <v>245560</v>
      </c>
      <c r="S511" s="84">
        <f t="shared" si="30"/>
        <v>1001636</v>
      </c>
      <c r="T511" s="84">
        <f t="shared" si="31"/>
        <v>1001649</v>
      </c>
    </row>
    <row r="512" spans="1:20" x14ac:dyDescent="0.3">
      <c r="B512" s="84">
        <v>1008493</v>
      </c>
      <c r="C512" s="85">
        <v>1001636</v>
      </c>
      <c r="D512" s="84" t="s">
        <v>6</v>
      </c>
      <c r="E512" s="84" t="s">
        <v>345</v>
      </c>
      <c r="F512" s="86" t="s">
        <v>308</v>
      </c>
      <c r="G512" s="109" t="s">
        <v>262</v>
      </c>
      <c r="H512" s="87">
        <v>1</v>
      </c>
      <c r="I512" s="89"/>
      <c r="J512" s="89"/>
      <c r="K512" s="89" t="s">
        <v>1618</v>
      </c>
      <c r="L512" s="84" t="s">
        <v>88</v>
      </c>
      <c r="M512" s="88" t="str">
        <f>VLOOKUP(L512,lookups!B:C,2,FALSE)</f>
        <v>Will</v>
      </c>
      <c r="N512" s="89" t="str">
        <f>VLOOKUP(K512,TeamLookup[],2,0)</f>
        <v>System Engineering</v>
      </c>
      <c r="O512" s="84" t="e">
        <f>VLOOKUP(VALUE($S512),lookups!I:J,2,FALSE)</f>
        <v>#N/A</v>
      </c>
      <c r="P512" s="84" t="e">
        <f>VLOOKUP(VALUE($S512),lookups!F:G,2,FALSE)</f>
        <v>#N/A</v>
      </c>
      <c r="Q512" s="84" t="str">
        <f t="shared" si="28"/>
        <v/>
      </c>
      <c r="R512" s="84">
        <f t="shared" si="29"/>
        <v>245560</v>
      </c>
      <c r="S512" s="84">
        <f t="shared" si="30"/>
        <v>1001636</v>
      </c>
      <c r="T512" s="84">
        <f t="shared" si="31"/>
        <v>1008493</v>
      </c>
    </row>
    <row r="513" spans="1:20" x14ac:dyDescent="0.3">
      <c r="B513" s="84">
        <v>1001636</v>
      </c>
      <c r="C513" s="85">
        <v>245560</v>
      </c>
      <c r="D513" s="84" t="s">
        <v>24</v>
      </c>
      <c r="E513" s="84" t="s">
        <v>345</v>
      </c>
      <c r="F513" s="86" t="s">
        <v>300</v>
      </c>
      <c r="G513" s="109" t="s">
        <v>262</v>
      </c>
      <c r="H513" s="87"/>
      <c r="I513" s="84" t="s">
        <v>48</v>
      </c>
      <c r="J513" s="84"/>
      <c r="K513" s="84" t="s">
        <v>1614</v>
      </c>
      <c r="L513" s="84" t="s">
        <v>129</v>
      </c>
      <c r="M513" s="88" t="str">
        <f>VLOOKUP(L513,lookups!B:C,2,FALSE)</f>
        <v>Derek</v>
      </c>
      <c r="N513" s="89" t="str">
        <f>VLOOKUP(K513,TeamLookup[],2,0)</f>
        <v>Cyber</v>
      </c>
      <c r="O513" s="84" t="e">
        <f>VLOOKUP(VALUE($S513),lookups!I:J,2,FALSE)</f>
        <v>#N/A</v>
      </c>
      <c r="P513" s="84" t="e">
        <f>VLOOKUP(VALUE($S513),lookups!F:G,2,FALSE)</f>
        <v>#N/A</v>
      </c>
      <c r="Q513" s="84" t="str">
        <f t="shared" si="28"/>
        <v>ParentNotInCyberQuery</v>
      </c>
      <c r="R513" s="84">
        <f t="shared" si="29"/>
        <v>245560</v>
      </c>
      <c r="S513" s="84">
        <f t="shared" si="30"/>
        <v>1001636</v>
      </c>
      <c r="T513" s="84">
        <f t="shared" si="31"/>
        <v>0</v>
      </c>
    </row>
    <row r="514" spans="1:20" ht="28.8" x14ac:dyDescent="0.3">
      <c r="B514" s="84">
        <v>1012747</v>
      </c>
      <c r="C514" s="85">
        <v>1012503</v>
      </c>
      <c r="D514" s="84" t="s">
        <v>6</v>
      </c>
      <c r="E514" s="84" t="s">
        <v>345</v>
      </c>
      <c r="F514" s="86" t="s">
        <v>1366</v>
      </c>
      <c r="G514" s="109" t="s">
        <v>265</v>
      </c>
      <c r="H514" s="87">
        <v>2</v>
      </c>
      <c r="I514" s="89"/>
      <c r="J514" s="89"/>
      <c r="K514" s="89" t="s">
        <v>1619</v>
      </c>
      <c r="L514" s="84" t="s">
        <v>135</v>
      </c>
      <c r="M514" s="88" t="str">
        <f>VLOOKUP(L514,lookups!B:C,2,FALSE)</f>
        <v>Allen Y</v>
      </c>
      <c r="N514" s="89" t="str">
        <f>VLOOKUP(K514,TeamLookup[],2,0)</f>
        <v>TOFF</v>
      </c>
      <c r="O514" s="84" t="e">
        <f>VLOOKUP(VALUE($S514),lookups!I:J,2,FALSE)</f>
        <v>#N/A</v>
      </c>
      <c r="P514" s="84" t="e">
        <f>VLOOKUP(VALUE($S514),lookups!F:G,2,FALSE)</f>
        <v>#N/A</v>
      </c>
      <c r="Q514" s="84" t="str">
        <f t="shared" ref="Q514:Q577" si="32">IF($B514="","ZeroEntry",
IF($D514="Program Epic","",
IF(OR($D514="Feature",$D514="Story",$D514="Task"),
  IF($C514="","Missing_ParentEntry",
IF(ISERROR(MATCH(VALUE($C514),$B:$B,0)),"ParentNotInCyberQuery",
IF(AND($D514="Story",VLOOKUP(VALUE($C514),$B:$D,3,FALSE)&lt;&gt;"Feature"),"Warning: StoryParentIs_"&amp;VLOOKUP(VALUE($C514),$B:$D,3,FALSE)&amp;"_NotFeature",
IF(AND(OR($D514="Story",$D514="Task"),VLOOKUP(VALUE($C514),$B:$C,2,FALSE)=""),"MissingGrandparent",
IF(AND($D514="Feature",ISERROR(MATCH("#"&amp;$B514,$C:$C,0))),"FeatureHasNoStories",
IF(AND($D514="Feature",VLOOKUP(VALUE($C514),$B:$D,3,FALSE)&lt;&gt;"Program Epic"),"FeatureParentIs_"&amp;VLOOKUP(VALUE($C514),$B:$D,3,FALSE)&amp;"_NotEpic","")))))),"")))</f>
        <v/>
      </c>
      <c r="R514" s="84">
        <f t="shared" ref="R514:R577" si="33">IF(AND($Q514&lt;&gt;"FeatureHasNoStories","Warning: StoryParentIs_Program Epic_NotFeature"&lt;&gt;$Q514,$Q514&lt;&gt;"ParentNotInCyberQuery",$Q514&lt;&gt;""),$Q514,
IF($D514="Program Epic",B514,
IF($D514="Feature",VALUE($C514),
IF("Warning: StoryParentIs_Program Epic_NotFeature"=$Q514,VALUE($C514),
IF(AND($D514="Story",$Q514="ParentNotInCyberQuery"),"MT",
IF($C514=0,"N/A",
IF(OR($D514="Story",$D514="Task"),VALUE(VLOOKUP(VALUE($C514),$B:$C,2,FALSE)),"N/A")))))))</f>
        <v>245560</v>
      </c>
      <c r="S514" s="84">
        <f t="shared" ref="S514:S577" si="34">IF($D514="Program Epic",0,
IF($D514="Feature",$B514,
IF($C514=0,"NoParentFeature",VALUE($C514))))</f>
        <v>1012503</v>
      </c>
      <c r="T514" s="84">
        <f t="shared" ref="T514:T577" si="35">IF(OR($D514="Story",$D514="Task"),$B514,0)</f>
        <v>1012747</v>
      </c>
    </row>
    <row r="515" spans="1:20" ht="28.8" x14ac:dyDescent="0.3">
      <c r="A515" s="96"/>
      <c r="B515" s="84">
        <v>1012719</v>
      </c>
      <c r="C515" s="85">
        <v>1012503</v>
      </c>
      <c r="D515" s="84" t="s">
        <v>344</v>
      </c>
      <c r="E515" s="84" t="s">
        <v>345</v>
      </c>
      <c r="F515" s="86" t="s">
        <v>1369</v>
      </c>
      <c r="G515" s="109" t="s">
        <v>265</v>
      </c>
      <c r="H515" s="87"/>
      <c r="I515" s="95"/>
      <c r="J515" s="95"/>
      <c r="K515" s="95" t="s">
        <v>1614</v>
      </c>
      <c r="L515" s="84" t="s">
        <v>1375</v>
      </c>
      <c r="M515" s="88" t="str">
        <f>VLOOKUP(L515,lookups!B:C,2,FALSE)</f>
        <v>Kirk</v>
      </c>
      <c r="N515" s="89" t="str">
        <f>VLOOKUP(K515,TeamLookup[],2,0)</f>
        <v>Cyber</v>
      </c>
      <c r="O515" s="84" t="e">
        <f>VLOOKUP(VALUE($S515),lookups!I:J,2,FALSE)</f>
        <v>#N/A</v>
      </c>
      <c r="P515" s="84" t="e">
        <f>VLOOKUP(VALUE($S515),lookups!F:G,2,FALSE)</f>
        <v>#N/A</v>
      </c>
      <c r="Q515" s="84" t="str">
        <f t="shared" si="32"/>
        <v/>
      </c>
      <c r="R515" s="84">
        <f t="shared" si="33"/>
        <v>245560</v>
      </c>
      <c r="S515" s="84">
        <f t="shared" si="34"/>
        <v>1012503</v>
      </c>
      <c r="T515" s="84">
        <f t="shared" si="35"/>
        <v>1012719</v>
      </c>
    </row>
    <row r="516" spans="1:20" ht="28.8" x14ac:dyDescent="0.3">
      <c r="B516" s="84">
        <v>1012778</v>
      </c>
      <c r="C516" s="85">
        <v>1012503</v>
      </c>
      <c r="D516" s="84" t="s">
        <v>6</v>
      </c>
      <c r="E516" s="84" t="s">
        <v>7</v>
      </c>
      <c r="F516" s="86" t="s">
        <v>1362</v>
      </c>
      <c r="G516" s="109" t="s">
        <v>442</v>
      </c>
      <c r="H516" s="87">
        <v>1</v>
      </c>
      <c r="I516" s="84" t="s">
        <v>48</v>
      </c>
      <c r="J516" s="84"/>
      <c r="K516" s="84" t="s">
        <v>1634</v>
      </c>
      <c r="L516" s="84" t="s">
        <v>1363</v>
      </c>
      <c r="M516" s="88" t="e">
        <f>VLOOKUP(L516,lookups!B:C,2,FALSE)</f>
        <v>#N/A</v>
      </c>
      <c r="N516" s="89" t="e">
        <f>VLOOKUP(K516,TeamLookup[],2,0)</f>
        <v>#N/A</v>
      </c>
      <c r="O516" s="84" t="e">
        <f>VLOOKUP(VALUE($S516),lookups!I:J,2,FALSE)</f>
        <v>#N/A</v>
      </c>
      <c r="P516" s="84" t="e">
        <f>VLOOKUP(VALUE($S516),lookups!F:G,2,FALSE)</f>
        <v>#N/A</v>
      </c>
      <c r="Q516" s="84" t="str">
        <f t="shared" si="32"/>
        <v/>
      </c>
      <c r="R516" s="84">
        <f t="shared" si="33"/>
        <v>245560</v>
      </c>
      <c r="S516" s="84">
        <f t="shared" si="34"/>
        <v>1012503</v>
      </c>
      <c r="T516" s="84">
        <f t="shared" si="35"/>
        <v>1012778</v>
      </c>
    </row>
    <row r="517" spans="1:20" ht="28.8" x14ac:dyDescent="0.3">
      <c r="B517" s="84">
        <v>1012766</v>
      </c>
      <c r="C517" s="85">
        <v>1012503</v>
      </c>
      <c r="D517" s="84" t="s">
        <v>6</v>
      </c>
      <c r="E517" s="84" t="s">
        <v>7</v>
      </c>
      <c r="F517" s="86" t="s">
        <v>1364</v>
      </c>
      <c r="G517" s="109" t="s">
        <v>442</v>
      </c>
      <c r="H517" s="87">
        <v>1</v>
      </c>
      <c r="I517" s="84"/>
      <c r="J517" s="84"/>
      <c r="K517" s="84" t="s">
        <v>1614</v>
      </c>
      <c r="L517" s="84" t="s">
        <v>1342</v>
      </c>
      <c r="M517" s="88" t="str">
        <f>VLOOKUP(L517,lookups!B:C,2,FALSE)</f>
        <v>John</v>
      </c>
      <c r="N517" s="89" t="str">
        <f>VLOOKUP(K517,TeamLookup[],2,0)</f>
        <v>Cyber</v>
      </c>
      <c r="O517" s="84" t="e">
        <f>VLOOKUP(VALUE($S517),lookups!I:J,2,FALSE)</f>
        <v>#N/A</v>
      </c>
      <c r="P517" s="84" t="e">
        <f>VLOOKUP(VALUE($S517),lookups!F:G,2,FALSE)</f>
        <v>#N/A</v>
      </c>
      <c r="Q517" s="84" t="str">
        <f t="shared" si="32"/>
        <v/>
      </c>
      <c r="R517" s="84">
        <f t="shared" si="33"/>
        <v>245560</v>
      </c>
      <c r="S517" s="84">
        <f t="shared" si="34"/>
        <v>1012503</v>
      </c>
      <c r="T517" s="84">
        <f t="shared" si="35"/>
        <v>1012766</v>
      </c>
    </row>
    <row r="518" spans="1:20" ht="28.8" x14ac:dyDescent="0.3">
      <c r="B518" s="84">
        <v>1012764</v>
      </c>
      <c r="C518" s="85">
        <v>1012503</v>
      </c>
      <c r="D518" s="84" t="s">
        <v>6</v>
      </c>
      <c r="E518" s="84" t="s">
        <v>7</v>
      </c>
      <c r="F518" s="86" t="s">
        <v>1439</v>
      </c>
      <c r="G518" s="109" t="s">
        <v>442</v>
      </c>
      <c r="H518" s="87">
        <v>1</v>
      </c>
      <c r="I518" s="84"/>
      <c r="J518" s="84"/>
      <c r="K518" s="84" t="s">
        <v>1614</v>
      </c>
      <c r="L518" s="84" t="s">
        <v>8</v>
      </c>
      <c r="M518" s="88" t="str">
        <f>VLOOKUP(L518,lookups!B:C,2,FALSE)</f>
        <v>TBD</v>
      </c>
      <c r="N518" s="89" t="str">
        <f>VLOOKUP(K518,TeamLookup[],2,0)</f>
        <v>Cyber</v>
      </c>
      <c r="O518" s="84" t="e">
        <f>VLOOKUP(VALUE($S518),lookups!I:J,2,FALSE)</f>
        <v>#N/A</v>
      </c>
      <c r="P518" s="84" t="e">
        <f>VLOOKUP(VALUE($S518),lookups!F:G,2,FALSE)</f>
        <v>#N/A</v>
      </c>
      <c r="Q518" s="84" t="str">
        <f t="shared" si="32"/>
        <v/>
      </c>
      <c r="R518" s="84">
        <f t="shared" si="33"/>
        <v>245560</v>
      </c>
      <c r="S518" s="84">
        <f t="shared" si="34"/>
        <v>1012503</v>
      </c>
      <c r="T518" s="84">
        <f t="shared" si="35"/>
        <v>1012764</v>
      </c>
    </row>
    <row r="519" spans="1:20" ht="28.8" x14ac:dyDescent="0.3">
      <c r="B519" s="84">
        <v>1012752</v>
      </c>
      <c r="C519" s="85">
        <v>1012503</v>
      </c>
      <c r="D519" s="84" t="s">
        <v>6</v>
      </c>
      <c r="E519" s="84" t="s">
        <v>7</v>
      </c>
      <c r="F519" s="86" t="s">
        <v>1365</v>
      </c>
      <c r="G519" s="109" t="s">
        <v>442</v>
      </c>
      <c r="H519" s="87">
        <v>2</v>
      </c>
      <c r="I519" s="89"/>
      <c r="J519" s="89"/>
      <c r="K519" s="89" t="s">
        <v>1617</v>
      </c>
      <c r="L519" s="84" t="s">
        <v>135</v>
      </c>
      <c r="M519" s="88" t="str">
        <f>VLOOKUP(L519,lookups!B:C,2,FALSE)</f>
        <v>Allen Y</v>
      </c>
      <c r="N519" s="89" t="str">
        <f>VLOOKUP(K519,TeamLookup[],2,0)</f>
        <v>SIC</v>
      </c>
      <c r="O519" s="84" t="e">
        <f>VLOOKUP(VALUE($S519),lookups!I:J,2,FALSE)</f>
        <v>#N/A</v>
      </c>
      <c r="P519" s="84" t="e">
        <f>VLOOKUP(VALUE($S519),lookups!F:G,2,FALSE)</f>
        <v>#N/A</v>
      </c>
      <c r="Q519" s="84" t="str">
        <f t="shared" si="32"/>
        <v/>
      </c>
      <c r="R519" s="84">
        <f t="shared" si="33"/>
        <v>245560</v>
      </c>
      <c r="S519" s="84">
        <f t="shared" si="34"/>
        <v>1012503</v>
      </c>
      <c r="T519" s="84">
        <f t="shared" si="35"/>
        <v>1012752</v>
      </c>
    </row>
    <row r="520" spans="1:20" ht="28.8" x14ac:dyDescent="0.3">
      <c r="B520" s="84">
        <v>1012744</v>
      </c>
      <c r="C520" s="85">
        <v>1012503</v>
      </c>
      <c r="D520" s="84" t="s">
        <v>6</v>
      </c>
      <c r="E520" s="84" t="s">
        <v>7</v>
      </c>
      <c r="F520" s="86" t="s">
        <v>1367</v>
      </c>
      <c r="G520" s="109" t="s">
        <v>442</v>
      </c>
      <c r="H520" s="87">
        <v>2</v>
      </c>
      <c r="I520" s="84"/>
      <c r="J520" s="84"/>
      <c r="K520" s="84" t="s">
        <v>1614</v>
      </c>
      <c r="L520" s="84" t="s">
        <v>1342</v>
      </c>
      <c r="M520" s="88" t="str">
        <f>VLOOKUP(L520,lookups!B:C,2,FALSE)</f>
        <v>John</v>
      </c>
      <c r="N520" s="89" t="str">
        <f>VLOOKUP(K520,TeamLookup[],2,0)</f>
        <v>Cyber</v>
      </c>
      <c r="O520" s="84" t="e">
        <f>VLOOKUP(VALUE($S520),lookups!I:J,2,FALSE)</f>
        <v>#N/A</v>
      </c>
      <c r="P520" s="84" t="e">
        <f>VLOOKUP(VALUE($S520),lookups!F:G,2,FALSE)</f>
        <v>#N/A</v>
      </c>
      <c r="Q520" s="84" t="str">
        <f t="shared" si="32"/>
        <v/>
      </c>
      <c r="R520" s="84">
        <f t="shared" si="33"/>
        <v>245560</v>
      </c>
      <c r="S520" s="84">
        <f t="shared" si="34"/>
        <v>1012503</v>
      </c>
      <c r="T520" s="84">
        <f t="shared" si="35"/>
        <v>1012744</v>
      </c>
    </row>
    <row r="521" spans="1:20" x14ac:dyDescent="0.3">
      <c r="B521" s="84">
        <v>1012739</v>
      </c>
      <c r="C521" s="85">
        <v>1012503</v>
      </c>
      <c r="D521" s="84" t="s">
        <v>6</v>
      </c>
      <c r="E521" s="84" t="s">
        <v>7</v>
      </c>
      <c r="F521" s="86" t="s">
        <v>1368</v>
      </c>
      <c r="G521" s="119" t="s">
        <v>442</v>
      </c>
      <c r="H521" s="87">
        <v>1</v>
      </c>
      <c r="I521" s="89"/>
      <c r="J521" s="89"/>
      <c r="K521" s="89" t="s">
        <v>1614</v>
      </c>
      <c r="L521" s="84" t="s">
        <v>8</v>
      </c>
      <c r="M521" s="88" t="str">
        <f>VLOOKUP(L521,lookups!B:C,2,FALSE)</f>
        <v>TBD</v>
      </c>
      <c r="N521" s="89" t="str">
        <f>VLOOKUP(K521,TeamLookup[],2,0)</f>
        <v>Cyber</v>
      </c>
      <c r="O521" s="84" t="e">
        <f>VLOOKUP(VALUE($S521),lookups!I:J,2,FALSE)</f>
        <v>#N/A</v>
      </c>
      <c r="P521" s="84" t="e">
        <f>VLOOKUP(VALUE($S521),lookups!F:G,2,FALSE)</f>
        <v>#N/A</v>
      </c>
      <c r="Q521" s="84" t="str">
        <f t="shared" si="32"/>
        <v/>
      </c>
      <c r="R521" s="84">
        <f t="shared" si="33"/>
        <v>245560</v>
      </c>
      <c r="S521" s="84">
        <f t="shared" si="34"/>
        <v>1012503</v>
      </c>
      <c r="T521" s="84">
        <f t="shared" si="35"/>
        <v>1012739</v>
      </c>
    </row>
    <row r="522" spans="1:20" x14ac:dyDescent="0.3">
      <c r="B522" s="84">
        <v>1012658</v>
      </c>
      <c r="C522" s="85">
        <v>1012503</v>
      </c>
      <c r="D522" s="84" t="s">
        <v>6</v>
      </c>
      <c r="E522" s="84" t="s">
        <v>7</v>
      </c>
      <c r="F522" s="86" t="s">
        <v>1370</v>
      </c>
      <c r="G522" s="109" t="s">
        <v>442</v>
      </c>
      <c r="H522" s="87">
        <v>1</v>
      </c>
      <c r="I522" s="89"/>
      <c r="J522" s="89"/>
      <c r="K522" s="89" t="s">
        <v>1614</v>
      </c>
      <c r="L522" s="84" t="s">
        <v>8</v>
      </c>
      <c r="M522" s="88" t="str">
        <f>VLOOKUP(L522,lookups!B:C,2,FALSE)</f>
        <v>TBD</v>
      </c>
      <c r="N522" s="89" t="str">
        <f>VLOOKUP(K522,TeamLookup[],2,0)</f>
        <v>Cyber</v>
      </c>
      <c r="O522" s="84" t="e">
        <f>VLOOKUP(VALUE($S522),lookups!I:J,2,FALSE)</f>
        <v>#N/A</v>
      </c>
      <c r="P522" s="84" t="e">
        <f>VLOOKUP(VALUE($S522),lookups!F:G,2,FALSE)</f>
        <v>#N/A</v>
      </c>
      <c r="Q522" s="84" t="str">
        <f t="shared" si="32"/>
        <v/>
      </c>
      <c r="R522" s="84">
        <f t="shared" si="33"/>
        <v>245560</v>
      </c>
      <c r="S522" s="84">
        <f t="shared" si="34"/>
        <v>1012503</v>
      </c>
      <c r="T522" s="84">
        <f t="shared" si="35"/>
        <v>1012658</v>
      </c>
    </row>
    <row r="523" spans="1:20" ht="21.75" customHeight="1" x14ac:dyDescent="0.3">
      <c r="B523" s="84">
        <v>1012655</v>
      </c>
      <c r="C523" s="85">
        <v>1012503</v>
      </c>
      <c r="D523" s="84" t="s">
        <v>6</v>
      </c>
      <c r="E523" s="84" t="s">
        <v>7</v>
      </c>
      <c r="F523" s="86" t="s">
        <v>1372</v>
      </c>
      <c r="G523" s="109" t="s">
        <v>442</v>
      </c>
      <c r="H523" s="87">
        <v>2</v>
      </c>
      <c r="I523" s="89"/>
      <c r="J523" s="89"/>
      <c r="K523" s="89" t="s">
        <v>1617</v>
      </c>
      <c r="L523" s="84" t="s">
        <v>124</v>
      </c>
      <c r="M523" s="88" t="str">
        <f>VLOOKUP(L523,lookups!B:C,2,FALSE)</f>
        <v>Chris T</v>
      </c>
      <c r="N523" s="89" t="str">
        <f>VLOOKUP(K523,TeamLookup[],2,0)</f>
        <v>SIC</v>
      </c>
      <c r="O523" s="84" t="e">
        <f>VLOOKUP(VALUE($S523),lookups!I:J,2,FALSE)</f>
        <v>#N/A</v>
      </c>
      <c r="P523" s="84" t="e">
        <f>VLOOKUP(VALUE($S523),lookups!F:G,2,FALSE)</f>
        <v>#N/A</v>
      </c>
      <c r="Q523" s="84" t="str">
        <f t="shared" si="32"/>
        <v/>
      </c>
      <c r="R523" s="84">
        <f t="shared" si="33"/>
        <v>245560</v>
      </c>
      <c r="S523" s="84">
        <f t="shared" si="34"/>
        <v>1012503</v>
      </c>
      <c r="T523" s="84">
        <f t="shared" si="35"/>
        <v>1012655</v>
      </c>
    </row>
    <row r="524" spans="1:20" ht="21" customHeight="1" x14ac:dyDescent="0.3">
      <c r="B524" s="84">
        <v>1012654</v>
      </c>
      <c r="C524" s="85">
        <v>1012503</v>
      </c>
      <c r="D524" s="84" t="s">
        <v>6</v>
      </c>
      <c r="E524" s="84" t="s">
        <v>7</v>
      </c>
      <c r="F524" s="86" t="s">
        <v>1373</v>
      </c>
      <c r="G524" s="109" t="s">
        <v>442</v>
      </c>
      <c r="H524" s="87">
        <v>2</v>
      </c>
      <c r="I524" s="84"/>
      <c r="J524" s="84"/>
      <c r="K524" s="84" t="s">
        <v>1617</v>
      </c>
      <c r="L524" s="84" t="s">
        <v>1374</v>
      </c>
      <c r="M524" s="88" t="e">
        <f>VLOOKUP(L524,lookups!B:C,2,FALSE)</f>
        <v>#N/A</v>
      </c>
      <c r="N524" s="89" t="str">
        <f>VLOOKUP(K524,TeamLookup[],2,0)</f>
        <v>SIC</v>
      </c>
      <c r="O524" s="84" t="e">
        <f>VLOOKUP(VALUE($S524),lookups!I:J,2,FALSE)</f>
        <v>#N/A</v>
      </c>
      <c r="P524" s="84" t="e">
        <f>VLOOKUP(VALUE($S524),lookups!F:G,2,FALSE)</f>
        <v>#N/A</v>
      </c>
      <c r="Q524" s="84" t="str">
        <f t="shared" si="32"/>
        <v/>
      </c>
      <c r="R524" s="84">
        <f t="shared" si="33"/>
        <v>245560</v>
      </c>
      <c r="S524" s="84">
        <f t="shared" si="34"/>
        <v>1012503</v>
      </c>
      <c r="T524" s="84">
        <f t="shared" si="35"/>
        <v>1012654</v>
      </c>
    </row>
    <row r="525" spans="1:20" ht="28.8" x14ac:dyDescent="0.3">
      <c r="B525" s="84">
        <v>1012650</v>
      </c>
      <c r="C525" s="85">
        <v>1012503</v>
      </c>
      <c r="D525" s="84" t="s">
        <v>6</v>
      </c>
      <c r="E525" s="84" t="s">
        <v>7</v>
      </c>
      <c r="F525" s="86" t="s">
        <v>1353</v>
      </c>
      <c r="G525" s="109" t="s">
        <v>442</v>
      </c>
      <c r="H525" s="87">
        <v>2</v>
      </c>
      <c r="I525" s="89"/>
      <c r="J525" s="89"/>
      <c r="K525" s="89" t="s">
        <v>1614</v>
      </c>
      <c r="L525" s="84" t="s">
        <v>1375</v>
      </c>
      <c r="M525" s="88" t="str">
        <f>VLOOKUP(L525,lookups!B:C,2,FALSE)</f>
        <v>Kirk</v>
      </c>
      <c r="N525" s="89" t="str">
        <f>VLOOKUP(K525,TeamLookup[],2,0)</f>
        <v>Cyber</v>
      </c>
      <c r="O525" s="84" t="e">
        <f>VLOOKUP(VALUE($S525),lookups!I:J,2,FALSE)</f>
        <v>#N/A</v>
      </c>
      <c r="P525" s="84" t="e">
        <f>VLOOKUP(VALUE($S525),lookups!F:G,2,FALSE)</f>
        <v>#N/A</v>
      </c>
      <c r="Q525" s="84" t="str">
        <f t="shared" si="32"/>
        <v/>
      </c>
      <c r="R525" s="84">
        <f t="shared" si="33"/>
        <v>245560</v>
      </c>
      <c r="S525" s="84">
        <f t="shared" si="34"/>
        <v>1012503</v>
      </c>
      <c r="T525" s="84">
        <f t="shared" si="35"/>
        <v>1012650</v>
      </c>
    </row>
    <row r="526" spans="1:20" x14ac:dyDescent="0.3">
      <c r="B526" s="84">
        <v>1012613</v>
      </c>
      <c r="C526" s="85">
        <v>1012503</v>
      </c>
      <c r="D526" s="84" t="s">
        <v>6</v>
      </c>
      <c r="E526" s="84" t="s">
        <v>7</v>
      </c>
      <c r="F526" s="86" t="s">
        <v>1377</v>
      </c>
      <c r="G526" s="109" t="s">
        <v>442</v>
      </c>
      <c r="H526" s="87">
        <v>1</v>
      </c>
      <c r="I526" s="89"/>
      <c r="J526" s="89"/>
      <c r="K526" s="89" t="s">
        <v>1614</v>
      </c>
      <c r="L526" s="84" t="s">
        <v>1375</v>
      </c>
      <c r="M526" s="88" t="str">
        <f>VLOOKUP(L526,lookups!B:C,2,FALSE)</f>
        <v>Kirk</v>
      </c>
      <c r="N526" s="89" t="str">
        <f>VLOOKUP(K526,TeamLookup[],2,0)</f>
        <v>Cyber</v>
      </c>
      <c r="O526" s="84" t="e">
        <f>VLOOKUP(VALUE($S526),lookups!I:J,2,FALSE)</f>
        <v>#N/A</v>
      </c>
      <c r="P526" s="84" t="e">
        <f>VLOOKUP(VALUE($S526),lookups!F:G,2,FALSE)</f>
        <v>#N/A</v>
      </c>
      <c r="Q526" s="84" t="str">
        <f t="shared" si="32"/>
        <v/>
      </c>
      <c r="R526" s="84">
        <f t="shared" si="33"/>
        <v>245560</v>
      </c>
      <c r="S526" s="84">
        <f t="shared" si="34"/>
        <v>1012503</v>
      </c>
      <c r="T526" s="84">
        <f t="shared" si="35"/>
        <v>1012613</v>
      </c>
    </row>
    <row r="527" spans="1:20" x14ac:dyDescent="0.3">
      <c r="B527" s="84">
        <v>1012607</v>
      </c>
      <c r="C527" s="85">
        <v>1012503</v>
      </c>
      <c r="D527" s="84" t="s">
        <v>6</v>
      </c>
      <c r="E527" s="84" t="s">
        <v>7</v>
      </c>
      <c r="F527" s="86" t="s">
        <v>1422</v>
      </c>
      <c r="G527" s="109" t="s">
        <v>442</v>
      </c>
      <c r="H527" s="87">
        <v>0</v>
      </c>
      <c r="I527" s="89"/>
      <c r="J527" s="89"/>
      <c r="K527" s="89" t="s">
        <v>1614</v>
      </c>
      <c r="L527" s="84" t="s">
        <v>8</v>
      </c>
      <c r="M527" s="88" t="str">
        <f>VLOOKUP(L527,lookups!B:C,2,FALSE)</f>
        <v>TBD</v>
      </c>
      <c r="N527" s="89" t="str">
        <f>VLOOKUP(K527,TeamLookup[],2,0)</f>
        <v>Cyber</v>
      </c>
      <c r="O527" s="84" t="e">
        <f>VLOOKUP(VALUE($S527),lookups!I:J,2,FALSE)</f>
        <v>#N/A</v>
      </c>
      <c r="P527" s="84" t="e">
        <f>VLOOKUP(VALUE($S527),lookups!F:G,2,FALSE)</f>
        <v>#N/A</v>
      </c>
      <c r="Q527" s="84" t="str">
        <f t="shared" si="32"/>
        <v/>
      </c>
      <c r="R527" s="84">
        <f t="shared" si="33"/>
        <v>245560</v>
      </c>
      <c r="S527" s="84">
        <f t="shared" si="34"/>
        <v>1012503</v>
      </c>
      <c r="T527" s="84">
        <f t="shared" si="35"/>
        <v>1012607</v>
      </c>
    </row>
    <row r="528" spans="1:20" ht="28.8" x14ac:dyDescent="0.3">
      <c r="B528" s="84">
        <v>1012584</v>
      </c>
      <c r="C528" s="85">
        <v>1012503</v>
      </c>
      <c r="D528" s="84" t="s">
        <v>6</v>
      </c>
      <c r="E528" s="84" t="s">
        <v>7</v>
      </c>
      <c r="F528" s="86" t="s">
        <v>1378</v>
      </c>
      <c r="G528" s="109" t="s">
        <v>442</v>
      </c>
      <c r="H528" s="87">
        <v>2</v>
      </c>
      <c r="I528" s="84"/>
      <c r="J528" s="84"/>
      <c r="K528" s="84" t="s">
        <v>1614</v>
      </c>
      <c r="L528" s="84" t="s">
        <v>1375</v>
      </c>
      <c r="M528" s="88" t="str">
        <f>VLOOKUP(L528,lookups!B:C,2,FALSE)</f>
        <v>Kirk</v>
      </c>
      <c r="N528" s="89" t="str">
        <f>VLOOKUP(K528,TeamLookup[],2,0)</f>
        <v>Cyber</v>
      </c>
      <c r="O528" s="84" t="e">
        <f>VLOOKUP(VALUE($S528),lookups!I:J,2,FALSE)</f>
        <v>#N/A</v>
      </c>
      <c r="P528" s="84" t="e">
        <f>VLOOKUP(VALUE($S528),lookups!F:G,2,FALSE)</f>
        <v>#N/A</v>
      </c>
      <c r="Q528" s="84" t="str">
        <f t="shared" si="32"/>
        <v/>
      </c>
      <c r="R528" s="84">
        <f t="shared" si="33"/>
        <v>245560</v>
      </c>
      <c r="S528" s="84">
        <f t="shared" si="34"/>
        <v>1012503</v>
      </c>
      <c r="T528" s="84">
        <f t="shared" si="35"/>
        <v>1012584</v>
      </c>
    </row>
    <row r="529" spans="1:20" ht="28.8" x14ac:dyDescent="0.3">
      <c r="B529" s="84">
        <v>1012508</v>
      </c>
      <c r="C529" s="85">
        <v>1012503</v>
      </c>
      <c r="D529" s="84" t="s">
        <v>6</v>
      </c>
      <c r="E529" s="84" t="s">
        <v>7</v>
      </c>
      <c r="F529" s="86" t="s">
        <v>1379</v>
      </c>
      <c r="G529" s="109" t="s">
        <v>442</v>
      </c>
      <c r="H529" s="87">
        <v>2</v>
      </c>
      <c r="I529" s="84"/>
      <c r="J529" s="84"/>
      <c r="K529" s="84" t="s">
        <v>1614</v>
      </c>
      <c r="L529" s="84" t="s">
        <v>1375</v>
      </c>
      <c r="M529" s="88" t="str">
        <f>VLOOKUP(L529,lookups!B:C,2,FALSE)</f>
        <v>Kirk</v>
      </c>
      <c r="N529" s="89" t="str">
        <f>VLOOKUP(K529,TeamLookup[],2,0)</f>
        <v>Cyber</v>
      </c>
      <c r="O529" s="84" t="e">
        <f>VLOOKUP(VALUE($S529),lookups!I:J,2,FALSE)</f>
        <v>#N/A</v>
      </c>
      <c r="P529" s="84" t="e">
        <f>VLOOKUP(VALUE($S529),lookups!F:G,2,FALSE)</f>
        <v>#N/A</v>
      </c>
      <c r="Q529" s="84" t="str">
        <f t="shared" si="32"/>
        <v/>
      </c>
      <c r="R529" s="84">
        <f t="shared" si="33"/>
        <v>245560</v>
      </c>
      <c r="S529" s="84">
        <f t="shared" si="34"/>
        <v>1012503</v>
      </c>
      <c r="T529" s="84">
        <f t="shared" si="35"/>
        <v>1012508</v>
      </c>
    </row>
    <row r="530" spans="1:20" ht="28.8" x14ac:dyDescent="0.3">
      <c r="B530" s="84">
        <v>1012505</v>
      </c>
      <c r="C530" s="85">
        <v>1012503</v>
      </c>
      <c r="D530" s="84" t="s">
        <v>6</v>
      </c>
      <c r="E530" s="84" t="s">
        <v>105</v>
      </c>
      <c r="F530" s="86" t="s">
        <v>1381</v>
      </c>
      <c r="G530" s="109" t="s">
        <v>442</v>
      </c>
      <c r="H530" s="87">
        <v>2</v>
      </c>
      <c r="I530" s="84"/>
      <c r="J530" s="84"/>
      <c r="K530" s="84" t="s">
        <v>1614</v>
      </c>
      <c r="L530" s="84" t="s">
        <v>1375</v>
      </c>
      <c r="M530" s="88" t="str">
        <f>VLOOKUP(L530,lookups!B:C,2,FALSE)</f>
        <v>Kirk</v>
      </c>
      <c r="N530" s="89" t="str">
        <f>VLOOKUP(K530,TeamLookup[],2,0)</f>
        <v>Cyber</v>
      </c>
      <c r="O530" s="84" t="e">
        <f>VLOOKUP(VALUE($S530),lookups!I:J,2,FALSE)</f>
        <v>#N/A</v>
      </c>
      <c r="P530" s="84" t="e">
        <f>VLOOKUP(VALUE($S530),lookups!F:G,2,FALSE)</f>
        <v>#N/A</v>
      </c>
      <c r="Q530" s="84" t="str">
        <f t="shared" si="32"/>
        <v/>
      </c>
      <c r="R530" s="84">
        <f t="shared" si="33"/>
        <v>245560</v>
      </c>
      <c r="S530" s="84">
        <f t="shared" si="34"/>
        <v>1012503</v>
      </c>
      <c r="T530" s="84">
        <f t="shared" si="35"/>
        <v>1012505</v>
      </c>
    </row>
    <row r="531" spans="1:20" x14ac:dyDescent="0.3">
      <c r="B531" s="84">
        <v>1012503</v>
      </c>
      <c r="C531" s="85">
        <v>245560</v>
      </c>
      <c r="D531" s="84" t="s">
        <v>24</v>
      </c>
      <c r="E531" s="84" t="s">
        <v>105</v>
      </c>
      <c r="F531" s="86" t="s">
        <v>1386</v>
      </c>
      <c r="G531" s="119" t="s">
        <v>442</v>
      </c>
      <c r="H531" s="87"/>
      <c r="I531" s="89" t="s">
        <v>48</v>
      </c>
      <c r="J531" s="89"/>
      <c r="K531" s="89" t="s">
        <v>1614</v>
      </c>
      <c r="L531" s="84" t="s">
        <v>214</v>
      </c>
      <c r="M531" s="88" t="str">
        <f>VLOOKUP(L531,lookups!B:C,2,FALSE)</f>
        <v>Dave G</v>
      </c>
      <c r="N531" s="89" t="str">
        <f>VLOOKUP(K531,TeamLookup[],2,0)</f>
        <v>Cyber</v>
      </c>
      <c r="O531" s="84" t="e">
        <f>VLOOKUP(VALUE($S531),lookups!I:J,2,FALSE)</f>
        <v>#N/A</v>
      </c>
      <c r="P531" s="84" t="e">
        <f>VLOOKUP(VALUE($S531),lookups!F:G,2,FALSE)</f>
        <v>#N/A</v>
      </c>
      <c r="Q531" s="84" t="str">
        <f t="shared" si="32"/>
        <v>ParentNotInCyberQuery</v>
      </c>
      <c r="R531" s="84">
        <f t="shared" si="33"/>
        <v>245560</v>
      </c>
      <c r="S531" s="84">
        <f t="shared" si="34"/>
        <v>1012503</v>
      </c>
      <c r="T531" s="84">
        <f t="shared" si="35"/>
        <v>0</v>
      </c>
    </row>
    <row r="532" spans="1:20" ht="29.4" customHeight="1" x14ac:dyDescent="0.3">
      <c r="B532" s="84">
        <v>1024541</v>
      </c>
      <c r="C532" s="85">
        <v>1014737</v>
      </c>
      <c r="D532" s="84" t="s">
        <v>6</v>
      </c>
      <c r="E532" s="84" t="s">
        <v>7</v>
      </c>
      <c r="F532" s="86" t="s">
        <v>1676</v>
      </c>
      <c r="G532" s="109" t="s">
        <v>1402</v>
      </c>
      <c r="H532" s="87">
        <v>2</v>
      </c>
      <c r="I532" s="89"/>
      <c r="J532" s="89"/>
      <c r="K532" s="89" t="s">
        <v>1614</v>
      </c>
      <c r="L532" s="84" t="s">
        <v>8</v>
      </c>
      <c r="M532" s="88" t="str">
        <f>VLOOKUP(L532,lookups!B:C,2,FALSE)</f>
        <v>TBD</v>
      </c>
      <c r="N532" s="89" t="str">
        <f>VLOOKUP(K532,TeamLookup[],2,0)</f>
        <v>Cyber</v>
      </c>
      <c r="O532" s="84" t="e">
        <f>VLOOKUP(VALUE($S532),lookups!I:J,2,FALSE)</f>
        <v>#N/A</v>
      </c>
      <c r="P532" s="84" t="e">
        <f>VLOOKUP(VALUE($S532),lookups!F:G,2,FALSE)</f>
        <v>#N/A</v>
      </c>
      <c r="Q532" s="84" t="str">
        <f t="shared" si="32"/>
        <v/>
      </c>
      <c r="R532" s="84">
        <f t="shared" si="33"/>
        <v>245560</v>
      </c>
      <c r="S532" s="84">
        <f t="shared" si="34"/>
        <v>1014737</v>
      </c>
      <c r="T532" s="84">
        <f t="shared" si="35"/>
        <v>1024541</v>
      </c>
    </row>
    <row r="533" spans="1:20" x14ac:dyDescent="0.3">
      <c r="B533" s="84">
        <v>1020041</v>
      </c>
      <c r="C533" s="85">
        <v>1014737</v>
      </c>
      <c r="D533" s="84" t="s">
        <v>6</v>
      </c>
      <c r="E533" s="84" t="s">
        <v>7</v>
      </c>
      <c r="F533" s="86" t="s">
        <v>1546</v>
      </c>
      <c r="G533" s="109" t="s">
        <v>1402</v>
      </c>
      <c r="H533" s="87">
        <v>1</v>
      </c>
      <c r="I533" s="89"/>
      <c r="J533" s="89"/>
      <c r="K533" s="89" t="s">
        <v>1614</v>
      </c>
      <c r="L533" s="84" t="s">
        <v>8</v>
      </c>
      <c r="M533" s="88" t="str">
        <f>VLOOKUP(L533,lookups!B:C,2,FALSE)</f>
        <v>TBD</v>
      </c>
      <c r="N533" s="89" t="str">
        <f>VLOOKUP(K533,TeamLookup[],2,0)</f>
        <v>Cyber</v>
      </c>
      <c r="O533" s="84" t="e">
        <f>VLOOKUP(VALUE($S533),lookups!I:J,2,FALSE)</f>
        <v>#N/A</v>
      </c>
      <c r="P533" s="84" t="e">
        <f>VLOOKUP(VALUE($S533),lookups!F:G,2,FALSE)</f>
        <v>#N/A</v>
      </c>
      <c r="Q533" s="84" t="str">
        <f t="shared" si="32"/>
        <v/>
      </c>
      <c r="R533" s="84">
        <f t="shared" si="33"/>
        <v>245560</v>
      </c>
      <c r="S533" s="84">
        <f t="shared" si="34"/>
        <v>1014737</v>
      </c>
      <c r="T533" s="84">
        <f t="shared" si="35"/>
        <v>1020041</v>
      </c>
    </row>
    <row r="534" spans="1:20" x14ac:dyDescent="0.3">
      <c r="A534" s="96"/>
      <c r="B534" s="84">
        <v>1020035</v>
      </c>
      <c r="C534" s="85">
        <v>1014737</v>
      </c>
      <c r="D534" s="84" t="s">
        <v>6</v>
      </c>
      <c r="E534" s="84" t="s">
        <v>7</v>
      </c>
      <c r="F534" s="86" t="s">
        <v>1551</v>
      </c>
      <c r="G534" s="109" t="s">
        <v>1402</v>
      </c>
      <c r="H534" s="87">
        <v>2</v>
      </c>
      <c r="I534" s="89"/>
      <c r="J534" s="89"/>
      <c r="K534" s="89" t="s">
        <v>1614</v>
      </c>
      <c r="L534" s="84" t="s">
        <v>11</v>
      </c>
      <c r="M534" s="88" t="str">
        <f>VLOOKUP(L534,lookups!B:C,2,FALSE)</f>
        <v>Randy</v>
      </c>
      <c r="N534" s="89" t="str">
        <f>VLOOKUP(K534,TeamLookup[],2,0)</f>
        <v>Cyber</v>
      </c>
      <c r="O534" s="84" t="e">
        <f>VLOOKUP(VALUE($S534),lookups!I:J,2,FALSE)</f>
        <v>#N/A</v>
      </c>
      <c r="P534" s="84" t="e">
        <f>VLOOKUP(VALUE($S534),lookups!F:G,2,FALSE)</f>
        <v>#N/A</v>
      </c>
      <c r="Q534" s="84" t="str">
        <f t="shared" si="32"/>
        <v/>
      </c>
      <c r="R534" s="84">
        <f t="shared" si="33"/>
        <v>245560</v>
      </c>
      <c r="S534" s="84">
        <f t="shared" si="34"/>
        <v>1014737</v>
      </c>
      <c r="T534" s="84">
        <f t="shared" si="35"/>
        <v>1020035</v>
      </c>
    </row>
    <row r="535" spans="1:20" x14ac:dyDescent="0.3">
      <c r="B535" s="84">
        <v>1014741</v>
      </c>
      <c r="C535" s="85">
        <v>1014737</v>
      </c>
      <c r="D535" s="84" t="s">
        <v>6</v>
      </c>
      <c r="E535" s="84" t="s">
        <v>7</v>
      </c>
      <c r="F535" s="86" t="s">
        <v>1401</v>
      </c>
      <c r="G535" s="109" t="s">
        <v>1402</v>
      </c>
      <c r="H535" s="87">
        <v>2</v>
      </c>
      <c r="I535" s="89"/>
      <c r="J535" s="89"/>
      <c r="K535" s="89" t="s">
        <v>1614</v>
      </c>
      <c r="L535" s="84" t="s">
        <v>8</v>
      </c>
      <c r="M535" s="88" t="str">
        <f>VLOOKUP(L535,lookups!B:C,2,FALSE)</f>
        <v>TBD</v>
      </c>
      <c r="N535" s="89" t="str">
        <f>VLOOKUP(K535,TeamLookup[],2,0)</f>
        <v>Cyber</v>
      </c>
      <c r="O535" s="84" t="e">
        <f>VLOOKUP(VALUE($S535),lookups!I:J,2,FALSE)</f>
        <v>#N/A</v>
      </c>
      <c r="P535" s="84" t="e">
        <f>VLOOKUP(VALUE($S535),lookups!F:G,2,FALSE)</f>
        <v>#N/A</v>
      </c>
      <c r="Q535" s="84" t="str">
        <f t="shared" si="32"/>
        <v/>
      </c>
      <c r="R535" s="84">
        <f t="shared" si="33"/>
        <v>245560</v>
      </c>
      <c r="S535" s="84">
        <f t="shared" si="34"/>
        <v>1014737</v>
      </c>
      <c r="T535" s="84">
        <f t="shared" si="35"/>
        <v>1014741</v>
      </c>
    </row>
    <row r="536" spans="1:20" x14ac:dyDescent="0.3">
      <c r="B536" s="84">
        <v>1024542</v>
      </c>
      <c r="C536" s="85">
        <v>1014737</v>
      </c>
      <c r="D536" s="84" t="s">
        <v>6</v>
      </c>
      <c r="E536" s="84" t="s">
        <v>7</v>
      </c>
      <c r="F536" s="86" t="s">
        <v>1675</v>
      </c>
      <c r="G536" s="109" t="s">
        <v>1447</v>
      </c>
      <c r="H536" s="87">
        <v>2</v>
      </c>
      <c r="I536" s="89"/>
      <c r="J536" s="89"/>
      <c r="K536" s="89" t="s">
        <v>1614</v>
      </c>
      <c r="L536" s="84" t="s">
        <v>8</v>
      </c>
      <c r="M536" s="88" t="str">
        <f>VLOOKUP(L536,lookups!B:C,2,FALSE)</f>
        <v>TBD</v>
      </c>
      <c r="N536" s="89" t="str">
        <f>VLOOKUP(K536,TeamLookup[],2,0)</f>
        <v>Cyber</v>
      </c>
      <c r="O536" s="84" t="e">
        <f>VLOOKUP(VALUE($S536),lookups!I:J,2,FALSE)</f>
        <v>#N/A</v>
      </c>
      <c r="P536" s="84" t="e">
        <f>VLOOKUP(VALUE($S536),lookups!F:G,2,FALSE)</f>
        <v>#N/A</v>
      </c>
      <c r="Q536" s="84" t="str">
        <f t="shared" si="32"/>
        <v/>
      </c>
      <c r="R536" s="84">
        <f t="shared" si="33"/>
        <v>245560</v>
      </c>
      <c r="S536" s="84">
        <f t="shared" si="34"/>
        <v>1014737</v>
      </c>
      <c r="T536" s="84">
        <f t="shared" si="35"/>
        <v>1024542</v>
      </c>
    </row>
    <row r="537" spans="1:20" x14ac:dyDescent="0.3">
      <c r="B537" s="84">
        <v>1020044</v>
      </c>
      <c r="C537" s="85">
        <v>1014737</v>
      </c>
      <c r="D537" s="84" t="s">
        <v>6</v>
      </c>
      <c r="E537" s="84" t="s">
        <v>7</v>
      </c>
      <c r="F537" s="86" t="s">
        <v>1545</v>
      </c>
      <c r="G537" s="109" t="s">
        <v>1447</v>
      </c>
      <c r="H537" s="87">
        <v>1</v>
      </c>
      <c r="I537" s="89"/>
      <c r="J537" s="89"/>
      <c r="K537" s="89" t="s">
        <v>1614</v>
      </c>
      <c r="L537" s="84" t="s">
        <v>8</v>
      </c>
      <c r="M537" s="88" t="str">
        <f>VLOOKUP(L537,lookups!B:C,2,FALSE)</f>
        <v>TBD</v>
      </c>
      <c r="N537" s="89" t="str">
        <f>VLOOKUP(K537,TeamLookup[],2,0)</f>
        <v>Cyber</v>
      </c>
      <c r="O537" s="84" t="e">
        <f>VLOOKUP(VALUE($S537),lookups!I:J,2,FALSE)</f>
        <v>#N/A</v>
      </c>
      <c r="P537" s="84" t="e">
        <f>VLOOKUP(VALUE($S537),lookups!F:G,2,FALSE)</f>
        <v>#N/A</v>
      </c>
      <c r="Q537" s="84" t="str">
        <f t="shared" si="32"/>
        <v/>
      </c>
      <c r="R537" s="84">
        <f t="shared" si="33"/>
        <v>245560</v>
      </c>
      <c r="S537" s="84">
        <f t="shared" si="34"/>
        <v>1014737</v>
      </c>
      <c r="T537" s="84">
        <f t="shared" si="35"/>
        <v>1020044</v>
      </c>
    </row>
    <row r="538" spans="1:20" x14ac:dyDescent="0.3">
      <c r="B538" s="84">
        <v>1020037</v>
      </c>
      <c r="C538" s="85">
        <v>1014737</v>
      </c>
      <c r="D538" s="84" t="s">
        <v>6</v>
      </c>
      <c r="E538" s="84" t="s">
        <v>7</v>
      </c>
      <c r="F538" s="86" t="s">
        <v>1550</v>
      </c>
      <c r="G538" s="109" t="s">
        <v>1447</v>
      </c>
      <c r="H538" s="87">
        <v>2</v>
      </c>
      <c r="I538" s="89"/>
      <c r="J538" s="89"/>
      <c r="K538" s="89" t="s">
        <v>1614</v>
      </c>
      <c r="L538" s="84" t="s">
        <v>11</v>
      </c>
      <c r="M538" s="88" t="str">
        <f>VLOOKUP(L538,lookups!B:C,2,FALSE)</f>
        <v>Randy</v>
      </c>
      <c r="N538" s="89" t="str">
        <f>VLOOKUP(K538,TeamLookup[],2,0)</f>
        <v>Cyber</v>
      </c>
      <c r="O538" s="84" t="e">
        <f>VLOOKUP(VALUE($S538),lookups!I:J,2,FALSE)</f>
        <v>#N/A</v>
      </c>
      <c r="P538" s="84" t="e">
        <f>VLOOKUP(VALUE($S538),lookups!F:G,2,FALSE)</f>
        <v>#N/A</v>
      </c>
      <c r="Q538" s="84" t="str">
        <f t="shared" si="32"/>
        <v/>
      </c>
      <c r="R538" s="84">
        <f t="shared" si="33"/>
        <v>245560</v>
      </c>
      <c r="S538" s="84">
        <f t="shared" si="34"/>
        <v>1014737</v>
      </c>
      <c r="T538" s="84">
        <f t="shared" si="35"/>
        <v>1020037</v>
      </c>
    </row>
    <row r="539" spans="1:20" x14ac:dyDescent="0.3">
      <c r="B539" s="84">
        <v>1024543</v>
      </c>
      <c r="C539" s="85">
        <v>1014737</v>
      </c>
      <c r="D539" s="84" t="s">
        <v>6</v>
      </c>
      <c r="E539" s="84" t="s">
        <v>7</v>
      </c>
      <c r="F539" s="86" t="s">
        <v>1674</v>
      </c>
      <c r="G539" s="109" t="s">
        <v>1411</v>
      </c>
      <c r="H539" s="87">
        <v>2</v>
      </c>
      <c r="I539" s="84"/>
      <c r="J539" s="84"/>
      <c r="K539" s="84" t="s">
        <v>1614</v>
      </c>
      <c r="L539" s="84" t="s">
        <v>8</v>
      </c>
      <c r="M539" s="88" t="str">
        <f>VLOOKUP(L539,lookups!B:C,2,FALSE)</f>
        <v>TBD</v>
      </c>
      <c r="N539" s="89" t="str">
        <f>VLOOKUP(K539,TeamLookup[],2,0)</f>
        <v>Cyber</v>
      </c>
      <c r="O539" s="84" t="e">
        <f>VLOOKUP(VALUE($S539),lookups!I:J,2,FALSE)</f>
        <v>#N/A</v>
      </c>
      <c r="P539" s="84" t="e">
        <f>VLOOKUP(VALUE($S539),lookups!F:G,2,FALSE)</f>
        <v>#N/A</v>
      </c>
      <c r="Q539" s="84" t="str">
        <f t="shared" si="32"/>
        <v/>
      </c>
      <c r="R539" s="84">
        <f t="shared" si="33"/>
        <v>245560</v>
      </c>
      <c r="S539" s="84">
        <f t="shared" si="34"/>
        <v>1014737</v>
      </c>
      <c r="T539" s="84">
        <f t="shared" si="35"/>
        <v>1024543</v>
      </c>
    </row>
    <row r="540" spans="1:20" x14ac:dyDescent="0.3">
      <c r="B540" s="84">
        <v>1020045</v>
      </c>
      <c r="C540" s="85">
        <v>1014737</v>
      </c>
      <c r="D540" s="84" t="s">
        <v>6</v>
      </c>
      <c r="E540" s="84" t="s">
        <v>7</v>
      </c>
      <c r="F540" s="86" t="s">
        <v>1544</v>
      </c>
      <c r="G540" s="109" t="s">
        <v>1411</v>
      </c>
      <c r="H540" s="87">
        <v>1</v>
      </c>
      <c r="I540" s="84"/>
      <c r="J540" s="84"/>
      <c r="K540" s="84" t="s">
        <v>1614</v>
      </c>
      <c r="L540" s="84" t="s">
        <v>8</v>
      </c>
      <c r="M540" s="88" t="str">
        <f>VLOOKUP(L540,lookups!B:C,2,FALSE)</f>
        <v>TBD</v>
      </c>
      <c r="N540" s="89" t="str">
        <f>VLOOKUP(K540,TeamLookup[],2,0)</f>
        <v>Cyber</v>
      </c>
      <c r="O540" s="84" t="e">
        <f>VLOOKUP(VALUE($S540),lookups!I:J,2,FALSE)</f>
        <v>#N/A</v>
      </c>
      <c r="P540" s="84" t="e">
        <f>VLOOKUP(VALUE($S540),lookups!F:G,2,FALSE)</f>
        <v>#N/A</v>
      </c>
      <c r="Q540" s="84" t="str">
        <f t="shared" si="32"/>
        <v/>
      </c>
      <c r="R540" s="84">
        <f t="shared" si="33"/>
        <v>245560</v>
      </c>
      <c r="S540" s="84">
        <f t="shared" si="34"/>
        <v>1014737</v>
      </c>
      <c r="T540" s="84">
        <f t="shared" si="35"/>
        <v>1020045</v>
      </c>
    </row>
    <row r="541" spans="1:20" x14ac:dyDescent="0.3">
      <c r="A541" s="96"/>
      <c r="B541" s="84">
        <v>1020038</v>
      </c>
      <c r="C541" s="85">
        <v>1014737</v>
      </c>
      <c r="D541" s="84" t="s">
        <v>6</v>
      </c>
      <c r="E541" s="84" t="s">
        <v>7</v>
      </c>
      <c r="F541" s="86" t="s">
        <v>1549</v>
      </c>
      <c r="G541" s="109" t="s">
        <v>1411</v>
      </c>
      <c r="H541" s="87">
        <v>2</v>
      </c>
      <c r="I541" s="89"/>
      <c r="J541" s="89"/>
      <c r="K541" s="89" t="s">
        <v>1614</v>
      </c>
      <c r="L541" s="84" t="s">
        <v>11</v>
      </c>
      <c r="M541" s="88" t="str">
        <f>VLOOKUP(L541,lookups!B:C,2,FALSE)</f>
        <v>Randy</v>
      </c>
      <c r="N541" s="89" t="str">
        <f>VLOOKUP(K541,TeamLookup[],2,0)</f>
        <v>Cyber</v>
      </c>
      <c r="O541" s="84" t="e">
        <f>VLOOKUP(VALUE($S541),lookups!I:J,2,FALSE)</f>
        <v>#N/A</v>
      </c>
      <c r="P541" s="84" t="e">
        <f>VLOOKUP(VALUE($S541),lookups!F:G,2,FALSE)</f>
        <v>#N/A</v>
      </c>
      <c r="Q541" s="84" t="str">
        <f t="shared" si="32"/>
        <v/>
      </c>
      <c r="R541" s="84">
        <f t="shared" si="33"/>
        <v>245560</v>
      </c>
      <c r="S541" s="84">
        <f t="shared" si="34"/>
        <v>1014737</v>
      </c>
      <c r="T541" s="84">
        <f t="shared" si="35"/>
        <v>1020038</v>
      </c>
    </row>
    <row r="542" spans="1:20" x14ac:dyDescent="0.3">
      <c r="B542" s="84">
        <v>1014589</v>
      </c>
      <c r="C542" s="85">
        <v>1014737</v>
      </c>
      <c r="D542" s="84" t="s">
        <v>6</v>
      </c>
      <c r="E542" s="84" t="s">
        <v>7</v>
      </c>
      <c r="F542" s="86" t="s">
        <v>1410</v>
      </c>
      <c r="G542" s="109" t="s">
        <v>1411</v>
      </c>
      <c r="H542" s="87">
        <v>2</v>
      </c>
      <c r="I542" s="84"/>
      <c r="J542" s="84"/>
      <c r="K542" s="84" t="s">
        <v>1614</v>
      </c>
      <c r="L542" s="84" t="s">
        <v>8</v>
      </c>
      <c r="M542" s="88" t="str">
        <f>VLOOKUP(L542,lookups!B:C,2,FALSE)</f>
        <v>TBD</v>
      </c>
      <c r="N542" s="89" t="str">
        <f>VLOOKUP(K542,TeamLookup[],2,0)</f>
        <v>Cyber</v>
      </c>
      <c r="O542" s="84" t="e">
        <f>VLOOKUP(VALUE($S542),lookups!I:J,2,FALSE)</f>
        <v>#N/A</v>
      </c>
      <c r="P542" s="84" t="e">
        <f>VLOOKUP(VALUE($S542),lookups!F:G,2,FALSE)</f>
        <v>#N/A</v>
      </c>
      <c r="Q542" s="84" t="str">
        <f t="shared" si="32"/>
        <v/>
      </c>
      <c r="R542" s="84">
        <f t="shared" si="33"/>
        <v>245560</v>
      </c>
      <c r="S542" s="84">
        <f t="shared" si="34"/>
        <v>1014737</v>
      </c>
      <c r="T542" s="84">
        <f t="shared" si="35"/>
        <v>1014589</v>
      </c>
    </row>
    <row r="543" spans="1:20" x14ac:dyDescent="0.3">
      <c r="B543" s="84">
        <v>1024544</v>
      </c>
      <c r="C543" s="85">
        <v>1014737</v>
      </c>
      <c r="D543" s="84" t="s">
        <v>6</v>
      </c>
      <c r="E543" s="84" t="s">
        <v>7</v>
      </c>
      <c r="F543" s="86" t="s">
        <v>1673</v>
      </c>
      <c r="G543" s="109" t="s">
        <v>1528</v>
      </c>
      <c r="H543" s="87">
        <v>2</v>
      </c>
      <c r="I543" s="89"/>
      <c r="J543" s="89"/>
      <c r="K543" s="89" t="s">
        <v>1614</v>
      </c>
      <c r="L543" s="84" t="s">
        <v>8</v>
      </c>
      <c r="M543" s="88" t="str">
        <f>VLOOKUP(L543,lookups!B:C,2,FALSE)</f>
        <v>TBD</v>
      </c>
      <c r="N543" s="89" t="str">
        <f>VLOOKUP(K543,TeamLookup[],2,0)</f>
        <v>Cyber</v>
      </c>
      <c r="O543" s="84" t="e">
        <f>VLOOKUP(VALUE($S543),lookups!I:J,2,FALSE)</f>
        <v>#N/A</v>
      </c>
      <c r="P543" s="84" t="e">
        <f>VLOOKUP(VALUE($S543),lookups!F:G,2,FALSE)</f>
        <v>#N/A</v>
      </c>
      <c r="Q543" s="84" t="str">
        <f t="shared" si="32"/>
        <v/>
      </c>
      <c r="R543" s="84">
        <f t="shared" si="33"/>
        <v>245560</v>
      </c>
      <c r="S543" s="84">
        <f t="shared" si="34"/>
        <v>1014737</v>
      </c>
      <c r="T543" s="84">
        <f t="shared" si="35"/>
        <v>1024544</v>
      </c>
    </row>
    <row r="544" spans="1:20" x14ac:dyDescent="0.3">
      <c r="B544" s="84">
        <v>1020046</v>
      </c>
      <c r="C544" s="85">
        <v>1014737</v>
      </c>
      <c r="D544" s="84" t="s">
        <v>6</v>
      </c>
      <c r="E544" s="84" t="s">
        <v>7</v>
      </c>
      <c r="F544" s="86" t="s">
        <v>1543</v>
      </c>
      <c r="G544" s="109" t="s">
        <v>1528</v>
      </c>
      <c r="H544" s="87">
        <v>1</v>
      </c>
      <c r="I544" s="84"/>
      <c r="J544" s="84"/>
      <c r="K544" s="84" t="s">
        <v>1614</v>
      </c>
      <c r="L544" s="84" t="s">
        <v>8</v>
      </c>
      <c r="M544" s="88" t="str">
        <f>VLOOKUP(L544,lookups!B:C,2,FALSE)</f>
        <v>TBD</v>
      </c>
      <c r="N544" s="89" t="str">
        <f>VLOOKUP(K544,TeamLookup[],2,0)</f>
        <v>Cyber</v>
      </c>
      <c r="O544" s="84" t="e">
        <f>VLOOKUP(VALUE($S544),lookups!I:J,2,FALSE)</f>
        <v>#N/A</v>
      </c>
      <c r="P544" s="84" t="e">
        <f>VLOOKUP(VALUE($S544),lookups!F:G,2,FALSE)</f>
        <v>#N/A</v>
      </c>
      <c r="Q544" s="84" t="str">
        <f t="shared" si="32"/>
        <v/>
      </c>
      <c r="R544" s="84">
        <f t="shared" si="33"/>
        <v>245560</v>
      </c>
      <c r="S544" s="84">
        <f t="shared" si="34"/>
        <v>1014737</v>
      </c>
      <c r="T544" s="84">
        <f t="shared" si="35"/>
        <v>1020046</v>
      </c>
    </row>
    <row r="545" spans="2:20" x14ac:dyDescent="0.3">
      <c r="B545" s="84">
        <v>1020039</v>
      </c>
      <c r="C545" s="85">
        <v>1014737</v>
      </c>
      <c r="D545" s="84" t="s">
        <v>6</v>
      </c>
      <c r="E545" s="84" t="s">
        <v>7</v>
      </c>
      <c r="F545" s="86" t="s">
        <v>1548</v>
      </c>
      <c r="G545" s="109" t="s">
        <v>1528</v>
      </c>
      <c r="H545" s="87">
        <v>2</v>
      </c>
      <c r="I545" s="84"/>
      <c r="J545" s="84"/>
      <c r="K545" s="84" t="s">
        <v>1614</v>
      </c>
      <c r="L545" s="84" t="s">
        <v>11</v>
      </c>
      <c r="M545" s="88" t="str">
        <f>VLOOKUP(L545,lookups!B:C,2,FALSE)</f>
        <v>Randy</v>
      </c>
      <c r="N545" s="89" t="str">
        <f>VLOOKUP(K545,TeamLookup[],2,0)</f>
        <v>Cyber</v>
      </c>
      <c r="O545" s="84" t="e">
        <f>VLOOKUP(VALUE($S545),lookups!I:J,2,FALSE)</f>
        <v>#N/A</v>
      </c>
      <c r="P545" s="84" t="e">
        <f>VLOOKUP(VALUE($S545),lookups!F:G,2,FALSE)</f>
        <v>#N/A</v>
      </c>
      <c r="Q545" s="84" t="str">
        <f t="shared" si="32"/>
        <v/>
      </c>
      <c r="R545" s="84">
        <f t="shared" si="33"/>
        <v>245560</v>
      </c>
      <c r="S545" s="84">
        <f t="shared" si="34"/>
        <v>1014737</v>
      </c>
      <c r="T545" s="84">
        <f t="shared" si="35"/>
        <v>1020039</v>
      </c>
    </row>
    <row r="546" spans="2:20" x14ac:dyDescent="0.3">
      <c r="B546" s="84">
        <v>1024545</v>
      </c>
      <c r="C546" s="85">
        <v>1014737</v>
      </c>
      <c r="D546" s="84" t="s">
        <v>6</v>
      </c>
      <c r="E546" s="84" t="s">
        <v>7</v>
      </c>
      <c r="F546" s="86" t="s">
        <v>1672</v>
      </c>
      <c r="G546" s="109" t="s">
        <v>1409</v>
      </c>
      <c r="H546" s="87">
        <v>2</v>
      </c>
      <c r="I546" s="89"/>
      <c r="J546" s="89"/>
      <c r="K546" s="89" t="s">
        <v>1614</v>
      </c>
      <c r="L546" s="84" t="s">
        <v>8</v>
      </c>
      <c r="M546" s="88" t="str">
        <f>VLOOKUP(L546,lookups!B:C,2,FALSE)</f>
        <v>TBD</v>
      </c>
      <c r="N546" s="89" t="str">
        <f>VLOOKUP(K546,TeamLookup[],2,0)</f>
        <v>Cyber</v>
      </c>
      <c r="O546" s="84" t="e">
        <f>VLOOKUP(VALUE($S546),lookups!I:J,2,FALSE)</f>
        <v>#N/A</v>
      </c>
      <c r="P546" s="84" t="e">
        <f>VLOOKUP(VALUE($S546),lookups!F:G,2,FALSE)</f>
        <v>#N/A</v>
      </c>
      <c r="Q546" s="84" t="str">
        <f t="shared" si="32"/>
        <v/>
      </c>
      <c r="R546" s="84">
        <f t="shared" si="33"/>
        <v>245560</v>
      </c>
      <c r="S546" s="84">
        <f t="shared" si="34"/>
        <v>1014737</v>
      </c>
      <c r="T546" s="84">
        <f t="shared" si="35"/>
        <v>1024545</v>
      </c>
    </row>
    <row r="547" spans="2:20" x14ac:dyDescent="0.3">
      <c r="B547" s="84">
        <v>1020047</v>
      </c>
      <c r="C547" s="85">
        <v>1014737</v>
      </c>
      <c r="D547" s="84" t="s">
        <v>6</v>
      </c>
      <c r="E547" s="84" t="s">
        <v>7</v>
      </c>
      <c r="F547" s="86" t="s">
        <v>1542</v>
      </c>
      <c r="G547" s="109" t="s">
        <v>1409</v>
      </c>
      <c r="H547" s="87">
        <v>1</v>
      </c>
      <c r="I547" s="84"/>
      <c r="J547" s="84"/>
      <c r="K547" s="84" t="s">
        <v>1614</v>
      </c>
      <c r="L547" s="84" t="s">
        <v>8</v>
      </c>
      <c r="M547" s="88" t="str">
        <f>VLOOKUP(L547,lookups!B:C,2,FALSE)</f>
        <v>TBD</v>
      </c>
      <c r="N547" s="89" t="str">
        <f>VLOOKUP(K547,TeamLookup[],2,0)</f>
        <v>Cyber</v>
      </c>
      <c r="O547" s="84" t="e">
        <f>VLOOKUP(VALUE($S547),lookups!I:J,2,FALSE)</f>
        <v>#N/A</v>
      </c>
      <c r="P547" s="84" t="e">
        <f>VLOOKUP(VALUE($S547),lookups!F:G,2,FALSE)</f>
        <v>#N/A</v>
      </c>
      <c r="Q547" s="84" t="str">
        <f t="shared" si="32"/>
        <v/>
      </c>
      <c r="R547" s="84">
        <f t="shared" si="33"/>
        <v>245560</v>
      </c>
      <c r="S547" s="84">
        <f t="shared" si="34"/>
        <v>1014737</v>
      </c>
      <c r="T547" s="84">
        <f t="shared" si="35"/>
        <v>1020047</v>
      </c>
    </row>
    <row r="548" spans="2:20" x14ac:dyDescent="0.3">
      <c r="B548" s="84">
        <v>1020040</v>
      </c>
      <c r="C548" s="85">
        <v>1014737</v>
      </c>
      <c r="D548" s="84" t="s">
        <v>6</v>
      </c>
      <c r="E548" s="84" t="s">
        <v>7</v>
      </c>
      <c r="F548" s="86" t="s">
        <v>1547</v>
      </c>
      <c r="G548" s="109" t="s">
        <v>1409</v>
      </c>
      <c r="H548" s="87">
        <v>2</v>
      </c>
      <c r="I548" s="89"/>
      <c r="J548" s="89"/>
      <c r="K548" s="89" t="s">
        <v>1614</v>
      </c>
      <c r="L548" s="84" t="s">
        <v>11</v>
      </c>
      <c r="M548" s="88" t="str">
        <f>VLOOKUP(L548,lookups!B:C,2,FALSE)</f>
        <v>Randy</v>
      </c>
      <c r="N548" s="89" t="str">
        <f>VLOOKUP(K548,TeamLookup[],2,0)</f>
        <v>Cyber</v>
      </c>
      <c r="O548" s="84" t="e">
        <f>VLOOKUP(VALUE($S548),lookups!I:J,2,FALSE)</f>
        <v>#N/A</v>
      </c>
      <c r="P548" s="84" t="e">
        <f>VLOOKUP(VALUE($S548),lookups!F:G,2,FALSE)</f>
        <v>#N/A</v>
      </c>
      <c r="Q548" s="84" t="str">
        <f t="shared" si="32"/>
        <v/>
      </c>
      <c r="R548" s="84">
        <f t="shared" si="33"/>
        <v>245560</v>
      </c>
      <c r="S548" s="84">
        <f t="shared" si="34"/>
        <v>1014737</v>
      </c>
      <c r="T548" s="84">
        <f t="shared" si="35"/>
        <v>1020040</v>
      </c>
    </row>
    <row r="549" spans="2:20" x14ac:dyDescent="0.3">
      <c r="B549" s="84">
        <v>1014591</v>
      </c>
      <c r="C549" s="85">
        <v>1014737</v>
      </c>
      <c r="D549" s="84" t="s">
        <v>6</v>
      </c>
      <c r="E549" s="84" t="s">
        <v>7</v>
      </c>
      <c r="F549" s="86" t="s">
        <v>1408</v>
      </c>
      <c r="G549" s="109" t="s">
        <v>1409</v>
      </c>
      <c r="H549" s="87">
        <v>2</v>
      </c>
      <c r="I549" s="89"/>
      <c r="J549" s="89"/>
      <c r="K549" s="89" t="s">
        <v>1614</v>
      </c>
      <c r="L549" s="84" t="s">
        <v>8</v>
      </c>
      <c r="M549" s="88" t="str">
        <f>VLOOKUP(L549,lookups!B:C,2,FALSE)</f>
        <v>TBD</v>
      </c>
      <c r="N549" s="89" t="str">
        <f>VLOOKUP(K549,TeamLookup[],2,0)</f>
        <v>Cyber</v>
      </c>
      <c r="O549" s="84" t="e">
        <f>VLOOKUP(VALUE($S549),lookups!I:J,2,FALSE)</f>
        <v>#N/A</v>
      </c>
      <c r="P549" s="84" t="e">
        <f>VLOOKUP(VALUE($S549),lookups!F:G,2,FALSE)</f>
        <v>#N/A</v>
      </c>
      <c r="Q549" s="84" t="str">
        <f t="shared" si="32"/>
        <v/>
      </c>
      <c r="R549" s="84">
        <f t="shared" si="33"/>
        <v>245560</v>
      </c>
      <c r="S549" s="84">
        <f t="shared" si="34"/>
        <v>1014737</v>
      </c>
      <c r="T549" s="84">
        <f t="shared" si="35"/>
        <v>1014591</v>
      </c>
    </row>
    <row r="550" spans="2:20" x14ac:dyDescent="0.3">
      <c r="B550" s="84">
        <v>1014737</v>
      </c>
      <c r="C550" s="85">
        <v>245560</v>
      </c>
      <c r="D550" s="84" t="s">
        <v>24</v>
      </c>
      <c r="E550" s="84" t="s">
        <v>25</v>
      </c>
      <c r="F550" s="86" t="s">
        <v>1590</v>
      </c>
      <c r="G550" s="109" t="s">
        <v>353</v>
      </c>
      <c r="H550" s="87"/>
      <c r="I550" s="89" t="s">
        <v>48</v>
      </c>
      <c r="J550" s="89"/>
      <c r="K550" s="89" t="s">
        <v>1614</v>
      </c>
      <c r="L550" s="84" t="s">
        <v>214</v>
      </c>
      <c r="M550" s="88" t="str">
        <f>VLOOKUP(L550,lookups!B:C,2,FALSE)</f>
        <v>Dave G</v>
      </c>
      <c r="N550" s="89" t="str">
        <f>VLOOKUP(K550,TeamLookup[],2,0)</f>
        <v>Cyber</v>
      </c>
      <c r="O550" s="84" t="e">
        <f>VLOOKUP(VALUE($S550),lookups!I:J,2,FALSE)</f>
        <v>#N/A</v>
      </c>
      <c r="P550" s="84" t="e">
        <f>VLOOKUP(VALUE($S550),lookups!F:G,2,FALSE)</f>
        <v>#N/A</v>
      </c>
      <c r="Q550" s="84" t="str">
        <f t="shared" si="32"/>
        <v>ParentNotInCyberQuery</v>
      </c>
      <c r="R550" s="84">
        <f t="shared" si="33"/>
        <v>245560</v>
      </c>
      <c r="S550" s="84">
        <f t="shared" si="34"/>
        <v>1014737</v>
      </c>
      <c r="T550" s="84">
        <f t="shared" si="35"/>
        <v>0</v>
      </c>
    </row>
    <row r="551" spans="2:20" x14ac:dyDescent="0.3">
      <c r="B551" s="84">
        <v>1020048</v>
      </c>
      <c r="C551" s="85">
        <v>1020010</v>
      </c>
      <c r="D551" s="84" t="s">
        <v>6</v>
      </c>
      <c r="E551" s="84" t="s">
        <v>7</v>
      </c>
      <c r="F551" s="86" t="s">
        <v>1541</v>
      </c>
      <c r="G551" s="109" t="s">
        <v>1402</v>
      </c>
      <c r="H551" s="87">
        <v>1</v>
      </c>
      <c r="I551" s="89"/>
      <c r="J551" s="89"/>
      <c r="K551" s="89" t="s">
        <v>1614</v>
      </c>
      <c r="L551" s="84" t="s">
        <v>8</v>
      </c>
      <c r="M551" s="88" t="str">
        <f>VLOOKUP(L551,lookups!B:C,2,FALSE)</f>
        <v>TBD</v>
      </c>
      <c r="N551" s="89" t="str">
        <f>VLOOKUP(K551,TeamLookup[],2,0)</f>
        <v>Cyber</v>
      </c>
      <c r="O551" s="84" t="e">
        <f>VLOOKUP(VALUE($S551),lookups!I:J,2,FALSE)</f>
        <v>#N/A</v>
      </c>
      <c r="P551" s="84" t="e">
        <f>VLOOKUP(VALUE($S551),lookups!F:G,2,FALSE)</f>
        <v>#N/A</v>
      </c>
      <c r="Q551" s="84" t="str">
        <f t="shared" si="32"/>
        <v/>
      </c>
      <c r="R551" s="84">
        <f t="shared" si="33"/>
        <v>245560</v>
      </c>
      <c r="S551" s="84">
        <f t="shared" si="34"/>
        <v>1020010</v>
      </c>
      <c r="T551" s="84">
        <f t="shared" si="35"/>
        <v>1020048</v>
      </c>
    </row>
    <row r="552" spans="2:20" x14ac:dyDescent="0.3">
      <c r="B552" s="84">
        <v>1020049</v>
      </c>
      <c r="C552" s="85">
        <v>1020010</v>
      </c>
      <c r="D552" s="84" t="s">
        <v>6</v>
      </c>
      <c r="E552" s="84" t="s">
        <v>7</v>
      </c>
      <c r="F552" s="86" t="s">
        <v>1540</v>
      </c>
      <c r="G552" s="109" t="s">
        <v>1447</v>
      </c>
      <c r="H552" s="87">
        <v>1</v>
      </c>
      <c r="I552" s="89"/>
      <c r="J552" s="89"/>
      <c r="K552" s="89" t="s">
        <v>1614</v>
      </c>
      <c r="L552" s="84" t="s">
        <v>8</v>
      </c>
      <c r="M552" s="88" t="str">
        <f>VLOOKUP(L552,lookups!B:C,2,FALSE)</f>
        <v>TBD</v>
      </c>
      <c r="N552" s="89" t="str">
        <f>VLOOKUP(K552,TeamLookup[],2,0)</f>
        <v>Cyber</v>
      </c>
      <c r="O552" s="84" t="e">
        <f>VLOOKUP(VALUE($S552),lookups!I:J,2,FALSE)</f>
        <v>#N/A</v>
      </c>
      <c r="P552" s="84" t="e">
        <f>VLOOKUP(VALUE($S552),lookups!F:G,2,FALSE)</f>
        <v>#N/A</v>
      </c>
      <c r="Q552" s="84" t="str">
        <f t="shared" si="32"/>
        <v/>
      </c>
      <c r="R552" s="84">
        <f t="shared" si="33"/>
        <v>245560</v>
      </c>
      <c r="S552" s="84">
        <f t="shared" si="34"/>
        <v>1020010</v>
      </c>
      <c r="T552" s="84">
        <f t="shared" si="35"/>
        <v>1020049</v>
      </c>
    </row>
    <row r="553" spans="2:20" x14ac:dyDescent="0.3">
      <c r="B553" s="84">
        <v>1020051</v>
      </c>
      <c r="C553" s="85">
        <v>1020010</v>
      </c>
      <c r="D553" s="84" t="s">
        <v>6</v>
      </c>
      <c r="E553" s="84" t="s">
        <v>7</v>
      </c>
      <c r="F553" s="86" t="s">
        <v>1539</v>
      </c>
      <c r="G553" s="87" t="s">
        <v>1411</v>
      </c>
      <c r="H553" s="87">
        <v>1</v>
      </c>
      <c r="I553" s="89"/>
      <c r="J553" s="89"/>
      <c r="K553" s="89" t="s">
        <v>1614</v>
      </c>
      <c r="L553" s="84" t="s">
        <v>8</v>
      </c>
      <c r="M553" s="88" t="str">
        <f>VLOOKUP(L553,lookups!B:C,2,FALSE)</f>
        <v>TBD</v>
      </c>
      <c r="N553" s="89" t="str">
        <f>VLOOKUP(K553,TeamLookup[],2,0)</f>
        <v>Cyber</v>
      </c>
      <c r="O553" s="84" t="e">
        <f>VLOOKUP(VALUE($S553),lookups!I:J,2,FALSE)</f>
        <v>#N/A</v>
      </c>
      <c r="P553" s="84" t="e">
        <f>VLOOKUP(VALUE($S553),lookups!F:G,2,FALSE)</f>
        <v>#N/A</v>
      </c>
      <c r="Q553" s="84" t="str">
        <f t="shared" si="32"/>
        <v/>
      </c>
      <c r="R553" s="84">
        <f t="shared" si="33"/>
        <v>245560</v>
      </c>
      <c r="S553" s="84">
        <f t="shared" si="34"/>
        <v>1020010</v>
      </c>
      <c r="T553" s="84">
        <f t="shared" si="35"/>
        <v>1020051</v>
      </c>
    </row>
    <row r="554" spans="2:20" x14ac:dyDescent="0.3">
      <c r="B554" s="84">
        <v>1020052</v>
      </c>
      <c r="C554" s="85">
        <v>1020010</v>
      </c>
      <c r="D554" s="84" t="s">
        <v>6</v>
      </c>
      <c r="E554" s="84" t="s">
        <v>7</v>
      </c>
      <c r="F554" s="86" t="s">
        <v>1538</v>
      </c>
      <c r="G554" s="87" t="s">
        <v>1528</v>
      </c>
      <c r="H554" s="87">
        <v>1</v>
      </c>
      <c r="I554" s="89"/>
      <c r="J554" s="89"/>
      <c r="K554" s="89" t="s">
        <v>1614</v>
      </c>
      <c r="L554" s="84" t="s">
        <v>8</v>
      </c>
      <c r="M554" s="88" t="str">
        <f>VLOOKUP(L554,lookups!B:C,2,FALSE)</f>
        <v>TBD</v>
      </c>
      <c r="N554" s="89" t="str">
        <f>VLOOKUP(K554,TeamLookup[],2,0)</f>
        <v>Cyber</v>
      </c>
      <c r="O554" s="84" t="e">
        <f>VLOOKUP(VALUE($S554),lookups!I:J,2,FALSE)</f>
        <v>#N/A</v>
      </c>
      <c r="P554" s="84" t="e">
        <f>VLOOKUP(VALUE($S554),lookups!F:G,2,FALSE)</f>
        <v>#N/A</v>
      </c>
      <c r="Q554" s="84" t="str">
        <f t="shared" si="32"/>
        <v/>
      </c>
      <c r="R554" s="84">
        <f t="shared" si="33"/>
        <v>245560</v>
      </c>
      <c r="S554" s="84">
        <f t="shared" si="34"/>
        <v>1020010</v>
      </c>
      <c r="T554" s="84">
        <f t="shared" si="35"/>
        <v>1020052</v>
      </c>
    </row>
    <row r="555" spans="2:20" x14ac:dyDescent="0.3">
      <c r="B555" s="84">
        <v>1020053</v>
      </c>
      <c r="C555" s="85">
        <v>1020010</v>
      </c>
      <c r="D555" s="84" t="s">
        <v>6</v>
      </c>
      <c r="E555" s="84" t="s">
        <v>7</v>
      </c>
      <c r="F555" s="86" t="s">
        <v>1537</v>
      </c>
      <c r="G555" s="87" t="s">
        <v>1409</v>
      </c>
      <c r="H555" s="87">
        <v>1</v>
      </c>
      <c r="I555" s="89"/>
      <c r="J555" s="89"/>
      <c r="K555" s="89" t="s">
        <v>1614</v>
      </c>
      <c r="L555" s="84" t="s">
        <v>8</v>
      </c>
      <c r="M555" s="88" t="str">
        <f>VLOOKUP(L555,lookups!B:C,2,FALSE)</f>
        <v>TBD</v>
      </c>
      <c r="N555" s="89" t="str">
        <f>VLOOKUP(K555,TeamLookup[],2,0)</f>
        <v>Cyber</v>
      </c>
      <c r="O555" s="84" t="e">
        <f>VLOOKUP(VALUE($S555),lookups!I:J,2,FALSE)</f>
        <v>#N/A</v>
      </c>
      <c r="P555" s="84" t="e">
        <f>VLOOKUP(VALUE($S555),lookups!F:G,2,FALSE)</f>
        <v>#N/A</v>
      </c>
      <c r="Q555" s="84" t="str">
        <f t="shared" si="32"/>
        <v/>
      </c>
      <c r="R555" s="84">
        <f t="shared" si="33"/>
        <v>245560</v>
      </c>
      <c r="S555" s="84">
        <f t="shared" si="34"/>
        <v>1020010</v>
      </c>
      <c r="T555" s="84">
        <f t="shared" si="35"/>
        <v>1020053</v>
      </c>
    </row>
    <row r="556" spans="2:20" x14ac:dyDescent="0.3">
      <c r="B556" s="84">
        <v>1020127</v>
      </c>
      <c r="C556" s="85">
        <v>1020010</v>
      </c>
      <c r="D556" s="84" t="s">
        <v>6</v>
      </c>
      <c r="E556" s="84" t="s">
        <v>7</v>
      </c>
      <c r="F556" s="86" t="s">
        <v>1532</v>
      </c>
      <c r="G556" s="87" t="s">
        <v>353</v>
      </c>
      <c r="H556" s="87">
        <v>2</v>
      </c>
      <c r="I556" s="84"/>
      <c r="J556" s="84"/>
      <c r="K556" s="84" t="s">
        <v>1614</v>
      </c>
      <c r="L556" s="84" t="s">
        <v>125</v>
      </c>
      <c r="M556" s="88" t="str">
        <f>VLOOKUP(L556,lookups!B:C,2,FALSE)</f>
        <v>Dave C</v>
      </c>
      <c r="N556" s="89" t="str">
        <f>VLOOKUP(K556,TeamLookup[],2,0)</f>
        <v>Cyber</v>
      </c>
      <c r="O556" s="84" t="e">
        <f>VLOOKUP(VALUE($S556),lookups!I:J,2,FALSE)</f>
        <v>#N/A</v>
      </c>
      <c r="P556" s="84" t="e">
        <f>VLOOKUP(VALUE($S556),lookups!F:G,2,FALSE)</f>
        <v>#N/A</v>
      </c>
      <c r="Q556" s="84" t="str">
        <f t="shared" si="32"/>
        <v/>
      </c>
      <c r="R556" s="84">
        <f t="shared" si="33"/>
        <v>245560</v>
      </c>
      <c r="S556" s="84">
        <f t="shared" si="34"/>
        <v>1020010</v>
      </c>
      <c r="T556" s="84">
        <f t="shared" si="35"/>
        <v>1020127</v>
      </c>
    </row>
    <row r="557" spans="2:20" x14ac:dyDescent="0.3">
      <c r="B557" s="84">
        <v>1020126</v>
      </c>
      <c r="C557" s="85">
        <v>1020010</v>
      </c>
      <c r="D557" s="84" t="s">
        <v>6</v>
      </c>
      <c r="E557" s="84" t="s">
        <v>7</v>
      </c>
      <c r="F557" s="86" t="s">
        <v>1533</v>
      </c>
      <c r="G557" s="87" t="s">
        <v>353</v>
      </c>
      <c r="H557" s="87">
        <v>3</v>
      </c>
      <c r="I557" s="89"/>
      <c r="J557" s="89"/>
      <c r="K557" s="89" t="s">
        <v>1614</v>
      </c>
      <c r="L557" s="84" t="s">
        <v>125</v>
      </c>
      <c r="M557" s="88" t="str">
        <f>VLOOKUP(L557,lookups!B:C,2,FALSE)</f>
        <v>Dave C</v>
      </c>
      <c r="N557" s="89" t="str">
        <f>VLOOKUP(K557,TeamLookup[],2,0)</f>
        <v>Cyber</v>
      </c>
      <c r="O557" s="84" t="e">
        <f>VLOOKUP(VALUE($S557),lookups!I:J,2,FALSE)</f>
        <v>#N/A</v>
      </c>
      <c r="P557" s="84" t="e">
        <f>VLOOKUP(VALUE($S557),lookups!F:G,2,FALSE)</f>
        <v>#N/A</v>
      </c>
      <c r="Q557" s="84" t="str">
        <f t="shared" si="32"/>
        <v/>
      </c>
      <c r="R557" s="84">
        <f t="shared" si="33"/>
        <v>245560</v>
      </c>
      <c r="S557" s="84">
        <f t="shared" si="34"/>
        <v>1020010</v>
      </c>
      <c r="T557" s="84">
        <f t="shared" si="35"/>
        <v>1020126</v>
      </c>
    </row>
    <row r="558" spans="2:20" x14ac:dyDescent="0.3">
      <c r="B558" s="84">
        <v>1020125</v>
      </c>
      <c r="C558" s="85">
        <v>1020010</v>
      </c>
      <c r="D558" s="84" t="s">
        <v>6</v>
      </c>
      <c r="E558" s="84" t="s">
        <v>7</v>
      </c>
      <c r="F558" s="86" t="s">
        <v>1534</v>
      </c>
      <c r="G558" s="87" t="s">
        <v>353</v>
      </c>
      <c r="H558" s="87">
        <v>1</v>
      </c>
      <c r="I558" s="89"/>
      <c r="J558" s="89"/>
      <c r="K558" s="89" t="s">
        <v>1614</v>
      </c>
      <c r="L558" s="84" t="s">
        <v>125</v>
      </c>
      <c r="M558" s="88" t="str">
        <f>VLOOKUP(L558,lookups!B:C,2,FALSE)</f>
        <v>Dave C</v>
      </c>
      <c r="N558" s="89" t="str">
        <f>VLOOKUP(K558,TeamLookup[],2,0)</f>
        <v>Cyber</v>
      </c>
      <c r="O558" s="84" t="e">
        <f>VLOOKUP(VALUE($S558),lookups!I:J,2,FALSE)</f>
        <v>#N/A</v>
      </c>
      <c r="P558" s="84" t="e">
        <f>VLOOKUP(VALUE($S558),lookups!F:G,2,FALSE)</f>
        <v>#N/A</v>
      </c>
      <c r="Q558" s="84" t="str">
        <f t="shared" si="32"/>
        <v/>
      </c>
      <c r="R558" s="84">
        <f t="shared" si="33"/>
        <v>245560</v>
      </c>
      <c r="S558" s="84">
        <f t="shared" si="34"/>
        <v>1020010</v>
      </c>
      <c r="T558" s="84">
        <f t="shared" si="35"/>
        <v>1020125</v>
      </c>
    </row>
    <row r="559" spans="2:20" x14ac:dyDescent="0.3">
      <c r="B559" s="84">
        <v>1020124</v>
      </c>
      <c r="C559" s="85">
        <v>1020010</v>
      </c>
      <c r="D559" s="84" t="s">
        <v>6</v>
      </c>
      <c r="E559" s="84" t="s">
        <v>7</v>
      </c>
      <c r="F559" s="86" t="s">
        <v>1535</v>
      </c>
      <c r="G559" s="87" t="s">
        <v>353</v>
      </c>
      <c r="H559" s="87">
        <v>3</v>
      </c>
      <c r="I559" s="89"/>
      <c r="J559" s="89"/>
      <c r="K559" s="89" t="s">
        <v>1614</v>
      </c>
      <c r="L559" s="84" t="s">
        <v>125</v>
      </c>
      <c r="M559" s="88" t="str">
        <f>VLOOKUP(L559,lookups!B:C,2,FALSE)</f>
        <v>Dave C</v>
      </c>
      <c r="N559" s="89" t="str">
        <f>VLOOKUP(K559,TeamLookup[],2,0)</f>
        <v>Cyber</v>
      </c>
      <c r="O559" s="84" t="e">
        <f>VLOOKUP(VALUE($S559),lookups!I:J,2,FALSE)</f>
        <v>#N/A</v>
      </c>
      <c r="P559" s="84" t="e">
        <f>VLOOKUP(VALUE($S559),lookups!F:G,2,FALSE)</f>
        <v>#N/A</v>
      </c>
      <c r="Q559" s="84" t="str">
        <f t="shared" si="32"/>
        <v/>
      </c>
      <c r="R559" s="84">
        <f t="shared" si="33"/>
        <v>245560</v>
      </c>
      <c r="S559" s="84">
        <f t="shared" si="34"/>
        <v>1020010</v>
      </c>
      <c r="T559" s="84">
        <f t="shared" si="35"/>
        <v>1020124</v>
      </c>
    </row>
    <row r="560" spans="2:20" x14ac:dyDescent="0.3">
      <c r="B560" s="84">
        <v>1020123</v>
      </c>
      <c r="C560" s="85">
        <v>1020010</v>
      </c>
      <c r="D560" s="84" t="s">
        <v>6</v>
      </c>
      <c r="E560" s="84" t="s">
        <v>7</v>
      </c>
      <c r="F560" s="86" t="s">
        <v>1536</v>
      </c>
      <c r="G560" s="87" t="s">
        <v>353</v>
      </c>
      <c r="H560" s="87">
        <v>3</v>
      </c>
      <c r="I560" s="89"/>
      <c r="J560" s="89"/>
      <c r="K560" s="89" t="s">
        <v>1614</v>
      </c>
      <c r="L560" s="84" t="s">
        <v>125</v>
      </c>
      <c r="M560" s="88" t="str">
        <f>VLOOKUP(L560,lookups!B:C,2,FALSE)</f>
        <v>Dave C</v>
      </c>
      <c r="N560" s="89" t="str">
        <f>VLOOKUP(K560,TeamLookup[],2,0)</f>
        <v>Cyber</v>
      </c>
      <c r="O560" s="84" t="e">
        <f>VLOOKUP(VALUE($S560),lookups!I:J,2,FALSE)</f>
        <v>#N/A</v>
      </c>
      <c r="P560" s="84" t="e">
        <f>VLOOKUP(VALUE($S560),lookups!F:G,2,FALSE)</f>
        <v>#N/A</v>
      </c>
      <c r="Q560" s="84" t="str">
        <f t="shared" si="32"/>
        <v/>
      </c>
      <c r="R560" s="84">
        <f t="shared" si="33"/>
        <v>245560</v>
      </c>
      <c r="S560" s="84">
        <f t="shared" si="34"/>
        <v>1020010</v>
      </c>
      <c r="T560" s="84">
        <f t="shared" si="35"/>
        <v>1020123</v>
      </c>
    </row>
    <row r="561" spans="1:20" x14ac:dyDescent="0.3">
      <c r="B561" s="84">
        <v>1020010</v>
      </c>
      <c r="C561" s="85">
        <v>245560</v>
      </c>
      <c r="D561" s="84" t="s">
        <v>24</v>
      </c>
      <c r="E561" s="84" t="s">
        <v>25</v>
      </c>
      <c r="F561" s="86" t="s">
        <v>1584</v>
      </c>
      <c r="G561" s="87" t="s">
        <v>353</v>
      </c>
      <c r="H561" s="87"/>
      <c r="I561" s="89" t="s">
        <v>48</v>
      </c>
      <c r="J561" s="89"/>
      <c r="K561" s="89" t="s">
        <v>1614</v>
      </c>
      <c r="L561" s="84" t="s">
        <v>125</v>
      </c>
      <c r="M561" s="88" t="str">
        <f>VLOOKUP(L561,lookups!B:C,2,FALSE)</f>
        <v>Dave C</v>
      </c>
      <c r="N561" s="89" t="str">
        <f>VLOOKUP(K561,TeamLookup[],2,0)</f>
        <v>Cyber</v>
      </c>
      <c r="O561" s="84" t="e">
        <f>VLOOKUP(VALUE($S561),lookups!I:J,2,FALSE)</f>
        <v>#N/A</v>
      </c>
      <c r="P561" s="84" t="e">
        <f>VLOOKUP(VALUE($S561),lookups!F:G,2,FALSE)</f>
        <v>#N/A</v>
      </c>
      <c r="Q561" s="84" t="str">
        <f t="shared" si="32"/>
        <v>ParentNotInCyberQuery</v>
      </c>
      <c r="R561" s="84">
        <f t="shared" si="33"/>
        <v>245560</v>
      </c>
      <c r="S561" s="84">
        <f t="shared" si="34"/>
        <v>1020010</v>
      </c>
      <c r="T561" s="84">
        <f t="shared" si="35"/>
        <v>0</v>
      </c>
    </row>
    <row r="562" spans="1:20" ht="36" customHeight="1" x14ac:dyDescent="0.3">
      <c r="B562" s="84">
        <v>1021661</v>
      </c>
      <c r="C562" s="85">
        <v>1020011</v>
      </c>
      <c r="D562" s="84" t="s">
        <v>344</v>
      </c>
      <c r="E562" s="84" t="s">
        <v>7</v>
      </c>
      <c r="F562" s="86" t="s">
        <v>1565</v>
      </c>
      <c r="G562" s="87" t="s">
        <v>1402</v>
      </c>
      <c r="H562" s="87"/>
      <c r="I562" s="89"/>
      <c r="J562" s="89"/>
      <c r="K562" s="89" t="s">
        <v>1614</v>
      </c>
      <c r="L562" s="84" t="s">
        <v>1342</v>
      </c>
      <c r="M562" s="88" t="str">
        <f>VLOOKUP(L562,lookups!B:C,2,FALSE)</f>
        <v>John</v>
      </c>
      <c r="N562" s="89" t="str">
        <f>VLOOKUP(K562,TeamLookup[],2,0)</f>
        <v>Cyber</v>
      </c>
      <c r="O562" s="84" t="e">
        <f>VLOOKUP(VALUE($S562),lookups!I:J,2,FALSE)</f>
        <v>#N/A</v>
      </c>
      <c r="P562" s="84" t="e">
        <f>VLOOKUP(VALUE($S562),lookups!F:G,2,FALSE)</f>
        <v>#N/A</v>
      </c>
      <c r="Q562" s="84" t="str">
        <f t="shared" si="32"/>
        <v/>
      </c>
      <c r="R562" s="84">
        <f t="shared" si="33"/>
        <v>245560</v>
      </c>
      <c r="S562" s="84">
        <f t="shared" si="34"/>
        <v>1020011</v>
      </c>
      <c r="T562" s="84">
        <f t="shared" si="35"/>
        <v>1021661</v>
      </c>
    </row>
    <row r="563" spans="1:20" ht="36" customHeight="1" x14ac:dyDescent="0.3">
      <c r="B563" s="84">
        <v>1020212</v>
      </c>
      <c r="C563" s="85">
        <v>1020011</v>
      </c>
      <c r="D563" s="84" t="s">
        <v>6</v>
      </c>
      <c r="E563" s="84" t="s">
        <v>7</v>
      </c>
      <c r="F563" s="86" t="s">
        <v>185</v>
      </c>
      <c r="G563" s="87" t="s">
        <v>1402</v>
      </c>
      <c r="H563" s="87">
        <v>1</v>
      </c>
      <c r="I563" s="89"/>
      <c r="J563" s="89"/>
      <c r="K563" s="89" t="s">
        <v>1614</v>
      </c>
      <c r="L563" s="84" t="s">
        <v>1375</v>
      </c>
      <c r="M563" s="88" t="str">
        <f>VLOOKUP(L563,lookups!B:C,2,FALSE)</f>
        <v>Kirk</v>
      </c>
      <c r="N563" s="89" t="str">
        <f>VLOOKUP(K563,TeamLookup[],2,0)</f>
        <v>Cyber</v>
      </c>
      <c r="O563" s="84" t="e">
        <f>VLOOKUP(VALUE($S563),lookups!I:J,2,FALSE)</f>
        <v>#N/A</v>
      </c>
      <c r="P563" s="84" t="e">
        <f>VLOOKUP(VALUE($S563),lookups!F:G,2,FALSE)</f>
        <v>#N/A</v>
      </c>
      <c r="Q563" s="84" t="str">
        <f t="shared" si="32"/>
        <v/>
      </c>
      <c r="R563" s="84">
        <f t="shared" si="33"/>
        <v>245560</v>
      </c>
      <c r="S563" s="84">
        <f t="shared" si="34"/>
        <v>1020011</v>
      </c>
      <c r="T563" s="84">
        <f t="shared" si="35"/>
        <v>1020212</v>
      </c>
    </row>
    <row r="564" spans="1:20" ht="48" customHeight="1" x14ac:dyDescent="0.3">
      <c r="B564" s="84">
        <v>1020211</v>
      </c>
      <c r="C564" s="85">
        <v>1020011</v>
      </c>
      <c r="D564" s="84" t="s">
        <v>6</v>
      </c>
      <c r="E564" s="84" t="s">
        <v>7</v>
      </c>
      <c r="F564" s="86" t="s">
        <v>1577</v>
      </c>
      <c r="G564" s="87" t="s">
        <v>1402</v>
      </c>
      <c r="H564" s="87">
        <v>3</v>
      </c>
      <c r="I564" s="84"/>
      <c r="J564" s="84"/>
      <c r="K564" s="84" t="s">
        <v>1614</v>
      </c>
      <c r="L564" s="84" t="s">
        <v>1375</v>
      </c>
      <c r="M564" s="88" t="str">
        <f>VLOOKUP(L564,lookups!B:C,2,FALSE)</f>
        <v>Kirk</v>
      </c>
      <c r="N564" s="89" t="str">
        <f>VLOOKUP(K564,TeamLookup[],2,0)</f>
        <v>Cyber</v>
      </c>
      <c r="O564" s="84" t="e">
        <f>VLOOKUP(VALUE($S564),lookups!I:J,2,FALSE)</f>
        <v>#N/A</v>
      </c>
      <c r="P564" s="84" t="e">
        <f>VLOOKUP(VALUE($S564),lookups!F:G,2,FALSE)</f>
        <v>#N/A</v>
      </c>
      <c r="Q564" s="84" t="str">
        <f t="shared" si="32"/>
        <v/>
      </c>
      <c r="R564" s="84">
        <f t="shared" si="33"/>
        <v>245560</v>
      </c>
      <c r="S564" s="84">
        <f t="shared" si="34"/>
        <v>1020011</v>
      </c>
      <c r="T564" s="84">
        <f t="shared" si="35"/>
        <v>1020211</v>
      </c>
    </row>
    <row r="565" spans="1:20" ht="36" customHeight="1" x14ac:dyDescent="0.3">
      <c r="B565" s="84">
        <v>1020210</v>
      </c>
      <c r="C565" s="85">
        <v>1020011</v>
      </c>
      <c r="D565" s="84" t="s">
        <v>6</v>
      </c>
      <c r="E565" s="84" t="s">
        <v>7</v>
      </c>
      <c r="F565" s="86" t="s">
        <v>184</v>
      </c>
      <c r="G565" s="87" t="s">
        <v>1402</v>
      </c>
      <c r="H565" s="87">
        <v>3</v>
      </c>
      <c r="I565" s="89"/>
      <c r="J565" s="89"/>
      <c r="K565" s="89" t="s">
        <v>1614</v>
      </c>
      <c r="L565" s="84" t="s">
        <v>1375</v>
      </c>
      <c r="M565" s="88" t="str">
        <f>VLOOKUP(L565,lookups!B:C,2,FALSE)</f>
        <v>Kirk</v>
      </c>
      <c r="N565" s="89" t="str">
        <f>VLOOKUP(K565,TeamLookup[],2,0)</f>
        <v>Cyber</v>
      </c>
      <c r="O565" s="84" t="e">
        <f>VLOOKUP(VALUE($S565),lookups!I:J,2,FALSE)</f>
        <v>#N/A</v>
      </c>
      <c r="P565" s="84" t="e">
        <f>VLOOKUP(VALUE($S565),lookups!F:G,2,FALSE)</f>
        <v>#N/A</v>
      </c>
      <c r="Q565" s="84" t="str">
        <f t="shared" si="32"/>
        <v/>
      </c>
      <c r="R565" s="84">
        <f t="shared" si="33"/>
        <v>245560</v>
      </c>
      <c r="S565" s="84">
        <f t="shared" si="34"/>
        <v>1020011</v>
      </c>
      <c r="T565" s="84">
        <f t="shared" si="35"/>
        <v>1020210</v>
      </c>
    </row>
    <row r="566" spans="1:20" ht="30.75" customHeight="1" x14ac:dyDescent="0.3">
      <c r="B566" s="84">
        <v>1020189</v>
      </c>
      <c r="C566" s="85">
        <v>1020011</v>
      </c>
      <c r="D566" s="84" t="s">
        <v>6</v>
      </c>
      <c r="E566" s="84" t="s">
        <v>7</v>
      </c>
      <c r="F566" s="86" t="s">
        <v>185</v>
      </c>
      <c r="G566" s="93" t="s">
        <v>1402</v>
      </c>
      <c r="H566" s="87">
        <v>1</v>
      </c>
      <c r="I566" s="89"/>
      <c r="J566" s="89"/>
      <c r="K566" s="89" t="s">
        <v>1614</v>
      </c>
      <c r="L566" s="84" t="s">
        <v>1342</v>
      </c>
      <c r="M566" s="88" t="str">
        <f>VLOOKUP(L566,lookups!B:C,2,FALSE)</f>
        <v>John</v>
      </c>
      <c r="N566" s="89" t="str">
        <f>VLOOKUP(K566,TeamLookup[],2,0)</f>
        <v>Cyber</v>
      </c>
      <c r="O566" s="84" t="e">
        <f>VLOOKUP(VALUE($S566),lookups!I:J,2,FALSE)</f>
        <v>#N/A</v>
      </c>
      <c r="P566" s="84" t="e">
        <f>VLOOKUP(VALUE($S566),lookups!F:G,2,FALSE)</f>
        <v>#N/A</v>
      </c>
      <c r="Q566" s="84" t="str">
        <f t="shared" si="32"/>
        <v/>
      </c>
      <c r="R566" s="84">
        <f t="shared" si="33"/>
        <v>245560</v>
      </c>
      <c r="S566" s="84">
        <f t="shared" si="34"/>
        <v>1020011</v>
      </c>
      <c r="T566" s="84">
        <f t="shared" si="35"/>
        <v>1020189</v>
      </c>
    </row>
    <row r="567" spans="1:20" ht="36" customHeight="1" x14ac:dyDescent="0.3">
      <c r="B567" s="84">
        <v>1020186</v>
      </c>
      <c r="C567" s="85">
        <v>1020011</v>
      </c>
      <c r="D567" s="84" t="s">
        <v>6</v>
      </c>
      <c r="E567" s="84" t="s">
        <v>7</v>
      </c>
      <c r="F567" s="86" t="s">
        <v>1577</v>
      </c>
      <c r="G567" s="87" t="s">
        <v>1402</v>
      </c>
      <c r="H567" s="87">
        <v>3</v>
      </c>
      <c r="I567" s="89"/>
      <c r="J567" s="89"/>
      <c r="K567" s="89" t="s">
        <v>1614</v>
      </c>
      <c r="L567" s="84" t="s">
        <v>1342</v>
      </c>
      <c r="M567" s="88" t="str">
        <f>VLOOKUP(L567,lookups!B:C,2,FALSE)</f>
        <v>John</v>
      </c>
      <c r="N567" s="89" t="str">
        <f>VLOOKUP(K567,TeamLookup[],2,0)</f>
        <v>Cyber</v>
      </c>
      <c r="O567" s="84" t="e">
        <f>VLOOKUP(VALUE($S567),lookups!I:J,2,FALSE)</f>
        <v>#N/A</v>
      </c>
      <c r="P567" s="84" t="e">
        <f>VLOOKUP(VALUE($S567),lookups!F:G,2,FALSE)</f>
        <v>#N/A</v>
      </c>
      <c r="Q567" s="84" t="str">
        <f t="shared" si="32"/>
        <v/>
      </c>
      <c r="R567" s="84">
        <f t="shared" si="33"/>
        <v>245560</v>
      </c>
      <c r="S567" s="84">
        <f t="shared" si="34"/>
        <v>1020011</v>
      </c>
      <c r="T567" s="84">
        <f t="shared" si="35"/>
        <v>1020186</v>
      </c>
    </row>
    <row r="568" spans="1:20" ht="28.8" x14ac:dyDescent="0.3">
      <c r="B568" s="84">
        <v>1020184</v>
      </c>
      <c r="C568" s="85">
        <v>1020011</v>
      </c>
      <c r="D568" s="84" t="s">
        <v>6</v>
      </c>
      <c r="E568" s="84" t="s">
        <v>7</v>
      </c>
      <c r="F568" s="86" t="s">
        <v>184</v>
      </c>
      <c r="G568" s="87" t="s">
        <v>1402</v>
      </c>
      <c r="H568" s="87">
        <v>3</v>
      </c>
      <c r="I568" s="89"/>
      <c r="J568" s="89"/>
      <c r="K568" s="89" t="s">
        <v>1614</v>
      </c>
      <c r="L568" s="84" t="s">
        <v>1342</v>
      </c>
      <c r="M568" s="88" t="str">
        <f>VLOOKUP(L568,lookups!B:C,2,FALSE)</f>
        <v>John</v>
      </c>
      <c r="N568" s="89" t="str">
        <f>VLOOKUP(K568,TeamLookup[],2,0)</f>
        <v>Cyber</v>
      </c>
      <c r="O568" s="84" t="e">
        <f>VLOOKUP(VALUE($S568),lookups!I:J,2,FALSE)</f>
        <v>#N/A</v>
      </c>
      <c r="P568" s="84" t="e">
        <f>VLOOKUP(VALUE($S568),lookups!F:G,2,FALSE)</f>
        <v>#N/A</v>
      </c>
      <c r="Q568" s="84" t="str">
        <f t="shared" si="32"/>
        <v/>
      </c>
      <c r="R568" s="84">
        <f t="shared" si="33"/>
        <v>245560</v>
      </c>
      <c r="S568" s="84">
        <f t="shared" si="34"/>
        <v>1020011</v>
      </c>
      <c r="T568" s="84">
        <f t="shared" si="35"/>
        <v>1020184</v>
      </c>
    </row>
    <row r="569" spans="1:20" ht="21.75" customHeight="1" x14ac:dyDescent="0.3">
      <c r="A569" s="96"/>
      <c r="B569" s="84">
        <v>1020128</v>
      </c>
      <c r="C569" s="85">
        <v>1020011</v>
      </c>
      <c r="D569" s="84" t="s">
        <v>6</v>
      </c>
      <c r="E569" s="84" t="s">
        <v>7</v>
      </c>
      <c r="F569" s="86" t="s">
        <v>1531</v>
      </c>
      <c r="G569" s="87" t="s">
        <v>1402</v>
      </c>
      <c r="H569" s="87">
        <v>1</v>
      </c>
      <c r="I569" s="89"/>
      <c r="J569" s="89"/>
      <c r="K569" s="89" t="s">
        <v>1614</v>
      </c>
      <c r="L569" s="84" t="s">
        <v>1342</v>
      </c>
      <c r="M569" s="88" t="str">
        <f>VLOOKUP(L569,lookups!B:C,2,FALSE)</f>
        <v>John</v>
      </c>
      <c r="N569" s="89" t="str">
        <f>VLOOKUP(K569,TeamLookup[],2,0)</f>
        <v>Cyber</v>
      </c>
      <c r="O569" s="84" t="e">
        <f>VLOOKUP(VALUE($S569),lookups!I:J,2,FALSE)</f>
        <v>#N/A</v>
      </c>
      <c r="P569" s="84" t="e">
        <f>VLOOKUP(VALUE($S569),lookups!F:G,2,FALSE)</f>
        <v>#N/A</v>
      </c>
      <c r="Q569" s="84" t="str">
        <f t="shared" si="32"/>
        <v/>
      </c>
      <c r="R569" s="84">
        <f t="shared" si="33"/>
        <v>245560</v>
      </c>
      <c r="S569" s="84">
        <f t="shared" si="34"/>
        <v>1020011</v>
      </c>
      <c r="T569" s="84">
        <f t="shared" si="35"/>
        <v>1020128</v>
      </c>
    </row>
    <row r="570" spans="1:20" ht="28.8" x14ac:dyDescent="0.3">
      <c r="B570" s="84">
        <v>1020188</v>
      </c>
      <c r="C570" s="85">
        <v>1020011</v>
      </c>
      <c r="D570" s="84" t="s">
        <v>6</v>
      </c>
      <c r="E570" s="84" t="s">
        <v>7</v>
      </c>
      <c r="F570" s="86" t="s">
        <v>188</v>
      </c>
      <c r="G570" s="87" t="s">
        <v>1447</v>
      </c>
      <c r="H570" s="87">
        <v>3</v>
      </c>
      <c r="I570" s="89"/>
      <c r="J570" s="89"/>
      <c r="K570" s="89" t="s">
        <v>1614</v>
      </c>
      <c r="L570" s="84" t="s">
        <v>1375</v>
      </c>
      <c r="M570" s="88" t="str">
        <f>VLOOKUP(L570,lookups!B:C,2,FALSE)</f>
        <v>Kirk</v>
      </c>
      <c r="N570" s="89" t="str">
        <f>VLOOKUP(K570,TeamLookup[],2,0)</f>
        <v>Cyber</v>
      </c>
      <c r="O570" s="84" t="e">
        <f>VLOOKUP(VALUE($S570),lookups!I:J,2,FALSE)</f>
        <v>#N/A</v>
      </c>
      <c r="P570" s="84" t="e">
        <f>VLOOKUP(VALUE($S570),lookups!F:G,2,FALSE)</f>
        <v>#N/A</v>
      </c>
      <c r="Q570" s="84" t="str">
        <f t="shared" si="32"/>
        <v/>
      </c>
      <c r="R570" s="84">
        <f t="shared" si="33"/>
        <v>245560</v>
      </c>
      <c r="S570" s="84">
        <f t="shared" si="34"/>
        <v>1020011</v>
      </c>
      <c r="T570" s="84">
        <f t="shared" si="35"/>
        <v>1020188</v>
      </c>
    </row>
    <row r="571" spans="1:20" x14ac:dyDescent="0.3">
      <c r="A571" s="96"/>
      <c r="B571" s="84">
        <v>1020145</v>
      </c>
      <c r="C571" s="85">
        <v>1020011</v>
      </c>
      <c r="D571" s="84" t="s">
        <v>6</v>
      </c>
      <c r="E571" s="84" t="s">
        <v>7</v>
      </c>
      <c r="F571" s="86" t="s">
        <v>1558</v>
      </c>
      <c r="G571" s="87" t="s">
        <v>1447</v>
      </c>
      <c r="H571" s="87">
        <v>5</v>
      </c>
      <c r="I571" s="84"/>
      <c r="J571" s="84"/>
      <c r="K571" s="84" t="s">
        <v>1614</v>
      </c>
      <c r="L571" s="84" t="s">
        <v>1375</v>
      </c>
      <c r="M571" s="88" t="str">
        <f>VLOOKUP(L571,lookups!B:C,2,FALSE)</f>
        <v>Kirk</v>
      </c>
      <c r="N571" s="89" t="str">
        <f>VLOOKUP(K571,TeamLookup[],2,0)</f>
        <v>Cyber</v>
      </c>
      <c r="O571" s="84" t="e">
        <f>VLOOKUP(VALUE($S571),lookups!I:J,2,FALSE)</f>
        <v>#N/A</v>
      </c>
      <c r="P571" s="84" t="e">
        <f>VLOOKUP(VALUE($S571),lookups!F:G,2,FALSE)</f>
        <v>#N/A</v>
      </c>
      <c r="Q571" s="84" t="str">
        <f t="shared" si="32"/>
        <v/>
      </c>
      <c r="R571" s="84">
        <f t="shared" si="33"/>
        <v>245560</v>
      </c>
      <c r="S571" s="84">
        <f t="shared" si="34"/>
        <v>1020011</v>
      </c>
      <c r="T571" s="84">
        <f t="shared" si="35"/>
        <v>1020145</v>
      </c>
    </row>
    <row r="572" spans="1:20" x14ac:dyDescent="0.3">
      <c r="B572" s="84">
        <v>1020144</v>
      </c>
      <c r="C572" s="85">
        <v>1020011</v>
      </c>
      <c r="D572" s="84" t="s">
        <v>6</v>
      </c>
      <c r="E572" s="84" t="s">
        <v>7</v>
      </c>
      <c r="F572" s="86" t="s">
        <v>1559</v>
      </c>
      <c r="G572" s="87" t="s">
        <v>1447</v>
      </c>
      <c r="H572" s="87">
        <v>5</v>
      </c>
      <c r="I572" s="89"/>
      <c r="J572" s="89"/>
      <c r="K572" s="89" t="s">
        <v>1614</v>
      </c>
      <c r="L572" s="84" t="s">
        <v>1342</v>
      </c>
      <c r="M572" s="88" t="str">
        <f>VLOOKUP(L572,lookups!B:C,2,FALSE)</f>
        <v>John</v>
      </c>
      <c r="N572" s="89" t="str">
        <f>VLOOKUP(K572,TeamLookup[],2,0)</f>
        <v>Cyber</v>
      </c>
      <c r="O572" s="84" t="e">
        <f>VLOOKUP(VALUE($S572),lookups!I:J,2,FALSE)</f>
        <v>#N/A</v>
      </c>
      <c r="P572" s="84" t="e">
        <f>VLOOKUP(VALUE($S572),lookups!F:G,2,FALSE)</f>
        <v>#N/A</v>
      </c>
      <c r="Q572" s="84" t="str">
        <f t="shared" si="32"/>
        <v/>
      </c>
      <c r="R572" s="84">
        <f t="shared" si="33"/>
        <v>245560</v>
      </c>
      <c r="S572" s="84">
        <f t="shared" si="34"/>
        <v>1020011</v>
      </c>
      <c r="T572" s="84">
        <f t="shared" si="35"/>
        <v>1020144</v>
      </c>
    </row>
    <row r="573" spans="1:20" x14ac:dyDescent="0.3">
      <c r="B573" s="84">
        <v>1020129</v>
      </c>
      <c r="C573" s="85">
        <v>1020011</v>
      </c>
      <c r="D573" s="84" t="s">
        <v>6</v>
      </c>
      <c r="E573" s="84" t="s">
        <v>7</v>
      </c>
      <c r="F573" s="86" t="s">
        <v>1530</v>
      </c>
      <c r="G573" s="87" t="s">
        <v>1447</v>
      </c>
      <c r="H573" s="87">
        <v>1</v>
      </c>
      <c r="I573" s="89"/>
      <c r="J573" s="89"/>
      <c r="K573" s="89" t="s">
        <v>1614</v>
      </c>
      <c r="L573" s="84" t="s">
        <v>1342</v>
      </c>
      <c r="M573" s="88" t="str">
        <f>VLOOKUP(L573,lookups!B:C,2,FALSE)</f>
        <v>John</v>
      </c>
      <c r="N573" s="89" t="str">
        <f>VLOOKUP(K573,TeamLookup[],2,0)</f>
        <v>Cyber</v>
      </c>
      <c r="O573" s="84" t="e">
        <f>VLOOKUP(VALUE($S573),lookups!I:J,2,FALSE)</f>
        <v>#N/A</v>
      </c>
      <c r="P573" s="84" t="e">
        <f>VLOOKUP(VALUE($S573),lookups!F:G,2,FALSE)</f>
        <v>#N/A</v>
      </c>
      <c r="Q573" s="84" t="str">
        <f t="shared" si="32"/>
        <v/>
      </c>
      <c r="R573" s="84">
        <f t="shared" si="33"/>
        <v>245560</v>
      </c>
      <c r="S573" s="84">
        <f t="shared" si="34"/>
        <v>1020011</v>
      </c>
      <c r="T573" s="84">
        <f t="shared" si="35"/>
        <v>1020129</v>
      </c>
    </row>
    <row r="574" spans="1:20" x14ac:dyDescent="0.3">
      <c r="B574" s="84">
        <v>1020214</v>
      </c>
      <c r="C574" s="85">
        <v>1020011</v>
      </c>
      <c r="D574" s="84" t="s">
        <v>6</v>
      </c>
      <c r="E574" s="84" t="s">
        <v>7</v>
      </c>
      <c r="F574" s="86" t="s">
        <v>1575</v>
      </c>
      <c r="G574" s="87" t="s">
        <v>1411</v>
      </c>
      <c r="H574" s="87">
        <v>2</v>
      </c>
      <c r="I574" s="84"/>
      <c r="J574" s="84"/>
      <c r="K574" s="84" t="s">
        <v>1614</v>
      </c>
      <c r="L574" s="84" t="s">
        <v>1375</v>
      </c>
      <c r="M574" s="88" t="str">
        <f>VLOOKUP(L574,lookups!B:C,2,FALSE)</f>
        <v>Kirk</v>
      </c>
      <c r="N574" s="89" t="str">
        <f>VLOOKUP(K574,TeamLookup[],2,0)</f>
        <v>Cyber</v>
      </c>
      <c r="O574" s="84" t="e">
        <f>VLOOKUP(VALUE($S574),lookups!I:J,2,FALSE)</f>
        <v>#N/A</v>
      </c>
      <c r="P574" s="84" t="e">
        <f>VLOOKUP(VALUE($S574),lookups!F:G,2,FALSE)</f>
        <v>#N/A</v>
      </c>
      <c r="Q574" s="84" t="str">
        <f t="shared" si="32"/>
        <v/>
      </c>
      <c r="R574" s="84">
        <f t="shared" si="33"/>
        <v>245560</v>
      </c>
      <c r="S574" s="84">
        <f t="shared" si="34"/>
        <v>1020011</v>
      </c>
      <c r="T574" s="84">
        <f t="shared" si="35"/>
        <v>1020214</v>
      </c>
    </row>
    <row r="575" spans="1:20" ht="28.8" x14ac:dyDescent="0.3">
      <c r="A575" s="96"/>
      <c r="B575" s="84">
        <v>1020213</v>
      </c>
      <c r="C575" s="85">
        <v>1020011</v>
      </c>
      <c r="D575" s="84" t="s">
        <v>6</v>
      </c>
      <c r="E575" s="84" t="s">
        <v>7</v>
      </c>
      <c r="F575" s="86" t="s">
        <v>1576</v>
      </c>
      <c r="G575" s="87" t="s">
        <v>1411</v>
      </c>
      <c r="H575" s="87">
        <v>3</v>
      </c>
      <c r="I575" s="89"/>
      <c r="J575" s="89"/>
      <c r="K575" s="89" t="s">
        <v>1614</v>
      </c>
      <c r="L575" s="84" t="s">
        <v>1375</v>
      </c>
      <c r="M575" s="88" t="str">
        <f>VLOOKUP(L575,lookups!B:C,2,FALSE)</f>
        <v>Kirk</v>
      </c>
      <c r="N575" s="89" t="str">
        <f>VLOOKUP(K575,TeamLookup[],2,0)</f>
        <v>Cyber</v>
      </c>
      <c r="O575" s="84" t="e">
        <f>VLOOKUP(VALUE($S575),lookups!I:J,2,FALSE)</f>
        <v>#N/A</v>
      </c>
      <c r="P575" s="84" t="e">
        <f>VLOOKUP(VALUE($S575),lookups!F:G,2,FALSE)</f>
        <v>#N/A</v>
      </c>
      <c r="Q575" s="84" t="str">
        <f t="shared" si="32"/>
        <v/>
      </c>
      <c r="R575" s="84">
        <f t="shared" si="33"/>
        <v>245560</v>
      </c>
      <c r="S575" s="84">
        <f t="shared" si="34"/>
        <v>1020011</v>
      </c>
      <c r="T575" s="84">
        <f t="shared" si="35"/>
        <v>1020213</v>
      </c>
    </row>
    <row r="576" spans="1:20" ht="28.8" x14ac:dyDescent="0.3">
      <c r="A576" s="131" t="s">
        <v>143</v>
      </c>
      <c r="B576" s="84">
        <v>1020193</v>
      </c>
      <c r="C576" s="85">
        <v>1020011</v>
      </c>
      <c r="D576" s="84" t="s">
        <v>6</v>
      </c>
      <c r="E576" s="84" t="s">
        <v>7</v>
      </c>
      <c r="F576" s="86" t="s">
        <v>1576</v>
      </c>
      <c r="G576" s="87" t="s">
        <v>1411</v>
      </c>
      <c r="H576" s="87">
        <v>3</v>
      </c>
      <c r="I576" s="89"/>
      <c r="J576" s="89"/>
      <c r="K576" s="89" t="s">
        <v>1614</v>
      </c>
      <c r="L576" s="84" t="s">
        <v>1342</v>
      </c>
      <c r="M576" s="88" t="str">
        <f>VLOOKUP(L576,lookups!B:C,2,FALSE)</f>
        <v>John</v>
      </c>
      <c r="N576" s="89" t="str">
        <f>VLOOKUP(K576,TeamLookup[],2,0)</f>
        <v>Cyber</v>
      </c>
      <c r="O576" s="84" t="e">
        <f>VLOOKUP(VALUE($S576),lookups!I:J,2,FALSE)</f>
        <v>#N/A</v>
      </c>
      <c r="P576" s="84" t="e">
        <f>VLOOKUP(VALUE($S576),lookups!F:G,2,FALSE)</f>
        <v>#N/A</v>
      </c>
      <c r="Q576" s="84" t="str">
        <f t="shared" si="32"/>
        <v/>
      </c>
      <c r="R576" s="84">
        <f t="shared" si="33"/>
        <v>245560</v>
      </c>
      <c r="S576" s="84">
        <f t="shared" si="34"/>
        <v>1020011</v>
      </c>
      <c r="T576" s="84">
        <f t="shared" si="35"/>
        <v>1020193</v>
      </c>
    </row>
    <row r="577" spans="1:20" x14ac:dyDescent="0.3">
      <c r="A577" s="96"/>
      <c r="B577" s="84">
        <v>1020192</v>
      </c>
      <c r="C577" s="85">
        <v>1020011</v>
      </c>
      <c r="D577" s="84" t="s">
        <v>6</v>
      </c>
      <c r="E577" s="84" t="s">
        <v>7</v>
      </c>
      <c r="F577" s="86" t="s">
        <v>1581</v>
      </c>
      <c r="G577" s="87" t="s">
        <v>1411</v>
      </c>
      <c r="H577" s="87">
        <v>3</v>
      </c>
      <c r="I577" s="84"/>
      <c r="J577" s="84"/>
      <c r="K577" s="84" t="s">
        <v>1614</v>
      </c>
      <c r="L577" s="84" t="s">
        <v>1375</v>
      </c>
      <c r="M577" s="88" t="str">
        <f>VLOOKUP(L577,lookups!B:C,2,FALSE)</f>
        <v>Kirk</v>
      </c>
      <c r="N577" s="89" t="str">
        <f>VLOOKUP(K577,TeamLookup[],2,0)</f>
        <v>Cyber</v>
      </c>
      <c r="O577" s="84" t="e">
        <f>VLOOKUP(VALUE($S577),lookups!I:J,2,FALSE)</f>
        <v>#N/A</v>
      </c>
      <c r="P577" s="84" t="e">
        <f>VLOOKUP(VALUE($S577),lookups!F:G,2,FALSE)</f>
        <v>#N/A</v>
      </c>
      <c r="Q577" s="84" t="str">
        <f t="shared" si="32"/>
        <v/>
      </c>
      <c r="R577" s="84">
        <f t="shared" si="33"/>
        <v>245560</v>
      </c>
      <c r="S577" s="84">
        <f t="shared" si="34"/>
        <v>1020011</v>
      </c>
      <c r="T577" s="84">
        <f t="shared" si="35"/>
        <v>1020192</v>
      </c>
    </row>
    <row r="578" spans="1:20" x14ac:dyDescent="0.3">
      <c r="B578" s="84">
        <v>1020191</v>
      </c>
      <c r="C578" s="85">
        <v>1020011</v>
      </c>
      <c r="D578" s="84" t="s">
        <v>6</v>
      </c>
      <c r="E578" s="84" t="s">
        <v>7</v>
      </c>
      <c r="F578" s="86" t="s">
        <v>1575</v>
      </c>
      <c r="G578" s="87" t="s">
        <v>1411</v>
      </c>
      <c r="H578" s="87">
        <v>2</v>
      </c>
      <c r="I578" s="89"/>
      <c r="J578" s="89"/>
      <c r="K578" s="89" t="s">
        <v>1614</v>
      </c>
      <c r="L578" s="84" t="s">
        <v>1342</v>
      </c>
      <c r="M578" s="88" t="str">
        <f>VLOOKUP(L578,lookups!B:C,2,FALSE)</f>
        <v>John</v>
      </c>
      <c r="N578" s="89" t="str">
        <f>VLOOKUP(K578,TeamLookup[],2,0)</f>
        <v>Cyber</v>
      </c>
      <c r="O578" s="84" t="e">
        <f>VLOOKUP(VALUE($S578),lookups!I:J,2,FALSE)</f>
        <v>#N/A</v>
      </c>
      <c r="P578" s="84" t="e">
        <f>VLOOKUP(VALUE($S578),lookups!F:G,2,FALSE)</f>
        <v>#N/A</v>
      </c>
      <c r="Q578" s="84" t="str">
        <f t="shared" ref="Q578:Q641" si="36">IF($B578="","ZeroEntry",
IF($D578="Program Epic","",
IF(OR($D578="Feature",$D578="Story",$D578="Task"),
  IF($C578="","Missing_ParentEntry",
IF(ISERROR(MATCH(VALUE($C578),$B:$B,0)),"ParentNotInCyberQuery",
IF(AND($D578="Story",VLOOKUP(VALUE($C578),$B:$D,3,FALSE)&lt;&gt;"Feature"),"Warning: StoryParentIs_"&amp;VLOOKUP(VALUE($C578),$B:$D,3,FALSE)&amp;"_NotFeature",
IF(AND(OR($D578="Story",$D578="Task"),VLOOKUP(VALUE($C578),$B:$C,2,FALSE)=""),"MissingGrandparent",
IF(AND($D578="Feature",ISERROR(MATCH("#"&amp;$B578,$C:$C,0))),"FeatureHasNoStories",
IF(AND($D578="Feature",VLOOKUP(VALUE($C578),$B:$D,3,FALSE)&lt;&gt;"Program Epic"),"FeatureParentIs_"&amp;VLOOKUP(VALUE($C578),$B:$D,3,FALSE)&amp;"_NotEpic","")))))),"")))</f>
        <v/>
      </c>
      <c r="R578" s="84">
        <f t="shared" ref="R578:R641" si="37">IF(AND($Q578&lt;&gt;"FeatureHasNoStories","Warning: StoryParentIs_Program Epic_NotFeature"&lt;&gt;$Q578,$Q578&lt;&gt;"ParentNotInCyberQuery",$Q578&lt;&gt;""),$Q578,
IF($D578="Program Epic",B578,
IF($D578="Feature",VALUE($C578),
IF("Warning: StoryParentIs_Program Epic_NotFeature"=$Q578,VALUE($C578),
IF(AND($D578="Story",$Q578="ParentNotInCyberQuery"),"MT",
IF($C578=0,"N/A",
IF(OR($D578="Story",$D578="Task"),VALUE(VLOOKUP(VALUE($C578),$B:$C,2,FALSE)),"N/A")))))))</f>
        <v>245560</v>
      </c>
      <c r="S578" s="84">
        <f t="shared" ref="S578:S641" si="38">IF($D578="Program Epic",0,
IF($D578="Feature",$B578,
IF($C578=0,"NoParentFeature",VALUE($C578))))</f>
        <v>1020011</v>
      </c>
      <c r="T578" s="84">
        <f t="shared" ref="T578:T641" si="39">IF(OR($D578="Story",$D578="Task"),$B578,0)</f>
        <v>1020191</v>
      </c>
    </row>
    <row r="579" spans="1:20" x14ac:dyDescent="0.3">
      <c r="B579" s="84">
        <v>1020130</v>
      </c>
      <c r="C579" s="85">
        <v>1020011</v>
      </c>
      <c r="D579" s="84" t="s">
        <v>6</v>
      </c>
      <c r="E579" s="84" t="s">
        <v>7</v>
      </c>
      <c r="F579" s="86" t="s">
        <v>1529</v>
      </c>
      <c r="G579" s="87" t="s">
        <v>1411</v>
      </c>
      <c r="H579" s="87">
        <v>1</v>
      </c>
      <c r="I579" s="84"/>
      <c r="J579" s="84"/>
      <c r="K579" s="84" t="s">
        <v>1614</v>
      </c>
      <c r="L579" s="84" t="s">
        <v>1342</v>
      </c>
      <c r="M579" s="88" t="str">
        <f>VLOOKUP(L579,lookups!B:C,2,FALSE)</f>
        <v>John</v>
      </c>
      <c r="N579" s="89" t="str">
        <f>VLOOKUP(K579,TeamLookup[],2,0)</f>
        <v>Cyber</v>
      </c>
      <c r="O579" s="84" t="e">
        <f>VLOOKUP(VALUE($S579),lookups!I:J,2,FALSE)</f>
        <v>#N/A</v>
      </c>
      <c r="P579" s="84" t="e">
        <f>VLOOKUP(VALUE($S579),lookups!F:G,2,FALSE)</f>
        <v>#N/A</v>
      </c>
      <c r="Q579" s="84" t="str">
        <f t="shared" si="36"/>
        <v/>
      </c>
      <c r="R579" s="84">
        <f t="shared" si="37"/>
        <v>245560</v>
      </c>
      <c r="S579" s="84">
        <f t="shared" si="38"/>
        <v>1020011</v>
      </c>
      <c r="T579" s="84">
        <f t="shared" si="39"/>
        <v>1020130</v>
      </c>
    </row>
    <row r="580" spans="1:20" x14ac:dyDescent="0.3">
      <c r="B580" s="84">
        <v>1020198</v>
      </c>
      <c r="C580" s="85">
        <v>1020011</v>
      </c>
      <c r="D580" s="84" t="s">
        <v>6</v>
      </c>
      <c r="E580" s="84" t="s">
        <v>7</v>
      </c>
      <c r="F580" s="86" t="s">
        <v>1580</v>
      </c>
      <c r="G580" s="87" t="s">
        <v>1528</v>
      </c>
      <c r="H580" s="87">
        <v>2</v>
      </c>
      <c r="I580" s="89"/>
      <c r="J580" s="89"/>
      <c r="K580" s="89" t="s">
        <v>1614</v>
      </c>
      <c r="L580" s="84" t="s">
        <v>1375</v>
      </c>
      <c r="M580" s="88" t="str">
        <f>VLOOKUP(L580,lookups!B:C,2,FALSE)</f>
        <v>Kirk</v>
      </c>
      <c r="N580" s="89" t="str">
        <f>VLOOKUP(K580,TeamLookup[],2,0)</f>
        <v>Cyber</v>
      </c>
      <c r="O580" s="84" t="e">
        <f>VLOOKUP(VALUE($S580),lookups!I:J,2,FALSE)</f>
        <v>#N/A</v>
      </c>
      <c r="P580" s="84" t="e">
        <f>VLOOKUP(VALUE($S580),lookups!F:G,2,FALSE)</f>
        <v>#N/A</v>
      </c>
      <c r="Q580" s="84" t="str">
        <f t="shared" si="36"/>
        <v/>
      </c>
      <c r="R580" s="84">
        <f t="shared" si="37"/>
        <v>245560</v>
      </c>
      <c r="S580" s="84">
        <f t="shared" si="38"/>
        <v>1020011</v>
      </c>
      <c r="T580" s="84">
        <f t="shared" si="39"/>
        <v>1020198</v>
      </c>
    </row>
    <row r="581" spans="1:20" x14ac:dyDescent="0.3">
      <c r="B581" s="84">
        <v>1020196</v>
      </c>
      <c r="C581" s="85">
        <v>1020011</v>
      </c>
      <c r="D581" s="84" t="s">
        <v>6</v>
      </c>
      <c r="E581" s="84" t="s">
        <v>7</v>
      </c>
      <c r="F581" s="86" t="s">
        <v>187</v>
      </c>
      <c r="G581" s="87" t="s">
        <v>1528</v>
      </c>
      <c r="H581" s="87">
        <v>2</v>
      </c>
      <c r="I581" s="89"/>
      <c r="J581" s="89"/>
      <c r="K581" s="89" t="s">
        <v>1614</v>
      </c>
      <c r="L581" s="84" t="s">
        <v>1375</v>
      </c>
      <c r="M581" s="88" t="str">
        <f>VLOOKUP(L581,lookups!B:C,2,FALSE)</f>
        <v>Kirk</v>
      </c>
      <c r="N581" s="89" t="str">
        <f>VLOOKUP(K581,TeamLookup[],2,0)</f>
        <v>Cyber</v>
      </c>
      <c r="O581" s="84" t="e">
        <f>VLOOKUP(VALUE($S581),lookups!I:J,2,FALSE)</f>
        <v>#N/A</v>
      </c>
      <c r="P581" s="84" t="e">
        <f>VLOOKUP(VALUE($S581),lookups!F:G,2,FALSE)</f>
        <v>#N/A</v>
      </c>
      <c r="Q581" s="84" t="str">
        <f t="shared" si="36"/>
        <v/>
      </c>
      <c r="R581" s="84">
        <f t="shared" si="37"/>
        <v>245560</v>
      </c>
      <c r="S581" s="84">
        <f t="shared" si="38"/>
        <v>1020011</v>
      </c>
      <c r="T581" s="84">
        <f t="shared" si="39"/>
        <v>1020196</v>
      </c>
    </row>
    <row r="582" spans="1:20" x14ac:dyDescent="0.3">
      <c r="B582" s="84">
        <v>1020194</v>
      </c>
      <c r="C582" s="85">
        <v>1020011</v>
      </c>
      <c r="D582" s="84" t="s">
        <v>6</v>
      </c>
      <c r="E582" s="84" t="s">
        <v>7</v>
      </c>
      <c r="F582" s="86" t="s">
        <v>120</v>
      </c>
      <c r="G582" s="87" t="s">
        <v>1528</v>
      </c>
      <c r="H582" s="87">
        <v>3</v>
      </c>
      <c r="I582" s="84"/>
      <c r="J582" s="84"/>
      <c r="K582" s="84" t="s">
        <v>1614</v>
      </c>
      <c r="L582" s="84" t="s">
        <v>1375</v>
      </c>
      <c r="M582" s="88" t="str">
        <f>VLOOKUP(L582,lookups!B:C,2,FALSE)</f>
        <v>Kirk</v>
      </c>
      <c r="N582" s="89" t="str">
        <f>VLOOKUP(K582,TeamLookup[],2,0)</f>
        <v>Cyber</v>
      </c>
      <c r="O582" s="84" t="e">
        <f>VLOOKUP(VALUE($S582),lookups!I:J,2,FALSE)</f>
        <v>#N/A</v>
      </c>
      <c r="P582" s="84" t="e">
        <f>VLOOKUP(VALUE($S582),lookups!F:G,2,FALSE)</f>
        <v>#N/A</v>
      </c>
      <c r="Q582" s="84" t="str">
        <f t="shared" si="36"/>
        <v/>
      </c>
      <c r="R582" s="84">
        <f t="shared" si="37"/>
        <v>245560</v>
      </c>
      <c r="S582" s="84">
        <f t="shared" si="38"/>
        <v>1020011</v>
      </c>
      <c r="T582" s="84">
        <f t="shared" si="39"/>
        <v>1020194</v>
      </c>
    </row>
    <row r="583" spans="1:20" x14ac:dyDescent="0.3">
      <c r="A583" s="96"/>
      <c r="B583" s="84">
        <v>1020131</v>
      </c>
      <c r="C583" s="85">
        <v>1020011</v>
      </c>
      <c r="D583" s="84" t="s">
        <v>6</v>
      </c>
      <c r="E583" s="84" t="s">
        <v>7</v>
      </c>
      <c r="F583" s="86" t="s">
        <v>1527</v>
      </c>
      <c r="G583" s="87" t="s">
        <v>1528</v>
      </c>
      <c r="H583" s="87">
        <v>1</v>
      </c>
      <c r="I583" s="84"/>
      <c r="J583" s="84"/>
      <c r="K583" s="84" t="s">
        <v>1614</v>
      </c>
      <c r="L583" s="84" t="s">
        <v>1342</v>
      </c>
      <c r="M583" s="88" t="str">
        <f>VLOOKUP(L583,lookups!B:C,2,FALSE)</f>
        <v>John</v>
      </c>
      <c r="N583" s="89" t="str">
        <f>VLOOKUP(K583,TeamLookup[],2,0)</f>
        <v>Cyber</v>
      </c>
      <c r="O583" s="84" t="e">
        <f>VLOOKUP(VALUE($S583),lookups!I:J,2,FALSE)</f>
        <v>#N/A</v>
      </c>
      <c r="P583" s="84" t="e">
        <f>VLOOKUP(VALUE($S583),lookups!F:G,2,FALSE)</f>
        <v>#N/A</v>
      </c>
      <c r="Q583" s="84" t="str">
        <f t="shared" si="36"/>
        <v/>
      </c>
      <c r="R583" s="84">
        <f t="shared" si="37"/>
        <v>245560</v>
      </c>
      <c r="S583" s="84">
        <f t="shared" si="38"/>
        <v>1020011</v>
      </c>
      <c r="T583" s="84">
        <f t="shared" si="39"/>
        <v>1020131</v>
      </c>
    </row>
    <row r="584" spans="1:20" x14ac:dyDescent="0.3">
      <c r="A584" s="96"/>
      <c r="B584" s="84">
        <v>1020207</v>
      </c>
      <c r="C584" s="85">
        <v>1020011</v>
      </c>
      <c r="D584" s="84" t="s">
        <v>6</v>
      </c>
      <c r="E584" s="84" t="s">
        <v>7</v>
      </c>
      <c r="F584" s="86" t="s">
        <v>1578</v>
      </c>
      <c r="G584" s="87" t="s">
        <v>1409</v>
      </c>
      <c r="H584" s="87">
        <v>2</v>
      </c>
      <c r="I584" s="84"/>
      <c r="J584" s="84"/>
      <c r="K584" s="84" t="s">
        <v>1614</v>
      </c>
      <c r="L584" s="84" t="s">
        <v>1375</v>
      </c>
      <c r="M584" s="88" t="str">
        <f>VLOOKUP(L584,lookups!B:C,2,FALSE)</f>
        <v>Kirk</v>
      </c>
      <c r="N584" s="89" t="str">
        <f>VLOOKUP(K584,TeamLookup[],2,0)</f>
        <v>Cyber</v>
      </c>
      <c r="O584" s="84" t="e">
        <f>VLOOKUP(VALUE($S584),lookups!I:J,2,FALSE)</f>
        <v>#N/A</v>
      </c>
      <c r="P584" s="84" t="e">
        <f>VLOOKUP(VALUE($S584),lookups!F:G,2,FALSE)</f>
        <v>#N/A</v>
      </c>
      <c r="Q584" s="84" t="str">
        <f t="shared" si="36"/>
        <v/>
      </c>
      <c r="R584" s="84">
        <f t="shared" si="37"/>
        <v>245560</v>
      </c>
      <c r="S584" s="84">
        <f t="shared" si="38"/>
        <v>1020011</v>
      </c>
      <c r="T584" s="84">
        <f t="shared" si="39"/>
        <v>1020207</v>
      </c>
    </row>
    <row r="585" spans="1:20" x14ac:dyDescent="0.3">
      <c r="B585" s="84">
        <v>1020199</v>
      </c>
      <c r="C585" s="85">
        <v>1020011</v>
      </c>
      <c r="D585" s="84" t="s">
        <v>6</v>
      </c>
      <c r="E585" s="84" t="s">
        <v>7</v>
      </c>
      <c r="F585" s="86" t="s">
        <v>1579</v>
      </c>
      <c r="G585" s="87" t="s">
        <v>1409</v>
      </c>
      <c r="H585" s="87">
        <v>2</v>
      </c>
      <c r="I585" s="84"/>
      <c r="J585" s="84"/>
      <c r="K585" s="84" t="s">
        <v>1614</v>
      </c>
      <c r="L585" s="84" t="s">
        <v>1375</v>
      </c>
      <c r="M585" s="88" t="str">
        <f>VLOOKUP(L585,lookups!B:C,2,FALSE)</f>
        <v>Kirk</v>
      </c>
      <c r="N585" s="89" t="str">
        <f>VLOOKUP(K585,TeamLookup[],2,0)</f>
        <v>Cyber</v>
      </c>
      <c r="O585" s="84" t="e">
        <f>VLOOKUP(VALUE($S585),lookups!I:J,2,FALSE)</f>
        <v>#N/A</v>
      </c>
      <c r="P585" s="84" t="e">
        <f>VLOOKUP(VALUE($S585),lookups!F:G,2,FALSE)</f>
        <v>#N/A</v>
      </c>
      <c r="Q585" s="84" t="str">
        <f t="shared" si="36"/>
        <v/>
      </c>
      <c r="R585" s="84">
        <f t="shared" si="37"/>
        <v>245560</v>
      </c>
      <c r="S585" s="84">
        <f t="shared" si="38"/>
        <v>1020011</v>
      </c>
      <c r="T585" s="84">
        <f t="shared" si="39"/>
        <v>1020199</v>
      </c>
    </row>
    <row r="586" spans="1:20" x14ac:dyDescent="0.3">
      <c r="B586" s="84">
        <v>1020132</v>
      </c>
      <c r="C586" s="85">
        <v>1020011</v>
      </c>
      <c r="D586" s="84" t="s">
        <v>6</v>
      </c>
      <c r="E586" s="84" t="s">
        <v>7</v>
      </c>
      <c r="F586" s="86" t="s">
        <v>1526</v>
      </c>
      <c r="G586" s="87" t="s">
        <v>1409</v>
      </c>
      <c r="H586" s="87">
        <v>1</v>
      </c>
      <c r="I586" s="89"/>
      <c r="J586" s="89"/>
      <c r="K586" s="89" t="s">
        <v>1614</v>
      </c>
      <c r="L586" s="84" t="s">
        <v>1342</v>
      </c>
      <c r="M586" s="88" t="str">
        <f>VLOOKUP(L586,lookups!B:C,2,FALSE)</f>
        <v>John</v>
      </c>
      <c r="N586" s="89" t="str">
        <f>VLOOKUP(K586,TeamLookup[],2,0)</f>
        <v>Cyber</v>
      </c>
      <c r="O586" s="84" t="e">
        <f>VLOOKUP(VALUE($S586),lookups!I:J,2,FALSE)</f>
        <v>#N/A</v>
      </c>
      <c r="P586" s="84" t="e">
        <f>VLOOKUP(VALUE($S586),lookups!F:G,2,FALSE)</f>
        <v>#N/A</v>
      </c>
      <c r="Q586" s="84" t="str">
        <f t="shared" si="36"/>
        <v/>
      </c>
      <c r="R586" s="84">
        <f t="shared" si="37"/>
        <v>245560</v>
      </c>
      <c r="S586" s="84">
        <f t="shared" si="38"/>
        <v>1020011</v>
      </c>
      <c r="T586" s="84">
        <f t="shared" si="39"/>
        <v>1020132</v>
      </c>
    </row>
    <row r="587" spans="1:20" x14ac:dyDescent="0.3">
      <c r="B587" s="84">
        <v>1021011</v>
      </c>
      <c r="C587" s="85">
        <v>1020011</v>
      </c>
      <c r="D587" s="84" t="s">
        <v>6</v>
      </c>
      <c r="E587" s="84" t="s">
        <v>7</v>
      </c>
      <c r="F587" s="86" t="s">
        <v>1574</v>
      </c>
      <c r="G587" s="87" t="s">
        <v>353</v>
      </c>
      <c r="H587" s="87">
        <v>2</v>
      </c>
      <c r="I587" s="84"/>
      <c r="J587" s="84"/>
      <c r="K587" s="84" t="s">
        <v>1614</v>
      </c>
      <c r="L587" s="84" t="s">
        <v>1342</v>
      </c>
      <c r="M587" s="88" t="str">
        <f>VLOOKUP(L587,lookups!B:C,2,FALSE)</f>
        <v>John</v>
      </c>
      <c r="N587" s="89" t="str">
        <f>VLOOKUP(K587,TeamLookup[],2,0)</f>
        <v>Cyber</v>
      </c>
      <c r="O587" s="84" t="e">
        <f>VLOOKUP(VALUE($S587),lookups!I:J,2,FALSE)</f>
        <v>#N/A</v>
      </c>
      <c r="P587" s="84" t="e">
        <f>VLOOKUP(VALUE($S587),lookups!F:G,2,FALSE)</f>
        <v>#N/A</v>
      </c>
      <c r="Q587" s="84" t="str">
        <f t="shared" si="36"/>
        <v/>
      </c>
      <c r="R587" s="84">
        <f t="shared" si="37"/>
        <v>245560</v>
      </c>
      <c r="S587" s="84">
        <f t="shared" si="38"/>
        <v>1020011</v>
      </c>
      <c r="T587" s="84">
        <f t="shared" si="39"/>
        <v>1021011</v>
      </c>
    </row>
    <row r="588" spans="1:20" x14ac:dyDescent="0.3">
      <c r="B588" s="84">
        <v>1020011</v>
      </c>
      <c r="C588" s="85">
        <v>245560</v>
      </c>
      <c r="D588" s="84" t="s">
        <v>24</v>
      </c>
      <c r="E588" s="84" t="s">
        <v>25</v>
      </c>
      <c r="F588" s="86" t="s">
        <v>1582</v>
      </c>
      <c r="G588" s="87" t="s">
        <v>353</v>
      </c>
      <c r="H588" s="87"/>
      <c r="I588" s="89" t="s">
        <v>397</v>
      </c>
      <c r="J588" s="89"/>
      <c r="K588" s="89" t="s">
        <v>1614</v>
      </c>
      <c r="L588" s="84" t="s">
        <v>1342</v>
      </c>
      <c r="M588" s="88" t="str">
        <f>VLOOKUP(L588,lookups!B:C,2,FALSE)</f>
        <v>John</v>
      </c>
      <c r="N588" s="89" t="str">
        <f>VLOOKUP(K588,TeamLookup[],2,0)</f>
        <v>Cyber</v>
      </c>
      <c r="O588" s="84" t="e">
        <f>VLOOKUP(VALUE($S588),lookups!I:J,2,FALSE)</f>
        <v>#N/A</v>
      </c>
      <c r="P588" s="84" t="e">
        <f>VLOOKUP(VALUE($S588),lookups!F:G,2,FALSE)</f>
        <v>#N/A</v>
      </c>
      <c r="Q588" s="84" t="str">
        <f t="shared" si="36"/>
        <v>ParentNotInCyberQuery</v>
      </c>
      <c r="R588" s="84">
        <f t="shared" si="37"/>
        <v>245560</v>
      </c>
      <c r="S588" s="84">
        <f t="shared" si="38"/>
        <v>1020011</v>
      </c>
      <c r="T588" s="84">
        <f t="shared" si="39"/>
        <v>0</v>
      </c>
    </row>
    <row r="589" spans="1:20" x14ac:dyDescent="0.3">
      <c r="B589" s="84">
        <v>350955</v>
      </c>
      <c r="C589" s="85">
        <v>245559</v>
      </c>
      <c r="D589" s="84" t="s">
        <v>697</v>
      </c>
      <c r="E589" s="84" t="s">
        <v>653</v>
      </c>
      <c r="F589" s="86" t="s">
        <v>727</v>
      </c>
      <c r="G589" s="87" t="s">
        <v>442</v>
      </c>
      <c r="H589" s="87"/>
      <c r="I589" s="89"/>
      <c r="J589" s="89"/>
      <c r="K589" s="89" t="s">
        <v>1614</v>
      </c>
      <c r="L589" s="84" t="s">
        <v>128</v>
      </c>
      <c r="M589" s="88" t="str">
        <f>VLOOKUP(L589,lookups!B:C,2,FALSE)</f>
        <v>Brandon E</v>
      </c>
      <c r="N589" s="89" t="str">
        <f>VLOOKUP(K589,TeamLookup[],2,0)</f>
        <v>Cyber</v>
      </c>
      <c r="O589" s="84" t="e">
        <f>VLOOKUP(VALUE($S589),lookups!I:J,2,FALSE)</f>
        <v>#N/A</v>
      </c>
      <c r="P589" s="84" t="e">
        <f>VLOOKUP(VALUE($S589),lookups!F:G,2,FALSE)</f>
        <v>#N/A</v>
      </c>
      <c r="Q589" s="84" t="str">
        <f t="shared" si="36"/>
        <v/>
      </c>
      <c r="R589" s="84">
        <f t="shared" si="37"/>
        <v>350955</v>
      </c>
      <c r="S589" s="84">
        <f t="shared" si="38"/>
        <v>0</v>
      </c>
      <c r="T589" s="84">
        <f t="shared" si="39"/>
        <v>0</v>
      </c>
    </row>
    <row r="590" spans="1:20" ht="28.8" x14ac:dyDescent="0.3">
      <c r="B590" s="84">
        <v>350268</v>
      </c>
      <c r="C590" s="85">
        <v>350955</v>
      </c>
      <c r="D590" s="84" t="s">
        <v>24</v>
      </c>
      <c r="E590" s="84" t="s">
        <v>653</v>
      </c>
      <c r="F590" s="86" t="s">
        <v>729</v>
      </c>
      <c r="G590" s="87" t="s">
        <v>442</v>
      </c>
      <c r="H590" s="87"/>
      <c r="I590" s="89"/>
      <c r="J590" s="89"/>
      <c r="K590" s="89" t="s">
        <v>1620</v>
      </c>
      <c r="L590" s="84" t="s">
        <v>128</v>
      </c>
      <c r="M590" s="88" t="str">
        <f>VLOOKUP(L590,lookups!B:C,2,FALSE)</f>
        <v>Brandon E</v>
      </c>
      <c r="N590" s="89" t="str">
        <f>VLOOKUP(K590,TeamLookup[],2,0)</f>
        <v>Okapi</v>
      </c>
      <c r="O590" s="84" t="e">
        <f>VLOOKUP(VALUE($S590),lookups!I:J,2,FALSE)</f>
        <v>#N/A</v>
      </c>
      <c r="P590" s="84" t="e">
        <f>VLOOKUP(VALUE($S590),lookups!F:G,2,FALSE)</f>
        <v>#N/A</v>
      </c>
      <c r="Q590" s="84" t="str">
        <f t="shared" si="36"/>
        <v>FeatureHasNoStories</v>
      </c>
      <c r="R590" s="84">
        <f t="shared" si="37"/>
        <v>350955</v>
      </c>
      <c r="S590" s="84">
        <f t="shared" si="38"/>
        <v>350268</v>
      </c>
      <c r="T590" s="84">
        <f t="shared" si="39"/>
        <v>0</v>
      </c>
    </row>
    <row r="591" spans="1:20" ht="28.8" x14ac:dyDescent="0.3">
      <c r="B591" s="84">
        <v>351017</v>
      </c>
      <c r="C591" s="85">
        <v>350955</v>
      </c>
      <c r="D591" s="84" t="s">
        <v>24</v>
      </c>
      <c r="E591" s="84" t="s">
        <v>723</v>
      </c>
      <c r="F591" s="86" t="s">
        <v>724</v>
      </c>
      <c r="G591" s="87" t="s">
        <v>442</v>
      </c>
      <c r="H591" s="87"/>
      <c r="I591" s="89"/>
      <c r="J591" s="89"/>
      <c r="K591" s="89" t="s">
        <v>1618</v>
      </c>
      <c r="L591" s="84" t="s">
        <v>128</v>
      </c>
      <c r="M591" s="88" t="str">
        <f>VLOOKUP(L591,lookups!B:C,2,FALSE)</f>
        <v>Brandon E</v>
      </c>
      <c r="N591" s="89" t="str">
        <f>VLOOKUP(K591,TeamLookup[],2,0)</f>
        <v>System Engineering</v>
      </c>
      <c r="O591" s="84" t="e">
        <f>VLOOKUP(VALUE($S591),lookups!I:J,2,FALSE)</f>
        <v>#N/A</v>
      </c>
      <c r="P591" s="84" t="e">
        <f>VLOOKUP(VALUE($S591),lookups!F:G,2,FALSE)</f>
        <v>#N/A</v>
      </c>
      <c r="Q591" s="84" t="str">
        <f t="shared" si="36"/>
        <v>FeatureHasNoStories</v>
      </c>
      <c r="R591" s="84">
        <f t="shared" si="37"/>
        <v>350955</v>
      </c>
      <c r="S591" s="84">
        <f t="shared" si="38"/>
        <v>351017</v>
      </c>
      <c r="T591" s="84">
        <f t="shared" si="39"/>
        <v>0</v>
      </c>
    </row>
    <row r="592" spans="1:20" ht="28.8" x14ac:dyDescent="0.3">
      <c r="B592" s="84">
        <v>351050</v>
      </c>
      <c r="C592" s="85">
        <v>350955</v>
      </c>
      <c r="D592" s="84" t="s">
        <v>24</v>
      </c>
      <c r="E592" s="84" t="s">
        <v>653</v>
      </c>
      <c r="F592" s="86" t="s">
        <v>722</v>
      </c>
      <c r="G592" s="87" t="s">
        <v>442</v>
      </c>
      <c r="H592" s="87"/>
      <c r="I592" s="84"/>
      <c r="J592" s="84"/>
      <c r="K592" s="84" t="s">
        <v>1620</v>
      </c>
      <c r="L592" s="84" t="s">
        <v>128</v>
      </c>
      <c r="M592" s="88" t="str">
        <f>VLOOKUP(L592,lookups!B:C,2,FALSE)</f>
        <v>Brandon E</v>
      </c>
      <c r="N592" s="89" t="str">
        <f>VLOOKUP(K592,TeamLookup[],2,0)</f>
        <v>Okapi</v>
      </c>
      <c r="O592" s="84" t="e">
        <f>VLOOKUP(VALUE($S592),lookups!I:J,2,FALSE)</f>
        <v>#N/A</v>
      </c>
      <c r="P592" s="84" t="e">
        <f>VLOOKUP(VALUE($S592),lookups!F:G,2,FALSE)</f>
        <v>#N/A</v>
      </c>
      <c r="Q592" s="84" t="str">
        <f t="shared" si="36"/>
        <v>FeatureHasNoStories</v>
      </c>
      <c r="R592" s="84">
        <f t="shared" si="37"/>
        <v>350955</v>
      </c>
      <c r="S592" s="84">
        <f t="shared" si="38"/>
        <v>351050</v>
      </c>
      <c r="T592" s="84">
        <f t="shared" si="39"/>
        <v>0</v>
      </c>
    </row>
    <row r="593" spans="2:20" x14ac:dyDescent="0.3">
      <c r="B593" s="84">
        <v>351068</v>
      </c>
      <c r="C593" s="85">
        <v>350955</v>
      </c>
      <c r="D593" s="84" t="s">
        <v>24</v>
      </c>
      <c r="E593" s="84" t="s">
        <v>653</v>
      </c>
      <c r="F593" s="86" t="s">
        <v>721</v>
      </c>
      <c r="G593" s="87" t="s">
        <v>442</v>
      </c>
      <c r="H593" s="87"/>
      <c r="I593" s="84"/>
      <c r="J593" s="84"/>
      <c r="K593" s="84" t="s">
        <v>1620</v>
      </c>
      <c r="L593" s="84" t="s">
        <v>128</v>
      </c>
      <c r="M593" s="88" t="str">
        <f>VLOOKUP(L593,lookups!B:C,2,FALSE)</f>
        <v>Brandon E</v>
      </c>
      <c r="N593" s="89" t="str">
        <f>VLOOKUP(K593,TeamLookup[],2,0)</f>
        <v>Okapi</v>
      </c>
      <c r="O593" s="84" t="e">
        <f>VLOOKUP(VALUE($S593),lookups!I:J,2,FALSE)</f>
        <v>#N/A</v>
      </c>
      <c r="P593" s="84" t="e">
        <f>VLOOKUP(VALUE($S593),lookups!F:G,2,FALSE)</f>
        <v>#N/A</v>
      </c>
      <c r="Q593" s="84" t="str">
        <f t="shared" si="36"/>
        <v>FeatureHasNoStories</v>
      </c>
      <c r="R593" s="84">
        <f t="shared" si="37"/>
        <v>350955</v>
      </c>
      <c r="S593" s="84">
        <f t="shared" si="38"/>
        <v>351068</v>
      </c>
      <c r="T593" s="84">
        <f t="shared" si="39"/>
        <v>0</v>
      </c>
    </row>
    <row r="594" spans="2:20" x14ac:dyDescent="0.3">
      <c r="B594" s="84">
        <v>351070</v>
      </c>
      <c r="C594" s="85">
        <v>350955</v>
      </c>
      <c r="D594" s="84" t="s">
        <v>24</v>
      </c>
      <c r="E594" s="84" t="s">
        <v>653</v>
      </c>
      <c r="F594" s="86" t="s">
        <v>720</v>
      </c>
      <c r="G594" s="87" t="s">
        <v>442</v>
      </c>
      <c r="H594" s="87"/>
      <c r="I594" s="89"/>
      <c r="J594" s="89"/>
      <c r="K594" s="89" t="s">
        <v>1620</v>
      </c>
      <c r="L594" s="84" t="s">
        <v>128</v>
      </c>
      <c r="M594" s="88" t="str">
        <f>VLOOKUP(L594,lookups!B:C,2,FALSE)</f>
        <v>Brandon E</v>
      </c>
      <c r="N594" s="89" t="str">
        <f>VLOOKUP(K594,TeamLookup[],2,0)</f>
        <v>Okapi</v>
      </c>
      <c r="O594" s="84" t="e">
        <f>VLOOKUP(VALUE($S594),lookups!I:J,2,FALSE)</f>
        <v>#N/A</v>
      </c>
      <c r="P594" s="84" t="e">
        <f>VLOOKUP(VALUE($S594),lookups!F:G,2,FALSE)</f>
        <v>#N/A</v>
      </c>
      <c r="Q594" s="84" t="str">
        <f t="shared" si="36"/>
        <v>FeatureHasNoStories</v>
      </c>
      <c r="R594" s="84">
        <f t="shared" si="37"/>
        <v>350955</v>
      </c>
      <c r="S594" s="84">
        <f t="shared" si="38"/>
        <v>351070</v>
      </c>
      <c r="T594" s="84">
        <f t="shared" si="39"/>
        <v>0</v>
      </c>
    </row>
    <row r="595" spans="2:20" x14ac:dyDescent="0.3">
      <c r="B595" s="84">
        <v>351086</v>
      </c>
      <c r="C595" s="85">
        <v>350955</v>
      </c>
      <c r="D595" s="84" t="s">
        <v>24</v>
      </c>
      <c r="E595" s="84" t="s">
        <v>653</v>
      </c>
      <c r="F595" s="86" t="s">
        <v>719</v>
      </c>
      <c r="G595" s="87" t="s">
        <v>442</v>
      </c>
      <c r="H595" s="87"/>
      <c r="I595" s="89"/>
      <c r="J595" s="89"/>
      <c r="K595" s="89" t="s">
        <v>1620</v>
      </c>
      <c r="L595" s="84" t="s">
        <v>128</v>
      </c>
      <c r="M595" s="88" t="str">
        <f>VLOOKUP(L595,lookups!B:C,2,FALSE)</f>
        <v>Brandon E</v>
      </c>
      <c r="N595" s="89" t="str">
        <f>VLOOKUP(K595,TeamLookup[],2,0)</f>
        <v>Okapi</v>
      </c>
      <c r="O595" s="84" t="e">
        <f>VLOOKUP(VALUE($S595),lookups!I:J,2,FALSE)</f>
        <v>#N/A</v>
      </c>
      <c r="P595" s="84" t="e">
        <f>VLOOKUP(VALUE($S595),lookups!F:G,2,FALSE)</f>
        <v>#N/A</v>
      </c>
      <c r="Q595" s="84" t="str">
        <f t="shared" si="36"/>
        <v>FeatureHasNoStories</v>
      </c>
      <c r="R595" s="84">
        <f t="shared" si="37"/>
        <v>350955</v>
      </c>
      <c r="S595" s="84">
        <f t="shared" si="38"/>
        <v>351086</v>
      </c>
      <c r="T595" s="84">
        <f t="shared" si="39"/>
        <v>0</v>
      </c>
    </row>
    <row r="596" spans="2:20" x14ac:dyDescent="0.3">
      <c r="B596" s="84">
        <v>351087</v>
      </c>
      <c r="C596" s="85">
        <v>350955</v>
      </c>
      <c r="D596" s="84" t="s">
        <v>24</v>
      </c>
      <c r="E596" s="84" t="s">
        <v>653</v>
      </c>
      <c r="F596" s="86" t="s">
        <v>718</v>
      </c>
      <c r="G596" s="87" t="s">
        <v>442</v>
      </c>
      <c r="H596" s="87"/>
      <c r="I596" s="84"/>
      <c r="J596" s="84"/>
      <c r="K596" s="84" t="s">
        <v>1620</v>
      </c>
      <c r="L596" s="84" t="s">
        <v>128</v>
      </c>
      <c r="M596" s="88" t="str">
        <f>VLOOKUP(L596,lookups!B:C,2,FALSE)</f>
        <v>Brandon E</v>
      </c>
      <c r="N596" s="89" t="str">
        <f>VLOOKUP(K596,TeamLookup[],2,0)</f>
        <v>Okapi</v>
      </c>
      <c r="O596" s="84" t="e">
        <f>VLOOKUP(VALUE($S596),lookups!I:J,2,FALSE)</f>
        <v>#N/A</v>
      </c>
      <c r="P596" s="84" t="e">
        <f>VLOOKUP(VALUE($S596),lookups!F:G,2,FALSE)</f>
        <v>#N/A</v>
      </c>
      <c r="Q596" s="84" t="str">
        <f t="shared" si="36"/>
        <v>FeatureHasNoStories</v>
      </c>
      <c r="R596" s="84">
        <f t="shared" si="37"/>
        <v>350955</v>
      </c>
      <c r="S596" s="84">
        <f t="shared" si="38"/>
        <v>351087</v>
      </c>
      <c r="T596" s="84">
        <f t="shared" si="39"/>
        <v>0</v>
      </c>
    </row>
    <row r="597" spans="2:20" ht="28.8" x14ac:dyDescent="0.3">
      <c r="B597" s="84">
        <v>351105</v>
      </c>
      <c r="C597" s="85">
        <v>350955</v>
      </c>
      <c r="D597" s="84" t="s">
        <v>24</v>
      </c>
      <c r="E597" s="84" t="s">
        <v>653</v>
      </c>
      <c r="F597" s="86" t="s">
        <v>717</v>
      </c>
      <c r="G597" s="87" t="s">
        <v>442</v>
      </c>
      <c r="H597" s="87"/>
      <c r="I597" s="89"/>
      <c r="J597" s="89"/>
      <c r="K597" s="89" t="s">
        <v>1620</v>
      </c>
      <c r="L597" s="84" t="s">
        <v>128</v>
      </c>
      <c r="M597" s="88" t="str">
        <f>VLOOKUP(L597,lookups!B:C,2,FALSE)</f>
        <v>Brandon E</v>
      </c>
      <c r="N597" s="89" t="str">
        <f>VLOOKUP(K597,TeamLookup[],2,0)</f>
        <v>Okapi</v>
      </c>
      <c r="O597" s="84" t="e">
        <f>VLOOKUP(VALUE($S597),lookups!I:J,2,FALSE)</f>
        <v>#N/A</v>
      </c>
      <c r="P597" s="84" t="e">
        <f>VLOOKUP(VALUE($S597),lookups!F:G,2,FALSE)</f>
        <v>#N/A</v>
      </c>
      <c r="Q597" s="84" t="str">
        <f t="shared" si="36"/>
        <v>FeatureHasNoStories</v>
      </c>
      <c r="R597" s="84">
        <f t="shared" si="37"/>
        <v>350955</v>
      </c>
      <c r="S597" s="84">
        <f t="shared" si="38"/>
        <v>351105</v>
      </c>
      <c r="T597" s="84">
        <f t="shared" si="39"/>
        <v>0</v>
      </c>
    </row>
    <row r="598" spans="2:20" ht="28.8" x14ac:dyDescent="0.3">
      <c r="B598" s="84">
        <v>351109</v>
      </c>
      <c r="C598" s="85">
        <v>350955</v>
      </c>
      <c r="D598" s="84" t="s">
        <v>24</v>
      </c>
      <c r="E598" s="84" t="s">
        <v>653</v>
      </c>
      <c r="F598" s="86" t="s">
        <v>716</v>
      </c>
      <c r="G598" s="87" t="s">
        <v>442</v>
      </c>
      <c r="H598" s="87"/>
      <c r="I598" s="84"/>
      <c r="J598" s="84"/>
      <c r="K598" s="84" t="s">
        <v>1620</v>
      </c>
      <c r="L598" s="84" t="s">
        <v>128</v>
      </c>
      <c r="M598" s="88" t="str">
        <f>VLOOKUP(L598,lookups!B:C,2,FALSE)</f>
        <v>Brandon E</v>
      </c>
      <c r="N598" s="89" t="str">
        <f>VLOOKUP(K598,TeamLookup[],2,0)</f>
        <v>Okapi</v>
      </c>
      <c r="O598" s="84" t="e">
        <f>VLOOKUP(VALUE($S598),lookups!I:J,2,FALSE)</f>
        <v>#N/A</v>
      </c>
      <c r="P598" s="84" t="e">
        <f>VLOOKUP(VALUE($S598),lookups!F:G,2,FALSE)</f>
        <v>#N/A</v>
      </c>
      <c r="Q598" s="84" t="str">
        <f t="shared" si="36"/>
        <v>FeatureHasNoStories</v>
      </c>
      <c r="R598" s="84">
        <f t="shared" si="37"/>
        <v>350955</v>
      </c>
      <c r="S598" s="84">
        <f t="shared" si="38"/>
        <v>351109</v>
      </c>
      <c r="T598" s="84">
        <f t="shared" si="39"/>
        <v>0</v>
      </c>
    </row>
    <row r="599" spans="2:20" ht="28.8" x14ac:dyDescent="0.3">
      <c r="B599" s="84">
        <v>351942</v>
      </c>
      <c r="C599" s="85">
        <v>350955</v>
      </c>
      <c r="D599" s="84" t="s">
        <v>24</v>
      </c>
      <c r="E599" s="84" t="s">
        <v>653</v>
      </c>
      <c r="F599" s="86" t="s">
        <v>715</v>
      </c>
      <c r="G599" s="87" t="s">
        <v>442</v>
      </c>
      <c r="H599" s="87"/>
      <c r="I599" s="84"/>
      <c r="J599" s="84"/>
      <c r="K599" s="84" t="s">
        <v>1620</v>
      </c>
      <c r="L599" s="84" t="s">
        <v>128</v>
      </c>
      <c r="M599" s="88" t="str">
        <f>VLOOKUP(L599,lookups!B:C,2,FALSE)</f>
        <v>Brandon E</v>
      </c>
      <c r="N599" s="89" t="str">
        <f>VLOOKUP(K599,TeamLookup[],2,0)</f>
        <v>Okapi</v>
      </c>
      <c r="O599" s="84" t="e">
        <f>VLOOKUP(VALUE($S599),lookups!I:J,2,FALSE)</f>
        <v>#N/A</v>
      </c>
      <c r="P599" s="84" t="e">
        <f>VLOOKUP(VALUE($S599),lookups!F:G,2,FALSE)</f>
        <v>#N/A</v>
      </c>
      <c r="Q599" s="84" t="str">
        <f t="shared" si="36"/>
        <v>FeatureHasNoStories</v>
      </c>
      <c r="R599" s="84">
        <f t="shared" si="37"/>
        <v>350955</v>
      </c>
      <c r="S599" s="84">
        <f t="shared" si="38"/>
        <v>351942</v>
      </c>
      <c r="T599" s="84">
        <f t="shared" si="39"/>
        <v>0</v>
      </c>
    </row>
    <row r="600" spans="2:20" x14ac:dyDescent="0.3">
      <c r="B600" s="84">
        <v>351945</v>
      </c>
      <c r="C600" s="85">
        <v>351942</v>
      </c>
      <c r="D600" s="84" t="s">
        <v>6</v>
      </c>
      <c r="E600" s="84" t="s">
        <v>7</v>
      </c>
      <c r="F600" s="86" t="s">
        <v>713</v>
      </c>
      <c r="G600" s="87" t="s">
        <v>8</v>
      </c>
      <c r="H600" s="87">
        <v>8</v>
      </c>
      <c r="I600" s="89"/>
      <c r="J600" s="89" t="s">
        <v>714</v>
      </c>
      <c r="K600" s="89" t="s">
        <v>1614</v>
      </c>
      <c r="L600" s="84" t="s">
        <v>8</v>
      </c>
      <c r="M600" s="88" t="str">
        <f>VLOOKUP(L600,lookups!B:C,2,FALSE)</f>
        <v>TBD</v>
      </c>
      <c r="N600" s="89" t="str">
        <f>VLOOKUP(K600,TeamLookup[],2,0)</f>
        <v>Cyber</v>
      </c>
      <c r="O600" s="84" t="e">
        <f>VLOOKUP(VALUE($S600),lookups!I:J,2,FALSE)</f>
        <v>#N/A</v>
      </c>
      <c r="P600" s="84" t="e">
        <f>VLOOKUP(VALUE($S600),lookups!F:G,2,FALSE)</f>
        <v>#N/A</v>
      </c>
      <c r="Q600" s="84" t="str">
        <f t="shared" si="36"/>
        <v/>
      </c>
      <c r="R600" s="84">
        <f t="shared" si="37"/>
        <v>350955</v>
      </c>
      <c r="S600" s="84">
        <f t="shared" si="38"/>
        <v>351942</v>
      </c>
      <c r="T600" s="84">
        <f t="shared" si="39"/>
        <v>351945</v>
      </c>
    </row>
    <row r="601" spans="2:20" ht="28.8" x14ac:dyDescent="0.3">
      <c r="B601" s="84">
        <v>351959</v>
      </c>
      <c r="C601" s="85">
        <v>350955</v>
      </c>
      <c r="D601" s="84" t="s">
        <v>24</v>
      </c>
      <c r="E601" s="84" t="s">
        <v>653</v>
      </c>
      <c r="F601" s="86" t="s">
        <v>712</v>
      </c>
      <c r="G601" s="87" t="s">
        <v>442</v>
      </c>
      <c r="H601" s="87"/>
      <c r="I601" s="89"/>
      <c r="J601" s="89"/>
      <c r="K601" s="89" t="s">
        <v>1620</v>
      </c>
      <c r="L601" s="84" t="s">
        <v>128</v>
      </c>
      <c r="M601" s="88" t="str">
        <f>VLOOKUP(L601,lookups!B:C,2,FALSE)</f>
        <v>Brandon E</v>
      </c>
      <c r="N601" s="89" t="str">
        <f>VLOOKUP(K601,TeamLookup[],2,0)</f>
        <v>Okapi</v>
      </c>
      <c r="O601" s="84" t="e">
        <f>VLOOKUP(VALUE($S601),lookups!I:J,2,FALSE)</f>
        <v>#N/A</v>
      </c>
      <c r="P601" s="84" t="e">
        <f>VLOOKUP(VALUE($S601),lookups!F:G,2,FALSE)</f>
        <v>#N/A</v>
      </c>
      <c r="Q601" s="84" t="str">
        <f t="shared" si="36"/>
        <v>FeatureHasNoStories</v>
      </c>
      <c r="R601" s="84">
        <f t="shared" si="37"/>
        <v>350955</v>
      </c>
      <c r="S601" s="84">
        <f t="shared" si="38"/>
        <v>351959</v>
      </c>
      <c r="T601" s="84">
        <f t="shared" si="39"/>
        <v>0</v>
      </c>
    </row>
    <row r="602" spans="2:20" x14ac:dyDescent="0.3">
      <c r="B602" s="88">
        <v>351962</v>
      </c>
      <c r="C602" s="92">
        <v>351959</v>
      </c>
      <c r="D602" s="88" t="s">
        <v>6</v>
      </c>
      <c r="E602" s="84" t="s">
        <v>7</v>
      </c>
      <c r="F602" s="91" t="s">
        <v>710</v>
      </c>
      <c r="G602" s="119" t="s">
        <v>8</v>
      </c>
      <c r="H602" s="93">
        <v>8</v>
      </c>
      <c r="I602" s="95"/>
      <c r="J602" s="95" t="s">
        <v>711</v>
      </c>
      <c r="K602" s="95" t="s">
        <v>1614</v>
      </c>
      <c r="L602" s="88" t="s">
        <v>8</v>
      </c>
      <c r="M602" s="88" t="str">
        <f>VLOOKUP(L602,lookups!B:C,2,FALSE)</f>
        <v>TBD</v>
      </c>
      <c r="N602" s="89" t="str">
        <f>VLOOKUP(K602,TeamLookup[],2,0)</f>
        <v>Cyber</v>
      </c>
      <c r="O602" s="84" t="e">
        <f>VLOOKUP(VALUE($S602),lookups!I:J,2,FALSE)</f>
        <v>#N/A</v>
      </c>
      <c r="P602" s="84" t="e">
        <f>VLOOKUP(VALUE($S602),lookups!F:G,2,FALSE)</f>
        <v>#N/A</v>
      </c>
      <c r="Q602" s="84" t="str">
        <f t="shared" si="36"/>
        <v/>
      </c>
      <c r="R602" s="84">
        <f t="shared" si="37"/>
        <v>350955</v>
      </c>
      <c r="S602" s="84">
        <f t="shared" si="38"/>
        <v>351959</v>
      </c>
      <c r="T602" s="84">
        <f t="shared" si="39"/>
        <v>351962</v>
      </c>
    </row>
    <row r="603" spans="2:20" ht="28.8" x14ac:dyDescent="0.3">
      <c r="B603" s="84">
        <v>351977</v>
      </c>
      <c r="C603" s="85">
        <v>350955</v>
      </c>
      <c r="D603" s="84" t="s">
        <v>24</v>
      </c>
      <c r="E603" s="84" t="s">
        <v>653</v>
      </c>
      <c r="F603" s="86" t="s">
        <v>709</v>
      </c>
      <c r="G603" s="119" t="s">
        <v>442</v>
      </c>
      <c r="H603" s="87"/>
      <c r="I603" s="89"/>
      <c r="J603" s="89"/>
      <c r="K603" s="89" t="s">
        <v>1620</v>
      </c>
      <c r="L603" s="84" t="s">
        <v>128</v>
      </c>
      <c r="M603" s="88" t="str">
        <f>VLOOKUP(L603,lookups!B:C,2,FALSE)</f>
        <v>Brandon E</v>
      </c>
      <c r="N603" s="89" t="str">
        <f>VLOOKUP(K603,TeamLookup[],2,0)</f>
        <v>Okapi</v>
      </c>
      <c r="O603" s="84" t="e">
        <f>VLOOKUP(VALUE($S603),lookups!I:J,2,FALSE)</f>
        <v>#N/A</v>
      </c>
      <c r="P603" s="84" t="e">
        <f>VLOOKUP(VALUE($S603),lookups!F:G,2,FALSE)</f>
        <v>#N/A</v>
      </c>
      <c r="Q603" s="84" t="str">
        <f t="shared" si="36"/>
        <v>FeatureHasNoStories</v>
      </c>
      <c r="R603" s="84">
        <f t="shared" si="37"/>
        <v>350955</v>
      </c>
      <c r="S603" s="84">
        <f t="shared" si="38"/>
        <v>351977</v>
      </c>
      <c r="T603" s="84">
        <f t="shared" si="39"/>
        <v>0</v>
      </c>
    </row>
    <row r="604" spans="2:20" x14ac:dyDescent="0.3">
      <c r="B604" s="84">
        <v>351980</v>
      </c>
      <c r="C604" s="85">
        <v>351977</v>
      </c>
      <c r="D604" s="84" t="s">
        <v>6</v>
      </c>
      <c r="E604" s="84" t="s">
        <v>7</v>
      </c>
      <c r="F604" s="86" t="s">
        <v>707</v>
      </c>
      <c r="G604" s="87" t="s">
        <v>8</v>
      </c>
      <c r="H604" s="87">
        <v>8</v>
      </c>
      <c r="I604" s="89"/>
      <c r="J604" s="89" t="s">
        <v>708</v>
      </c>
      <c r="K604" s="89" t="s">
        <v>1614</v>
      </c>
      <c r="L604" s="84" t="s">
        <v>8</v>
      </c>
      <c r="M604" s="88" t="str">
        <f>VLOOKUP(L604,lookups!B:C,2,FALSE)</f>
        <v>TBD</v>
      </c>
      <c r="N604" s="89" t="str">
        <f>VLOOKUP(K604,TeamLookup[],2,0)</f>
        <v>Cyber</v>
      </c>
      <c r="O604" s="84" t="e">
        <f>VLOOKUP(VALUE($S604),lookups!I:J,2,FALSE)</f>
        <v>#N/A</v>
      </c>
      <c r="P604" s="84" t="e">
        <f>VLOOKUP(VALUE($S604),lookups!F:G,2,FALSE)</f>
        <v>#N/A</v>
      </c>
      <c r="Q604" s="84" t="str">
        <f t="shared" si="36"/>
        <v/>
      </c>
      <c r="R604" s="84">
        <f t="shared" si="37"/>
        <v>350955</v>
      </c>
      <c r="S604" s="84">
        <f t="shared" si="38"/>
        <v>351977</v>
      </c>
      <c r="T604" s="84">
        <f t="shared" si="39"/>
        <v>351980</v>
      </c>
    </row>
    <row r="605" spans="2:20" ht="28.8" x14ac:dyDescent="0.3">
      <c r="B605" s="84">
        <v>351997</v>
      </c>
      <c r="C605" s="85">
        <v>350955</v>
      </c>
      <c r="D605" s="84" t="s">
        <v>24</v>
      </c>
      <c r="E605" s="84" t="s">
        <v>653</v>
      </c>
      <c r="F605" s="86" t="s">
        <v>706</v>
      </c>
      <c r="G605" s="87" t="s">
        <v>442</v>
      </c>
      <c r="H605" s="87"/>
      <c r="I605" s="89"/>
      <c r="J605" s="89"/>
      <c r="K605" s="89" t="s">
        <v>1620</v>
      </c>
      <c r="L605" s="84" t="s">
        <v>128</v>
      </c>
      <c r="M605" s="88" t="str">
        <f>VLOOKUP(L605,lookups!B:C,2,FALSE)</f>
        <v>Brandon E</v>
      </c>
      <c r="N605" s="89" t="str">
        <f>VLOOKUP(K605,TeamLookup[],2,0)</f>
        <v>Okapi</v>
      </c>
      <c r="O605" s="84" t="e">
        <f>VLOOKUP(VALUE($S605),lookups!I:J,2,FALSE)</f>
        <v>#N/A</v>
      </c>
      <c r="P605" s="84" t="e">
        <f>VLOOKUP(VALUE($S605),lookups!F:G,2,FALSE)</f>
        <v>#N/A</v>
      </c>
      <c r="Q605" s="84" t="str">
        <f t="shared" si="36"/>
        <v>FeatureHasNoStories</v>
      </c>
      <c r="R605" s="84">
        <f t="shared" si="37"/>
        <v>350955</v>
      </c>
      <c r="S605" s="84">
        <f t="shared" si="38"/>
        <v>351997</v>
      </c>
      <c r="T605" s="84">
        <f t="shared" si="39"/>
        <v>0</v>
      </c>
    </row>
    <row r="606" spans="2:20" x14ac:dyDescent="0.3">
      <c r="B606" s="84">
        <v>352000</v>
      </c>
      <c r="C606" s="85">
        <v>351997</v>
      </c>
      <c r="D606" s="84" t="s">
        <v>6</v>
      </c>
      <c r="E606" s="84" t="s">
        <v>7</v>
      </c>
      <c r="F606" s="86" t="s">
        <v>704</v>
      </c>
      <c r="G606" s="87" t="s">
        <v>8</v>
      </c>
      <c r="H606" s="87">
        <v>8</v>
      </c>
      <c r="I606" s="84"/>
      <c r="J606" s="84" t="s">
        <v>705</v>
      </c>
      <c r="K606" s="84" t="s">
        <v>1614</v>
      </c>
      <c r="L606" s="84" t="s">
        <v>8</v>
      </c>
      <c r="M606" s="88" t="str">
        <f>VLOOKUP(L606,lookups!B:C,2,FALSE)</f>
        <v>TBD</v>
      </c>
      <c r="N606" s="89" t="str">
        <f>VLOOKUP(K606,TeamLookup[],2,0)</f>
        <v>Cyber</v>
      </c>
      <c r="O606" s="84" t="e">
        <f>VLOOKUP(VALUE($S606),lookups!I:J,2,FALSE)</f>
        <v>#N/A</v>
      </c>
      <c r="P606" s="84" t="e">
        <f>VLOOKUP(VALUE($S606),lookups!F:G,2,FALSE)</f>
        <v>#N/A</v>
      </c>
      <c r="Q606" s="84" t="str">
        <f t="shared" si="36"/>
        <v/>
      </c>
      <c r="R606" s="84">
        <f t="shared" si="37"/>
        <v>350955</v>
      </c>
      <c r="S606" s="84">
        <f t="shared" si="38"/>
        <v>351997</v>
      </c>
      <c r="T606" s="84">
        <f t="shared" si="39"/>
        <v>352000</v>
      </c>
    </row>
    <row r="607" spans="2:20" x14ac:dyDescent="0.3">
      <c r="B607" s="84">
        <v>352189</v>
      </c>
      <c r="C607" s="85">
        <v>350955</v>
      </c>
      <c r="D607" s="84" t="s">
        <v>24</v>
      </c>
      <c r="E607" s="84" t="s">
        <v>653</v>
      </c>
      <c r="F607" s="86" t="s">
        <v>703</v>
      </c>
      <c r="G607" s="87" t="s">
        <v>442</v>
      </c>
      <c r="H607" s="87"/>
      <c r="I607" s="89"/>
      <c r="J607" s="89"/>
      <c r="K607" s="89" t="s">
        <v>1620</v>
      </c>
      <c r="L607" s="84" t="s">
        <v>128</v>
      </c>
      <c r="M607" s="88" t="str">
        <f>VLOOKUP(L607,lookups!B:C,2,FALSE)</f>
        <v>Brandon E</v>
      </c>
      <c r="N607" s="89" t="str">
        <f>VLOOKUP(K607,TeamLookup[],2,0)</f>
        <v>Okapi</v>
      </c>
      <c r="O607" s="84" t="e">
        <f>VLOOKUP(VALUE($S607),lookups!I:J,2,FALSE)</f>
        <v>#N/A</v>
      </c>
      <c r="P607" s="84" t="e">
        <f>VLOOKUP(VALUE($S607),lookups!F:G,2,FALSE)</f>
        <v>#N/A</v>
      </c>
      <c r="Q607" s="84" t="str">
        <f t="shared" si="36"/>
        <v>FeatureHasNoStories</v>
      </c>
      <c r="R607" s="84">
        <f t="shared" si="37"/>
        <v>350955</v>
      </c>
      <c r="S607" s="84">
        <f t="shared" si="38"/>
        <v>352189</v>
      </c>
      <c r="T607" s="84">
        <f t="shared" si="39"/>
        <v>0</v>
      </c>
    </row>
    <row r="608" spans="2:20" x14ac:dyDescent="0.3">
      <c r="B608" s="84">
        <v>352192</v>
      </c>
      <c r="C608" s="85">
        <v>352189</v>
      </c>
      <c r="D608" s="84" t="s">
        <v>6</v>
      </c>
      <c r="E608" s="84" t="s">
        <v>7</v>
      </c>
      <c r="F608" s="86" t="s">
        <v>701</v>
      </c>
      <c r="G608" s="87" t="s">
        <v>8</v>
      </c>
      <c r="H608" s="87">
        <v>8</v>
      </c>
      <c r="I608" s="89"/>
      <c r="J608" s="89" t="s">
        <v>702</v>
      </c>
      <c r="K608" s="89" t="s">
        <v>1614</v>
      </c>
      <c r="L608" s="84" t="s">
        <v>8</v>
      </c>
      <c r="M608" s="88" t="str">
        <f>VLOOKUP(L608,lookups!B:C,2,FALSE)</f>
        <v>TBD</v>
      </c>
      <c r="N608" s="89" t="str">
        <f>VLOOKUP(K608,TeamLookup[],2,0)</f>
        <v>Cyber</v>
      </c>
      <c r="O608" s="84" t="e">
        <f>VLOOKUP(VALUE($S608),lookups!I:J,2,FALSE)</f>
        <v>#N/A</v>
      </c>
      <c r="P608" s="84" t="e">
        <f>VLOOKUP(VALUE($S608),lookups!F:G,2,FALSE)</f>
        <v>#N/A</v>
      </c>
      <c r="Q608" s="84" t="str">
        <f t="shared" si="36"/>
        <v/>
      </c>
      <c r="R608" s="84">
        <f t="shared" si="37"/>
        <v>350955</v>
      </c>
      <c r="S608" s="84">
        <f t="shared" si="38"/>
        <v>352189</v>
      </c>
      <c r="T608" s="84">
        <f t="shared" si="39"/>
        <v>352192</v>
      </c>
    </row>
    <row r="609" spans="1:22" x14ac:dyDescent="0.3">
      <c r="A609" s="96"/>
      <c r="B609" s="84">
        <v>352941</v>
      </c>
      <c r="C609" s="85">
        <v>245559</v>
      </c>
      <c r="D609" s="84" t="s">
        <v>697</v>
      </c>
      <c r="E609" s="84" t="s">
        <v>653</v>
      </c>
      <c r="F609" s="86" t="s">
        <v>699</v>
      </c>
      <c r="G609" s="87" t="s">
        <v>8</v>
      </c>
      <c r="H609" s="87"/>
      <c r="I609" s="84"/>
      <c r="J609" s="84"/>
      <c r="K609" s="84" t="s">
        <v>1614</v>
      </c>
      <c r="L609" s="84" t="s">
        <v>108</v>
      </c>
      <c r="M609" s="88" t="str">
        <f>VLOOKUP(L609,lookups!B:C,2,FALSE)</f>
        <v>Conan</v>
      </c>
      <c r="N609" s="89" t="str">
        <f>VLOOKUP(K609,TeamLookup[],2,0)</f>
        <v>Cyber</v>
      </c>
      <c r="O609" s="84" t="e">
        <f>VLOOKUP(VALUE($S609),lookups!I:J,2,FALSE)</f>
        <v>#N/A</v>
      </c>
      <c r="P609" s="84" t="e">
        <f>VLOOKUP(VALUE($S609),lookups!F:G,2,FALSE)</f>
        <v>#N/A</v>
      </c>
      <c r="Q609" s="84" t="str">
        <f t="shared" si="36"/>
        <v/>
      </c>
      <c r="R609" s="84">
        <f t="shared" si="37"/>
        <v>352941</v>
      </c>
      <c r="S609" s="84">
        <f t="shared" si="38"/>
        <v>0</v>
      </c>
      <c r="T609" s="84">
        <f t="shared" si="39"/>
        <v>0</v>
      </c>
    </row>
    <row r="610" spans="1:22" x14ac:dyDescent="0.3">
      <c r="B610" s="84">
        <v>352942</v>
      </c>
      <c r="C610" s="85">
        <v>245559</v>
      </c>
      <c r="D610" s="84" t="s">
        <v>697</v>
      </c>
      <c r="E610" s="84" t="s">
        <v>653</v>
      </c>
      <c r="F610" s="86" t="s">
        <v>698</v>
      </c>
      <c r="G610" s="87" t="s">
        <v>8</v>
      </c>
      <c r="H610" s="87"/>
      <c r="I610" s="89"/>
      <c r="J610" s="89"/>
      <c r="K610" s="89" t="s">
        <v>1614</v>
      </c>
      <c r="L610" s="84" t="s">
        <v>108</v>
      </c>
      <c r="M610" s="88" t="str">
        <f>VLOOKUP(L610,lookups!B:C,2,FALSE)</f>
        <v>Conan</v>
      </c>
      <c r="N610" s="89" t="str">
        <f>VLOOKUP(K610,TeamLookup[],2,0)</f>
        <v>Cyber</v>
      </c>
      <c r="O610" s="84" t="e">
        <f>VLOOKUP(VALUE($S610),lookups!I:J,2,FALSE)</f>
        <v>#N/A</v>
      </c>
      <c r="P610" s="84" t="e">
        <f>VLOOKUP(VALUE($S610),lookups!F:G,2,FALSE)</f>
        <v>#N/A</v>
      </c>
      <c r="Q610" s="84" t="str">
        <f t="shared" si="36"/>
        <v/>
      </c>
      <c r="R610" s="84">
        <f t="shared" si="37"/>
        <v>352942</v>
      </c>
      <c r="S610" s="84">
        <f t="shared" si="38"/>
        <v>0</v>
      </c>
      <c r="T610" s="84">
        <f t="shared" si="39"/>
        <v>0</v>
      </c>
    </row>
    <row r="611" spans="1:22" x14ac:dyDescent="0.3">
      <c r="A611" s="96"/>
      <c r="B611" s="84">
        <v>376260</v>
      </c>
      <c r="C611" s="85">
        <v>385655</v>
      </c>
      <c r="D611" s="84" t="s">
        <v>344</v>
      </c>
      <c r="E611" s="84" t="s">
        <v>345</v>
      </c>
      <c r="F611" s="86" t="s">
        <v>557</v>
      </c>
      <c r="G611" s="87" t="s">
        <v>444</v>
      </c>
      <c r="H611" s="87"/>
      <c r="I611" s="84"/>
      <c r="J611" s="84"/>
      <c r="K611" s="84" t="s">
        <v>1614</v>
      </c>
      <c r="L611" s="84" t="s">
        <v>1342</v>
      </c>
      <c r="M611" s="88" t="str">
        <f>VLOOKUP(L611,lookups!B:C,2,FALSE)</f>
        <v>John</v>
      </c>
      <c r="N611" s="89" t="str">
        <f>VLOOKUP(K611,TeamLookup[],2,0)</f>
        <v>Cyber</v>
      </c>
      <c r="O611" s="84" t="e">
        <f>VLOOKUP(VALUE($S611),lookups!I:J,2,FALSE)</f>
        <v>#N/A</v>
      </c>
      <c r="P611" s="84" t="e">
        <f>VLOOKUP(VALUE($S611),lookups!F:G,2,FALSE)</f>
        <v>#N/A</v>
      </c>
      <c r="Q611" s="84" t="str">
        <f t="shared" si="36"/>
        <v/>
      </c>
      <c r="R611" s="84">
        <f t="shared" si="37"/>
        <v>360670</v>
      </c>
      <c r="S611" s="84">
        <f t="shared" si="38"/>
        <v>385655</v>
      </c>
      <c r="T611" s="84">
        <f t="shared" si="39"/>
        <v>376260</v>
      </c>
    </row>
    <row r="612" spans="1:22" x14ac:dyDescent="0.3">
      <c r="B612" s="84">
        <v>1022362</v>
      </c>
      <c r="C612" s="85">
        <v>1022167</v>
      </c>
      <c r="D612" s="84" t="s">
        <v>697</v>
      </c>
      <c r="E612" s="84" t="s">
        <v>1302</v>
      </c>
      <c r="F612" s="86" t="s">
        <v>1630</v>
      </c>
      <c r="G612" s="87" t="s">
        <v>353</v>
      </c>
      <c r="H612" s="87"/>
      <c r="I612" s="89"/>
      <c r="J612" s="89"/>
      <c r="K612" s="89" t="s">
        <v>1614</v>
      </c>
      <c r="L612" s="84" t="s">
        <v>1631</v>
      </c>
      <c r="M612" s="88" t="e">
        <f>VLOOKUP(L612,lookups!B:C,2,FALSE)</f>
        <v>#N/A</v>
      </c>
      <c r="N612" s="89" t="str">
        <f>VLOOKUP(K612,TeamLookup[],2,0)</f>
        <v>Cyber</v>
      </c>
      <c r="O612" s="84" t="e">
        <f>VLOOKUP(VALUE($S612),lookups!I:J,2,FALSE)</f>
        <v>#N/A</v>
      </c>
      <c r="P612" s="84" t="e">
        <f>VLOOKUP(VALUE($S612),lookups!F:G,2,FALSE)</f>
        <v>#N/A</v>
      </c>
      <c r="Q612" s="84" t="str">
        <f t="shared" si="36"/>
        <v/>
      </c>
      <c r="R612" s="84">
        <f t="shared" si="37"/>
        <v>1022362</v>
      </c>
      <c r="S612" s="84">
        <f t="shared" si="38"/>
        <v>0</v>
      </c>
      <c r="T612" s="84">
        <f t="shared" si="39"/>
        <v>0</v>
      </c>
    </row>
    <row r="613" spans="1:22" x14ac:dyDescent="0.3">
      <c r="B613" s="84">
        <v>1022870</v>
      </c>
      <c r="C613" s="85">
        <v>1022362</v>
      </c>
      <c r="D613" s="84" t="s">
        <v>24</v>
      </c>
      <c r="E613" s="84" t="s">
        <v>25</v>
      </c>
      <c r="F613" s="86" t="s">
        <v>1629</v>
      </c>
      <c r="G613" s="87" t="s">
        <v>1583</v>
      </c>
      <c r="H613" s="87"/>
      <c r="I613" s="84" t="s">
        <v>48</v>
      </c>
      <c r="J613" s="84"/>
      <c r="K613" s="84" t="s">
        <v>1680</v>
      </c>
      <c r="L613" s="84" t="s">
        <v>1631</v>
      </c>
      <c r="M613" s="88" t="e">
        <f>VLOOKUP(L613,lookups!B:C,2,FALSE)</f>
        <v>#N/A</v>
      </c>
      <c r="N613" s="89" t="e">
        <f>VLOOKUP(K613,TeamLookup[],2,0)</f>
        <v>#N/A</v>
      </c>
      <c r="O613" s="84" t="e">
        <f>VLOOKUP(VALUE($S613),lookups!I:J,2,FALSE)</f>
        <v>#N/A</v>
      </c>
      <c r="P613" s="84" t="e">
        <f>VLOOKUP(VALUE($S613),lookups!F:G,2,FALSE)</f>
        <v>#N/A</v>
      </c>
      <c r="Q613" s="84" t="str">
        <f t="shared" si="36"/>
        <v>FeatureHasNoStories</v>
      </c>
      <c r="R613" s="84">
        <f t="shared" si="37"/>
        <v>1022362</v>
      </c>
      <c r="S613" s="84">
        <f t="shared" si="38"/>
        <v>1022870</v>
      </c>
      <c r="T613" s="84">
        <f t="shared" si="39"/>
        <v>0</v>
      </c>
    </row>
    <row r="614" spans="1:22" x14ac:dyDescent="0.3">
      <c r="B614" s="84">
        <v>1023321</v>
      </c>
      <c r="C614" s="85">
        <v>1022319</v>
      </c>
      <c r="D614" s="84" t="s">
        <v>6</v>
      </c>
      <c r="E614" s="84" t="s">
        <v>7</v>
      </c>
      <c r="F614" s="86" t="s">
        <v>1644</v>
      </c>
      <c r="G614" s="87" t="s">
        <v>353</v>
      </c>
      <c r="H614" s="87">
        <v>1</v>
      </c>
      <c r="I614" s="89"/>
      <c r="J614" s="89"/>
      <c r="K614" s="89" t="s">
        <v>1616</v>
      </c>
      <c r="L614" s="84" t="s">
        <v>1485</v>
      </c>
      <c r="M614" s="88" t="e">
        <f>VLOOKUP(L614,lookups!B:C,2,FALSE)</f>
        <v>#N/A</v>
      </c>
      <c r="N614" s="89" t="str">
        <f>VLOOKUP(K614,TeamLookup[],2,0)</f>
        <v>Magic</v>
      </c>
      <c r="O614" s="84" t="e">
        <f>VLOOKUP(VALUE($S614),lookups!I:J,2,FALSE)</f>
        <v>#N/A</v>
      </c>
      <c r="P614" s="84" t="e">
        <f>VLOOKUP(VALUE($S614),lookups!F:G,2,FALSE)</f>
        <v>#N/A</v>
      </c>
      <c r="Q614" s="84" t="str">
        <f t="shared" si="36"/>
        <v/>
      </c>
      <c r="R614" s="84">
        <f t="shared" si="37"/>
        <v>1022688</v>
      </c>
      <c r="S614" s="84">
        <f t="shared" si="38"/>
        <v>1022319</v>
      </c>
      <c r="T614" s="84">
        <f t="shared" si="39"/>
        <v>1023321</v>
      </c>
    </row>
    <row r="615" spans="1:22" x14ac:dyDescent="0.3">
      <c r="B615" s="84">
        <v>1023320</v>
      </c>
      <c r="C615" s="85">
        <v>1022319</v>
      </c>
      <c r="D615" s="84" t="s">
        <v>6</v>
      </c>
      <c r="E615" s="84" t="s">
        <v>7</v>
      </c>
      <c r="F615" s="86" t="s">
        <v>1645</v>
      </c>
      <c r="G615" s="87" t="s">
        <v>353</v>
      </c>
      <c r="H615" s="87">
        <v>1</v>
      </c>
      <c r="I615" s="84"/>
      <c r="J615" s="84"/>
      <c r="K615" s="84" t="s">
        <v>1646</v>
      </c>
      <c r="L615" s="84" t="s">
        <v>1647</v>
      </c>
      <c r="M615" s="88" t="e">
        <f>VLOOKUP(L615,lookups!B:C,2,FALSE)</f>
        <v>#N/A</v>
      </c>
      <c r="N615" s="89" t="e">
        <f>VLOOKUP(K615,TeamLookup[],2,0)</f>
        <v>#N/A</v>
      </c>
      <c r="O615" s="84" t="e">
        <f>VLOOKUP(VALUE($S615),lookups!I:J,2,FALSE)</f>
        <v>#N/A</v>
      </c>
      <c r="P615" s="84" t="e">
        <f>VLOOKUP(VALUE($S615),lookups!F:G,2,FALSE)</f>
        <v>#N/A</v>
      </c>
      <c r="Q615" s="84" t="str">
        <f t="shared" si="36"/>
        <v/>
      </c>
      <c r="R615" s="84">
        <f t="shared" si="37"/>
        <v>1022688</v>
      </c>
      <c r="S615" s="84">
        <f t="shared" si="38"/>
        <v>1022319</v>
      </c>
      <c r="T615" s="84">
        <f t="shared" si="39"/>
        <v>1023320</v>
      </c>
    </row>
    <row r="616" spans="1:22" x14ac:dyDescent="0.3">
      <c r="B616" s="84">
        <v>1023317</v>
      </c>
      <c r="C616" s="85">
        <v>1022319</v>
      </c>
      <c r="D616" s="84" t="s">
        <v>6</v>
      </c>
      <c r="E616" s="84" t="s">
        <v>7</v>
      </c>
      <c r="F616" s="86" t="s">
        <v>1648</v>
      </c>
      <c r="G616" s="87" t="s">
        <v>353</v>
      </c>
      <c r="H616" s="87">
        <v>5</v>
      </c>
      <c r="I616" s="84"/>
      <c r="J616" s="84"/>
      <c r="K616" s="84" t="s">
        <v>1616</v>
      </c>
      <c r="L616" s="84" t="s">
        <v>1485</v>
      </c>
      <c r="M616" s="88" t="e">
        <f>VLOOKUP(L616,lookups!B:C,2,FALSE)</f>
        <v>#N/A</v>
      </c>
      <c r="N616" s="89" t="str">
        <f>VLOOKUP(K616,TeamLookup[],2,0)</f>
        <v>Magic</v>
      </c>
      <c r="O616" s="84" t="e">
        <f>VLOOKUP(VALUE($S616),lookups!I:J,2,FALSE)</f>
        <v>#N/A</v>
      </c>
      <c r="P616" s="84" t="e">
        <f>VLOOKUP(VALUE($S616),lookups!F:G,2,FALSE)</f>
        <v>#N/A</v>
      </c>
      <c r="Q616" s="84" t="str">
        <f t="shared" si="36"/>
        <v/>
      </c>
      <c r="R616" s="84">
        <f t="shared" si="37"/>
        <v>1022688</v>
      </c>
      <c r="S616" s="84">
        <f t="shared" si="38"/>
        <v>1022319</v>
      </c>
      <c r="T616" s="84">
        <f t="shared" si="39"/>
        <v>1023317</v>
      </c>
    </row>
    <row r="617" spans="1:22" x14ac:dyDescent="0.3">
      <c r="B617" s="84">
        <v>1023316</v>
      </c>
      <c r="C617" s="85">
        <v>1022319</v>
      </c>
      <c r="D617" s="84" t="s">
        <v>6</v>
      </c>
      <c r="E617" s="84" t="s">
        <v>7</v>
      </c>
      <c r="F617" s="86" t="s">
        <v>1649</v>
      </c>
      <c r="G617" s="87" t="s">
        <v>353</v>
      </c>
      <c r="H617" s="87">
        <v>5</v>
      </c>
      <c r="I617" s="89"/>
      <c r="J617" s="89"/>
      <c r="K617" s="89" t="s">
        <v>1646</v>
      </c>
      <c r="L617" s="84" t="s">
        <v>1647</v>
      </c>
      <c r="M617" s="88" t="e">
        <f>VLOOKUP(L617,lookups!B:C,2,FALSE)</f>
        <v>#N/A</v>
      </c>
      <c r="N617" s="89" t="e">
        <f>VLOOKUP(K617,TeamLookup[],2,0)</f>
        <v>#N/A</v>
      </c>
      <c r="O617" s="84" t="e">
        <f>VLOOKUP(VALUE($S617),lookups!I:J,2,FALSE)</f>
        <v>#N/A</v>
      </c>
      <c r="P617" s="84" t="e">
        <f>VLOOKUP(VALUE($S617),lookups!F:G,2,FALSE)</f>
        <v>#N/A</v>
      </c>
      <c r="Q617" s="84" t="str">
        <f t="shared" si="36"/>
        <v/>
      </c>
      <c r="R617" s="84">
        <f t="shared" si="37"/>
        <v>1022688</v>
      </c>
      <c r="S617" s="84">
        <f t="shared" si="38"/>
        <v>1022319</v>
      </c>
      <c r="T617" s="84">
        <f t="shared" si="39"/>
        <v>1023316</v>
      </c>
    </row>
    <row r="618" spans="1:22" x14ac:dyDescent="0.3">
      <c r="B618" s="84">
        <v>1023314</v>
      </c>
      <c r="C618" s="85">
        <v>1022319</v>
      </c>
      <c r="D618" s="84" t="s">
        <v>6</v>
      </c>
      <c r="E618" s="84" t="s">
        <v>7</v>
      </c>
      <c r="F618" s="86" t="s">
        <v>1650</v>
      </c>
      <c r="G618" s="87" t="s">
        <v>353</v>
      </c>
      <c r="H618" s="87">
        <v>8</v>
      </c>
      <c r="I618" s="89"/>
      <c r="J618" s="89"/>
      <c r="K618" s="89" t="s">
        <v>1616</v>
      </c>
      <c r="L618" s="84" t="s">
        <v>1485</v>
      </c>
      <c r="M618" s="88" t="e">
        <f>VLOOKUP(L618,lookups!B:C,2,FALSE)</f>
        <v>#N/A</v>
      </c>
      <c r="N618" s="89" t="str">
        <f>VLOOKUP(K618,TeamLookup[],2,0)</f>
        <v>Magic</v>
      </c>
      <c r="O618" s="84" t="e">
        <f>VLOOKUP(VALUE($S618),lookups!I:J,2,FALSE)</f>
        <v>#N/A</v>
      </c>
      <c r="P618" s="84" t="e">
        <f>VLOOKUP(VALUE($S618),lookups!F:G,2,FALSE)</f>
        <v>#N/A</v>
      </c>
      <c r="Q618" s="84" t="str">
        <f t="shared" si="36"/>
        <v/>
      </c>
      <c r="R618" s="84">
        <f t="shared" si="37"/>
        <v>1022688</v>
      </c>
      <c r="S618" s="84">
        <f t="shared" si="38"/>
        <v>1022319</v>
      </c>
      <c r="T618" s="84">
        <f t="shared" si="39"/>
        <v>1023314</v>
      </c>
    </row>
    <row r="619" spans="1:22" x14ac:dyDescent="0.3">
      <c r="B619" s="84">
        <v>1023313</v>
      </c>
      <c r="C619" s="85">
        <v>1022319</v>
      </c>
      <c r="D619" s="84" t="s">
        <v>6</v>
      </c>
      <c r="E619" s="84" t="s">
        <v>7</v>
      </c>
      <c r="F619" s="86" t="s">
        <v>1651</v>
      </c>
      <c r="G619" s="87" t="s">
        <v>353</v>
      </c>
      <c r="H619" s="87">
        <v>8</v>
      </c>
      <c r="I619" s="84"/>
      <c r="J619" s="84"/>
      <c r="K619" s="84" t="s">
        <v>1646</v>
      </c>
      <c r="L619" s="84" t="s">
        <v>1647</v>
      </c>
      <c r="M619" s="88" t="e">
        <f>VLOOKUP(L619,lookups!B:C,2,FALSE)</f>
        <v>#N/A</v>
      </c>
      <c r="N619" s="89" t="e">
        <f>VLOOKUP(K619,TeamLookup[],2,0)</f>
        <v>#N/A</v>
      </c>
      <c r="O619" s="84" t="e">
        <f>VLOOKUP(VALUE($S619),lookups!I:J,2,FALSE)</f>
        <v>#N/A</v>
      </c>
      <c r="P619" s="84" t="e">
        <f>VLOOKUP(VALUE($S619),lookups!F:G,2,FALSE)</f>
        <v>#N/A</v>
      </c>
      <c r="Q619" s="84" t="str">
        <f t="shared" si="36"/>
        <v/>
      </c>
      <c r="R619" s="84">
        <f t="shared" si="37"/>
        <v>1022688</v>
      </c>
      <c r="S619" s="84">
        <f t="shared" si="38"/>
        <v>1022319</v>
      </c>
      <c r="T619" s="84">
        <f t="shared" si="39"/>
        <v>1023313</v>
      </c>
    </row>
    <row r="620" spans="1:22" x14ac:dyDescent="0.3">
      <c r="B620" s="84">
        <v>1023311</v>
      </c>
      <c r="C620" s="85">
        <v>1022319</v>
      </c>
      <c r="D620" s="84" t="s">
        <v>6</v>
      </c>
      <c r="E620" s="84" t="s">
        <v>7</v>
      </c>
      <c r="F620" s="86" t="s">
        <v>1652</v>
      </c>
      <c r="G620" s="87" t="s">
        <v>353</v>
      </c>
      <c r="H620" s="87">
        <v>1</v>
      </c>
      <c r="I620" s="89"/>
      <c r="J620" s="89"/>
      <c r="K620" s="89" t="s">
        <v>1653</v>
      </c>
      <c r="L620" s="84" t="s">
        <v>66</v>
      </c>
      <c r="M620" s="88" t="str">
        <f>VLOOKUP(L620,lookups!B:C,2,FALSE)</f>
        <v>Michael V</v>
      </c>
      <c r="N620" s="89" t="e">
        <f>VLOOKUP(K620,TeamLookup[],2,0)</f>
        <v>#N/A</v>
      </c>
      <c r="O620" s="84" t="e">
        <f>VLOOKUP(VALUE($S620),lookups!I:J,2,FALSE)</f>
        <v>#N/A</v>
      </c>
      <c r="P620" s="84" t="e">
        <f>VLOOKUP(VALUE($S620),lookups!F:G,2,FALSE)</f>
        <v>#N/A</v>
      </c>
      <c r="Q620" s="84" t="str">
        <f t="shared" si="36"/>
        <v/>
      </c>
      <c r="R620" s="84">
        <f t="shared" si="37"/>
        <v>1022688</v>
      </c>
      <c r="S620" s="84">
        <f t="shared" si="38"/>
        <v>1022319</v>
      </c>
      <c r="T620" s="84">
        <f t="shared" si="39"/>
        <v>1023311</v>
      </c>
    </row>
    <row r="621" spans="1:22" x14ac:dyDescent="0.3">
      <c r="B621" s="84">
        <v>1023310</v>
      </c>
      <c r="C621" s="85">
        <v>1022319</v>
      </c>
      <c r="D621" s="84" t="s">
        <v>6</v>
      </c>
      <c r="E621" s="84" t="s">
        <v>7</v>
      </c>
      <c r="F621" s="86" t="s">
        <v>1654</v>
      </c>
      <c r="G621" s="87" t="s">
        <v>353</v>
      </c>
      <c r="H621" s="87">
        <v>5</v>
      </c>
      <c r="I621" s="89"/>
      <c r="J621" s="89"/>
      <c r="K621" s="89" t="s">
        <v>1653</v>
      </c>
      <c r="L621" s="84" t="s">
        <v>66</v>
      </c>
      <c r="M621" s="88" t="str">
        <f>VLOOKUP(L621,lookups!B:C,2,FALSE)</f>
        <v>Michael V</v>
      </c>
      <c r="N621" s="89" t="e">
        <f>VLOOKUP(K621,TeamLookup[],2,0)</f>
        <v>#N/A</v>
      </c>
      <c r="O621" s="84" t="e">
        <f>VLOOKUP(VALUE($S621),lookups!I:J,2,FALSE)</f>
        <v>#N/A</v>
      </c>
      <c r="P621" s="84" t="e">
        <f>VLOOKUP(VALUE($S621),lookups!F:G,2,FALSE)</f>
        <v>#N/A</v>
      </c>
      <c r="Q621" s="84" t="str">
        <f t="shared" si="36"/>
        <v/>
      </c>
      <c r="R621" s="84">
        <f t="shared" si="37"/>
        <v>1022688</v>
      </c>
      <c r="S621" s="84">
        <f t="shared" si="38"/>
        <v>1022319</v>
      </c>
      <c r="T621" s="84">
        <f t="shared" si="39"/>
        <v>1023310</v>
      </c>
    </row>
    <row r="622" spans="1:22" x14ac:dyDescent="0.3">
      <c r="B622" s="84">
        <v>1023309</v>
      </c>
      <c r="C622" s="85">
        <v>1022319</v>
      </c>
      <c r="D622" s="84" t="s">
        <v>6</v>
      </c>
      <c r="E622" s="84" t="s">
        <v>7</v>
      </c>
      <c r="F622" s="86" t="s">
        <v>1655</v>
      </c>
      <c r="G622" s="87" t="s">
        <v>353</v>
      </c>
      <c r="H622" s="87">
        <v>8</v>
      </c>
      <c r="I622" s="84"/>
      <c r="J622" s="84"/>
      <c r="K622" s="84" t="s">
        <v>1653</v>
      </c>
      <c r="L622" s="84" t="s">
        <v>66</v>
      </c>
      <c r="M622" s="88" t="str">
        <f>VLOOKUP(L622,lookups!B:C,2,FALSE)</f>
        <v>Michael V</v>
      </c>
      <c r="N622" s="89" t="e">
        <f>VLOOKUP(K622,TeamLookup[],2,0)</f>
        <v>#N/A</v>
      </c>
      <c r="O622" s="84" t="e">
        <f>VLOOKUP(VALUE($S622),lookups!I:J,2,FALSE)</f>
        <v>#N/A</v>
      </c>
      <c r="P622" s="84" t="e">
        <f>VLOOKUP(VALUE($S622),lookups!F:G,2,FALSE)</f>
        <v>#N/A</v>
      </c>
      <c r="Q622" s="84" t="str">
        <f t="shared" si="36"/>
        <v/>
      </c>
      <c r="R622" s="84">
        <f t="shared" si="37"/>
        <v>1022688</v>
      </c>
      <c r="S622" s="84">
        <f t="shared" si="38"/>
        <v>1022319</v>
      </c>
      <c r="T622" s="84">
        <f t="shared" si="39"/>
        <v>1023309</v>
      </c>
    </row>
    <row r="623" spans="1:22" x14ac:dyDescent="0.3">
      <c r="A623" s="96"/>
      <c r="B623" s="84">
        <v>1022322</v>
      </c>
      <c r="C623" s="85">
        <v>1022319</v>
      </c>
      <c r="D623" s="84" t="s">
        <v>6</v>
      </c>
      <c r="E623" s="84" t="s">
        <v>7</v>
      </c>
      <c r="F623" s="86" t="s">
        <v>1656</v>
      </c>
      <c r="G623" s="87" t="s">
        <v>353</v>
      </c>
      <c r="H623" s="87">
        <v>1</v>
      </c>
      <c r="I623" s="89"/>
      <c r="J623" s="89"/>
      <c r="K623" s="89" t="s">
        <v>1616</v>
      </c>
      <c r="L623" s="84" t="s">
        <v>1657</v>
      </c>
      <c r="M623" s="88" t="e">
        <f>VLOOKUP(L623,lookups!B:C,2,FALSE)</f>
        <v>#N/A</v>
      </c>
      <c r="N623" s="89" t="str">
        <f>VLOOKUP(K623,TeamLookup[],2,0)</f>
        <v>Magic</v>
      </c>
      <c r="O623" s="84" t="e">
        <f>VLOOKUP(VALUE($S623),lookups!I:J,2,FALSE)</f>
        <v>#N/A</v>
      </c>
      <c r="P623" s="84" t="e">
        <f>VLOOKUP(VALUE($S623),lookups!F:G,2,FALSE)</f>
        <v>#N/A</v>
      </c>
      <c r="Q623" s="84" t="str">
        <f t="shared" si="36"/>
        <v/>
      </c>
      <c r="R623" s="84">
        <f t="shared" si="37"/>
        <v>1022688</v>
      </c>
      <c r="S623" s="84">
        <f t="shared" si="38"/>
        <v>1022319</v>
      </c>
      <c r="T623" s="84">
        <f t="shared" si="39"/>
        <v>1022322</v>
      </c>
      <c r="V623" s="94"/>
    </row>
    <row r="624" spans="1:22" x14ac:dyDescent="0.3">
      <c r="B624" s="84">
        <v>1022321</v>
      </c>
      <c r="C624" s="85">
        <v>1022319</v>
      </c>
      <c r="D624" s="84" t="s">
        <v>6</v>
      </c>
      <c r="E624" s="84" t="s">
        <v>7</v>
      </c>
      <c r="F624" s="86" t="s">
        <v>1658</v>
      </c>
      <c r="G624" s="87" t="s">
        <v>353</v>
      </c>
      <c r="H624" s="87">
        <v>5</v>
      </c>
      <c r="I624" s="89"/>
      <c r="J624" s="89"/>
      <c r="K624" s="89" t="s">
        <v>1616</v>
      </c>
      <c r="L624" s="84" t="s">
        <v>1657</v>
      </c>
      <c r="M624" s="88" t="e">
        <f>VLOOKUP(L624,lookups!B:C,2,FALSE)</f>
        <v>#N/A</v>
      </c>
      <c r="N624" s="89" t="str">
        <f>VLOOKUP(K624,TeamLookup[],2,0)</f>
        <v>Magic</v>
      </c>
      <c r="O624" s="84" t="e">
        <f>VLOOKUP(VALUE($S624),lookups!I:J,2,FALSE)</f>
        <v>#N/A</v>
      </c>
      <c r="P624" s="84" t="e">
        <f>VLOOKUP(VALUE($S624),lookups!F:G,2,FALSE)</f>
        <v>#N/A</v>
      </c>
      <c r="Q624" s="84" t="str">
        <f t="shared" si="36"/>
        <v/>
      </c>
      <c r="R624" s="84">
        <f t="shared" si="37"/>
        <v>1022688</v>
      </c>
      <c r="S624" s="84">
        <f t="shared" si="38"/>
        <v>1022319</v>
      </c>
      <c r="T624" s="84">
        <f t="shared" si="39"/>
        <v>1022321</v>
      </c>
    </row>
    <row r="625" spans="1:20" x14ac:dyDescent="0.3">
      <c r="B625" s="84">
        <v>1022320</v>
      </c>
      <c r="C625" s="85">
        <v>1022319</v>
      </c>
      <c r="D625" s="84" t="s">
        <v>6</v>
      </c>
      <c r="E625" s="84" t="s">
        <v>7</v>
      </c>
      <c r="F625" s="86" t="s">
        <v>1659</v>
      </c>
      <c r="G625" s="87" t="s">
        <v>353</v>
      </c>
      <c r="H625" s="87">
        <v>8</v>
      </c>
      <c r="I625" s="89"/>
      <c r="J625" s="89"/>
      <c r="K625" s="89" t="s">
        <v>1616</v>
      </c>
      <c r="L625" s="84" t="s">
        <v>1657</v>
      </c>
      <c r="M625" s="88" t="e">
        <f>VLOOKUP(L625,lookups!B:C,2,FALSE)</f>
        <v>#N/A</v>
      </c>
      <c r="N625" s="89" t="str">
        <f>VLOOKUP(K625,TeamLookup[],2,0)</f>
        <v>Magic</v>
      </c>
      <c r="O625" s="84" t="e">
        <f>VLOOKUP(VALUE($S625),lookups!I:J,2,FALSE)</f>
        <v>#N/A</v>
      </c>
      <c r="P625" s="84" t="e">
        <f>VLOOKUP(VALUE($S625),lookups!F:G,2,FALSE)</f>
        <v>#N/A</v>
      </c>
      <c r="Q625" s="84" t="str">
        <f t="shared" si="36"/>
        <v/>
      </c>
      <c r="R625" s="84">
        <f t="shared" si="37"/>
        <v>1022688</v>
      </c>
      <c r="S625" s="84">
        <f t="shared" si="38"/>
        <v>1022319</v>
      </c>
      <c r="T625" s="84">
        <f t="shared" si="39"/>
        <v>1022320</v>
      </c>
    </row>
    <row r="626" spans="1:20" x14ac:dyDescent="0.3">
      <c r="B626" s="88">
        <v>1022319</v>
      </c>
      <c r="C626" s="85">
        <v>1022688</v>
      </c>
      <c r="D626" s="84" t="s">
        <v>24</v>
      </c>
      <c r="E626" s="88" t="s">
        <v>25</v>
      </c>
      <c r="F626" s="91" t="s">
        <v>1632</v>
      </c>
      <c r="G626" s="87" t="s">
        <v>1583</v>
      </c>
      <c r="H626" s="87"/>
      <c r="I626" s="89" t="s">
        <v>48</v>
      </c>
      <c r="J626" s="89"/>
      <c r="K626" s="89" t="s">
        <v>1614</v>
      </c>
      <c r="L626" s="84" t="s">
        <v>129</v>
      </c>
      <c r="M626" s="88" t="str">
        <f>VLOOKUP(L626,lookups!B:C,2,FALSE)</f>
        <v>Derek</v>
      </c>
      <c r="N626" s="89" t="str">
        <f>VLOOKUP(K626,TeamLookup[],2,0)</f>
        <v>Cyber</v>
      </c>
      <c r="O626" s="84" t="e">
        <f>VLOOKUP(VALUE($S626),lookups!I:J,2,FALSE)</f>
        <v>#N/A</v>
      </c>
      <c r="P626" s="84" t="e">
        <f>VLOOKUP(VALUE($S626),lookups!F:G,2,FALSE)</f>
        <v>#N/A</v>
      </c>
      <c r="Q626" s="84" t="str">
        <f t="shared" si="36"/>
        <v>ParentNotInCyberQuery</v>
      </c>
      <c r="R626" s="84">
        <f t="shared" si="37"/>
        <v>1022688</v>
      </c>
      <c r="S626" s="84">
        <f t="shared" si="38"/>
        <v>1022319</v>
      </c>
      <c r="T626" s="84">
        <f t="shared" si="39"/>
        <v>0</v>
      </c>
    </row>
    <row r="627" spans="1:20" x14ac:dyDescent="0.3">
      <c r="B627" s="84">
        <v>1023427</v>
      </c>
      <c r="C627" s="85">
        <v>1023424</v>
      </c>
      <c r="D627" s="84" t="s">
        <v>6</v>
      </c>
      <c r="E627" s="84" t="s">
        <v>7</v>
      </c>
      <c r="F627" s="86" t="s">
        <v>1622</v>
      </c>
      <c r="G627" s="87" t="s">
        <v>1388</v>
      </c>
      <c r="H627" s="87">
        <v>1</v>
      </c>
      <c r="I627" s="89"/>
      <c r="J627" s="89"/>
      <c r="K627" s="89" t="s">
        <v>1624</v>
      </c>
      <c r="L627" s="84" t="s">
        <v>8</v>
      </c>
      <c r="M627" s="88" t="str">
        <f>VLOOKUP(L627,lookups!B:C,2,FALSE)</f>
        <v>TBD</v>
      </c>
      <c r="N627" s="89" t="e">
        <f>VLOOKUP(K627,TeamLookup[],2,0)</f>
        <v>#N/A</v>
      </c>
      <c r="O627" s="84" t="e">
        <f>VLOOKUP(VALUE($S627),lookups!I:J,2,FALSE)</f>
        <v>#N/A</v>
      </c>
      <c r="P627" s="84" t="e">
        <f>VLOOKUP(VALUE($S627),lookups!F:G,2,FALSE)</f>
        <v>#N/A</v>
      </c>
      <c r="Q627" s="84" t="str">
        <f t="shared" si="36"/>
        <v/>
      </c>
      <c r="R627" s="84">
        <f t="shared" si="37"/>
        <v>1022688</v>
      </c>
      <c r="S627" s="84">
        <f t="shared" si="38"/>
        <v>1023424</v>
      </c>
      <c r="T627" s="84">
        <f t="shared" si="39"/>
        <v>1023427</v>
      </c>
    </row>
    <row r="628" spans="1:20" x14ac:dyDescent="0.3">
      <c r="A628" s="96"/>
      <c r="B628" s="84">
        <v>1023426</v>
      </c>
      <c r="C628" s="85">
        <v>1023424</v>
      </c>
      <c r="D628" s="84" t="s">
        <v>6</v>
      </c>
      <c r="E628" s="84" t="s">
        <v>7</v>
      </c>
      <c r="F628" s="86" t="s">
        <v>1625</v>
      </c>
      <c r="G628" s="87" t="s">
        <v>1388</v>
      </c>
      <c r="H628" s="87">
        <v>5</v>
      </c>
      <c r="I628" s="89"/>
      <c r="J628" s="89"/>
      <c r="K628" s="89" t="s">
        <v>1624</v>
      </c>
      <c r="L628" s="84" t="s">
        <v>8</v>
      </c>
      <c r="M628" s="88" t="str">
        <f>VLOOKUP(L628,lookups!B:C,2,FALSE)</f>
        <v>TBD</v>
      </c>
      <c r="N628" s="89" t="e">
        <f>VLOOKUP(K628,TeamLookup[],2,0)</f>
        <v>#N/A</v>
      </c>
      <c r="O628" s="84" t="e">
        <f>VLOOKUP(VALUE($S628),lookups!I:J,2,FALSE)</f>
        <v>#N/A</v>
      </c>
      <c r="P628" s="84" t="e">
        <f>VLOOKUP(VALUE($S628),lookups!F:G,2,FALSE)</f>
        <v>#N/A</v>
      </c>
      <c r="Q628" s="84" t="str">
        <f t="shared" si="36"/>
        <v/>
      </c>
      <c r="R628" s="84">
        <f t="shared" si="37"/>
        <v>1022688</v>
      </c>
      <c r="S628" s="84">
        <f t="shared" si="38"/>
        <v>1023424</v>
      </c>
      <c r="T628" s="84">
        <f t="shared" si="39"/>
        <v>1023426</v>
      </c>
    </row>
    <row r="629" spans="1:20" x14ac:dyDescent="0.3">
      <c r="A629" s="96"/>
      <c r="B629" s="84">
        <v>1023425</v>
      </c>
      <c r="C629" s="85">
        <v>1023424</v>
      </c>
      <c r="D629" s="84" t="s">
        <v>6</v>
      </c>
      <c r="E629" s="84" t="s">
        <v>7</v>
      </c>
      <c r="F629" s="86" t="s">
        <v>1606</v>
      </c>
      <c r="G629" s="87" t="s">
        <v>1388</v>
      </c>
      <c r="H629" s="87">
        <v>8</v>
      </c>
      <c r="I629" s="89"/>
      <c r="J629" s="89"/>
      <c r="K629" s="89" t="s">
        <v>1624</v>
      </c>
      <c r="L629" s="84" t="s">
        <v>8</v>
      </c>
      <c r="M629" s="88" t="str">
        <f>VLOOKUP(L629,lookups!B:C,2,FALSE)</f>
        <v>TBD</v>
      </c>
      <c r="N629" s="89" t="e">
        <f>VLOOKUP(K629,TeamLookup[],2,0)</f>
        <v>#N/A</v>
      </c>
      <c r="O629" s="84" t="e">
        <f>VLOOKUP(VALUE($S629),lookups!I:J,2,FALSE)</f>
        <v>#N/A</v>
      </c>
      <c r="P629" s="84" t="e">
        <f>VLOOKUP(VALUE($S629),lookups!F:G,2,FALSE)</f>
        <v>#N/A</v>
      </c>
      <c r="Q629" s="84" t="str">
        <f t="shared" si="36"/>
        <v/>
      </c>
      <c r="R629" s="84">
        <f t="shared" si="37"/>
        <v>1022688</v>
      </c>
      <c r="S629" s="84">
        <f t="shared" si="38"/>
        <v>1023424</v>
      </c>
      <c r="T629" s="84">
        <f t="shared" si="39"/>
        <v>1023425</v>
      </c>
    </row>
    <row r="630" spans="1:20" x14ac:dyDescent="0.3">
      <c r="A630" s="135" t="s">
        <v>144</v>
      </c>
      <c r="B630" s="84">
        <v>1023424</v>
      </c>
      <c r="C630" s="85">
        <v>1022688</v>
      </c>
      <c r="D630" s="84" t="s">
        <v>24</v>
      </c>
      <c r="E630" s="84" t="s">
        <v>653</v>
      </c>
      <c r="F630" s="86" t="s">
        <v>1627</v>
      </c>
      <c r="G630" s="87" t="s">
        <v>1388</v>
      </c>
      <c r="H630" s="87"/>
      <c r="I630" s="84"/>
      <c r="J630" s="84"/>
      <c r="K630" s="84" t="s">
        <v>1614</v>
      </c>
      <c r="L630" s="84" t="s">
        <v>129</v>
      </c>
      <c r="M630" s="88" t="str">
        <f>VLOOKUP(L630,lookups!B:C,2,FALSE)</f>
        <v>Derek</v>
      </c>
      <c r="N630" s="89" t="str">
        <f>VLOOKUP(K630,TeamLookup[],2,0)</f>
        <v>Cyber</v>
      </c>
      <c r="O630" s="84" t="e">
        <f>VLOOKUP(VALUE($S630),lookups!I:J,2,FALSE)</f>
        <v>#N/A</v>
      </c>
      <c r="P630" s="84" t="e">
        <f>VLOOKUP(VALUE($S630),lookups!F:G,2,FALSE)</f>
        <v>#N/A</v>
      </c>
      <c r="Q630" s="84" t="str">
        <f t="shared" si="36"/>
        <v>ParentNotInCyberQuery</v>
      </c>
      <c r="R630" s="84">
        <f t="shared" si="37"/>
        <v>1022688</v>
      </c>
      <c r="S630" s="84">
        <f t="shared" si="38"/>
        <v>1023424</v>
      </c>
      <c r="T630" s="84">
        <f t="shared" si="39"/>
        <v>0</v>
      </c>
    </row>
    <row r="631" spans="1:20" x14ac:dyDescent="0.3">
      <c r="B631" s="84">
        <v>1023431</v>
      </c>
      <c r="C631" s="85">
        <v>1023428</v>
      </c>
      <c r="D631" s="84" t="s">
        <v>6</v>
      </c>
      <c r="E631" s="84" t="s">
        <v>7</v>
      </c>
      <c r="F631" s="86" t="s">
        <v>1622</v>
      </c>
      <c r="G631" s="87" t="s">
        <v>1623</v>
      </c>
      <c r="H631" s="87">
        <v>1</v>
      </c>
      <c r="I631" s="89"/>
      <c r="J631" s="89"/>
      <c r="K631" s="89" t="s">
        <v>1624</v>
      </c>
      <c r="L631" s="84" t="s">
        <v>8</v>
      </c>
      <c r="M631" s="88" t="str">
        <f>VLOOKUP(L631,lookups!B:C,2,FALSE)</f>
        <v>TBD</v>
      </c>
      <c r="N631" s="89" t="e">
        <f>VLOOKUP(K631,TeamLookup[],2,0)</f>
        <v>#N/A</v>
      </c>
      <c r="O631" s="84" t="e">
        <f>VLOOKUP(VALUE($S631),lookups!I:J,2,FALSE)</f>
        <v>#N/A</v>
      </c>
      <c r="P631" s="84" t="e">
        <f>VLOOKUP(VALUE($S631),lookups!F:G,2,FALSE)</f>
        <v>#N/A</v>
      </c>
      <c r="Q631" s="84" t="str">
        <f t="shared" si="36"/>
        <v/>
      </c>
      <c r="R631" s="84">
        <f t="shared" si="37"/>
        <v>1022688</v>
      </c>
      <c r="S631" s="84">
        <f t="shared" si="38"/>
        <v>1023428</v>
      </c>
      <c r="T631" s="84">
        <f t="shared" si="39"/>
        <v>1023431</v>
      </c>
    </row>
    <row r="632" spans="1:20" x14ac:dyDescent="0.3">
      <c r="B632" s="84">
        <v>1023430</v>
      </c>
      <c r="C632" s="85">
        <v>1023428</v>
      </c>
      <c r="D632" s="84" t="s">
        <v>6</v>
      </c>
      <c r="E632" s="84" t="s">
        <v>7</v>
      </c>
      <c r="F632" s="86" t="s">
        <v>1625</v>
      </c>
      <c r="G632" s="87" t="s">
        <v>1623</v>
      </c>
      <c r="H632" s="87">
        <v>5</v>
      </c>
      <c r="I632" s="84"/>
      <c r="J632" s="84"/>
      <c r="K632" s="84" t="s">
        <v>1624</v>
      </c>
      <c r="L632" s="84" t="s">
        <v>8</v>
      </c>
      <c r="M632" s="88" t="str">
        <f>VLOOKUP(L632,lookups!B:C,2,FALSE)</f>
        <v>TBD</v>
      </c>
      <c r="N632" s="89" t="e">
        <f>VLOOKUP(K632,TeamLookup[],2,0)</f>
        <v>#N/A</v>
      </c>
      <c r="O632" s="84" t="e">
        <f>VLOOKUP(VALUE($S632),lookups!I:J,2,FALSE)</f>
        <v>#N/A</v>
      </c>
      <c r="P632" s="84" t="e">
        <f>VLOOKUP(VALUE($S632),lookups!F:G,2,FALSE)</f>
        <v>#N/A</v>
      </c>
      <c r="Q632" s="84" t="str">
        <f t="shared" si="36"/>
        <v/>
      </c>
      <c r="R632" s="84">
        <f t="shared" si="37"/>
        <v>1022688</v>
      </c>
      <c r="S632" s="84">
        <f t="shared" si="38"/>
        <v>1023428</v>
      </c>
      <c r="T632" s="84">
        <f t="shared" si="39"/>
        <v>1023430</v>
      </c>
    </row>
    <row r="633" spans="1:20" x14ac:dyDescent="0.3">
      <c r="B633" s="84">
        <v>1023429</v>
      </c>
      <c r="C633" s="85">
        <v>1023428</v>
      </c>
      <c r="D633" s="84" t="s">
        <v>6</v>
      </c>
      <c r="E633" s="84" t="s">
        <v>7</v>
      </c>
      <c r="F633" s="86" t="s">
        <v>1606</v>
      </c>
      <c r="G633" s="87" t="s">
        <v>1623</v>
      </c>
      <c r="H633" s="87">
        <v>8</v>
      </c>
      <c r="I633" s="84"/>
      <c r="J633" s="84"/>
      <c r="K633" s="84" t="s">
        <v>1624</v>
      </c>
      <c r="L633" s="84" t="s">
        <v>8</v>
      </c>
      <c r="M633" s="88" t="str">
        <f>VLOOKUP(L633,lookups!B:C,2,FALSE)</f>
        <v>TBD</v>
      </c>
      <c r="N633" s="89" t="e">
        <f>VLOOKUP(K633,TeamLookup[],2,0)</f>
        <v>#N/A</v>
      </c>
      <c r="O633" s="84" t="e">
        <f>VLOOKUP(VALUE($S633),lookups!I:J,2,FALSE)</f>
        <v>#N/A</v>
      </c>
      <c r="P633" s="84" t="e">
        <f>VLOOKUP(VALUE($S633),lookups!F:G,2,FALSE)</f>
        <v>#N/A</v>
      </c>
      <c r="Q633" s="84" t="str">
        <f t="shared" si="36"/>
        <v/>
      </c>
      <c r="R633" s="84">
        <f t="shared" si="37"/>
        <v>1022688</v>
      </c>
      <c r="S633" s="84">
        <f t="shared" si="38"/>
        <v>1023428</v>
      </c>
      <c r="T633" s="84">
        <f t="shared" si="39"/>
        <v>1023429</v>
      </c>
    </row>
    <row r="634" spans="1:20" x14ac:dyDescent="0.3">
      <c r="A634" s="96"/>
      <c r="B634" s="84">
        <v>1023428</v>
      </c>
      <c r="C634" s="85">
        <v>1022688</v>
      </c>
      <c r="D634" s="84" t="s">
        <v>24</v>
      </c>
      <c r="E634" s="84" t="s">
        <v>653</v>
      </c>
      <c r="F634" s="86" t="s">
        <v>1626</v>
      </c>
      <c r="G634" s="87" t="s">
        <v>1623</v>
      </c>
      <c r="H634" s="87"/>
      <c r="I634" s="84"/>
      <c r="J634" s="84"/>
      <c r="K634" s="84" t="s">
        <v>1614</v>
      </c>
      <c r="L634" s="84" t="s">
        <v>129</v>
      </c>
      <c r="M634" s="88" t="str">
        <f>VLOOKUP(L634,lookups!B:C,2,FALSE)</f>
        <v>Derek</v>
      </c>
      <c r="N634" s="89" t="str">
        <f>VLOOKUP(K634,TeamLookup[],2,0)</f>
        <v>Cyber</v>
      </c>
      <c r="O634" s="84" t="e">
        <f>VLOOKUP(VALUE($S634),lookups!I:J,2,FALSE)</f>
        <v>#N/A</v>
      </c>
      <c r="P634" s="84" t="e">
        <f>VLOOKUP(VALUE($S634),lookups!F:G,2,FALSE)</f>
        <v>#N/A</v>
      </c>
      <c r="Q634" s="84" t="str">
        <f t="shared" si="36"/>
        <v>ParentNotInCyberQuery</v>
      </c>
      <c r="R634" s="84">
        <f t="shared" si="37"/>
        <v>1022688</v>
      </c>
      <c r="S634" s="84">
        <f t="shared" si="38"/>
        <v>1023428</v>
      </c>
      <c r="T634" s="84">
        <f t="shared" si="39"/>
        <v>0</v>
      </c>
    </row>
    <row r="635" spans="1:20" ht="28.8" x14ac:dyDescent="0.3">
      <c r="A635" s="96"/>
      <c r="B635" s="84">
        <v>339792</v>
      </c>
      <c r="C635" s="85">
        <v>216473</v>
      </c>
      <c r="D635" s="84" t="s">
        <v>6</v>
      </c>
      <c r="E635" s="84" t="s">
        <v>7</v>
      </c>
      <c r="F635" s="86" t="s">
        <v>751</v>
      </c>
      <c r="G635" s="87" t="s">
        <v>442</v>
      </c>
      <c r="H635" s="87">
        <v>5</v>
      </c>
      <c r="I635" s="84"/>
      <c r="J635" s="84" t="s">
        <v>752</v>
      </c>
      <c r="K635" s="84" t="s">
        <v>1614</v>
      </c>
      <c r="L635" s="84" t="s">
        <v>8</v>
      </c>
      <c r="M635" s="88" t="str">
        <f>VLOOKUP(L635,lookups!B:C,2,FALSE)</f>
        <v>TBD</v>
      </c>
      <c r="N635" s="89" t="str">
        <f>VLOOKUP(K635,TeamLookup[],2,0)</f>
        <v>Cyber</v>
      </c>
      <c r="O635" s="84" t="e">
        <f>VLOOKUP(VALUE($S635),lookups!I:J,2,FALSE)</f>
        <v>#N/A</v>
      </c>
      <c r="P635" s="84" t="e">
        <f>VLOOKUP(VALUE($S635),lookups!F:G,2,FALSE)</f>
        <v>#N/A</v>
      </c>
      <c r="Q635" s="84" t="str">
        <f t="shared" si="36"/>
        <v>ParentNotInCyberQuery</v>
      </c>
      <c r="R635" s="84" t="str">
        <f t="shared" si="37"/>
        <v>MT</v>
      </c>
      <c r="S635" s="84">
        <f t="shared" si="38"/>
        <v>216473</v>
      </c>
      <c r="T635" s="84">
        <f t="shared" si="39"/>
        <v>339792</v>
      </c>
    </row>
    <row r="636" spans="1:20" ht="28.8" x14ac:dyDescent="0.3">
      <c r="A636" s="96"/>
      <c r="B636" s="84">
        <v>339789</v>
      </c>
      <c r="C636" s="85">
        <v>216473</v>
      </c>
      <c r="D636" s="84" t="s">
        <v>6</v>
      </c>
      <c r="E636" s="84" t="s">
        <v>7</v>
      </c>
      <c r="F636" s="86" t="s">
        <v>753</v>
      </c>
      <c r="G636" s="87" t="s">
        <v>442</v>
      </c>
      <c r="H636" s="87">
        <v>8</v>
      </c>
      <c r="I636" s="89"/>
      <c r="J636" s="89" t="s">
        <v>754</v>
      </c>
      <c r="K636" s="89" t="s">
        <v>1614</v>
      </c>
      <c r="L636" s="84" t="s">
        <v>8</v>
      </c>
      <c r="M636" s="88" t="str">
        <f>VLOOKUP(L636,lookups!B:C,2,FALSE)</f>
        <v>TBD</v>
      </c>
      <c r="N636" s="89" t="str">
        <f>VLOOKUP(K636,TeamLookup[],2,0)</f>
        <v>Cyber</v>
      </c>
      <c r="O636" s="84" t="e">
        <f>VLOOKUP(VALUE($S636),lookups!I:J,2,FALSE)</f>
        <v>#N/A</v>
      </c>
      <c r="P636" s="84" t="e">
        <f>VLOOKUP(VALUE($S636),lookups!F:G,2,FALSE)</f>
        <v>#N/A</v>
      </c>
      <c r="Q636" s="84" t="str">
        <f t="shared" si="36"/>
        <v>ParentNotInCyberQuery</v>
      </c>
      <c r="R636" s="84" t="str">
        <f t="shared" si="37"/>
        <v>MT</v>
      </c>
      <c r="S636" s="84">
        <f t="shared" si="38"/>
        <v>216473</v>
      </c>
      <c r="T636" s="84">
        <f t="shared" si="39"/>
        <v>339789</v>
      </c>
    </row>
    <row r="637" spans="1:20" ht="28.8" x14ac:dyDescent="0.3">
      <c r="A637" s="96"/>
      <c r="B637" s="84">
        <v>339787</v>
      </c>
      <c r="C637" s="85">
        <v>216473</v>
      </c>
      <c r="D637" s="84" t="s">
        <v>6</v>
      </c>
      <c r="E637" s="84" t="s">
        <v>7</v>
      </c>
      <c r="F637" s="86" t="s">
        <v>755</v>
      </c>
      <c r="G637" s="87" t="s">
        <v>442</v>
      </c>
      <c r="H637" s="87">
        <v>2</v>
      </c>
      <c r="I637" s="89"/>
      <c r="J637" s="89"/>
      <c r="K637" s="89" t="s">
        <v>1614</v>
      </c>
      <c r="L637" s="84" t="s">
        <v>8</v>
      </c>
      <c r="M637" s="88" t="str">
        <f>VLOOKUP(L637,lookups!B:C,2,FALSE)</f>
        <v>TBD</v>
      </c>
      <c r="N637" s="89" t="str">
        <f>VLOOKUP(K637,TeamLookup[],2,0)</f>
        <v>Cyber</v>
      </c>
      <c r="O637" s="84" t="e">
        <f>VLOOKUP(VALUE($S637),lookups!I:J,2,FALSE)</f>
        <v>#N/A</v>
      </c>
      <c r="P637" s="84" t="e">
        <f>VLOOKUP(VALUE($S637),lookups!F:G,2,FALSE)</f>
        <v>#N/A</v>
      </c>
      <c r="Q637" s="84" t="str">
        <f t="shared" si="36"/>
        <v>ParentNotInCyberQuery</v>
      </c>
      <c r="R637" s="84" t="str">
        <f t="shared" si="37"/>
        <v>MT</v>
      </c>
      <c r="S637" s="84">
        <f t="shared" si="38"/>
        <v>216473</v>
      </c>
      <c r="T637" s="84">
        <f t="shared" si="39"/>
        <v>339787</v>
      </c>
    </row>
    <row r="638" spans="1:20" x14ac:dyDescent="0.3">
      <c r="A638" s="96"/>
      <c r="B638" s="84">
        <v>374887</v>
      </c>
      <c r="C638" s="85">
        <v>318430</v>
      </c>
      <c r="D638" s="84" t="s">
        <v>6</v>
      </c>
      <c r="E638" s="84" t="s">
        <v>345</v>
      </c>
      <c r="F638" s="86" t="s">
        <v>567</v>
      </c>
      <c r="G638" s="87" t="s">
        <v>541</v>
      </c>
      <c r="H638" s="87">
        <v>1</v>
      </c>
      <c r="I638" s="89"/>
      <c r="J638" s="89"/>
      <c r="K638" s="89" t="s">
        <v>1614</v>
      </c>
      <c r="L638" s="84" t="s">
        <v>125</v>
      </c>
      <c r="M638" s="88" t="str">
        <f>VLOOKUP(L638,lookups!B:C,2,FALSE)</f>
        <v>Dave C</v>
      </c>
      <c r="N638" s="89" t="str">
        <f>VLOOKUP(K638,TeamLookup[],2,0)</f>
        <v>Cyber</v>
      </c>
      <c r="O638" s="84" t="e">
        <f>VLOOKUP(VALUE($S638),lookups!I:J,2,FALSE)</f>
        <v>#N/A</v>
      </c>
      <c r="P638" s="84">
        <f>VLOOKUP(VALUE($S638),lookups!F:G,2,FALSE)</f>
        <v>59</v>
      </c>
      <c r="Q638" s="84" t="str">
        <f t="shared" si="36"/>
        <v>ParentNotInCyberQuery</v>
      </c>
      <c r="R638" s="84" t="str">
        <f t="shared" si="37"/>
        <v>MT</v>
      </c>
      <c r="S638" s="84">
        <f t="shared" si="38"/>
        <v>318430</v>
      </c>
      <c r="T638" s="84">
        <f t="shared" si="39"/>
        <v>374887</v>
      </c>
    </row>
    <row r="639" spans="1:20" ht="28.8" x14ac:dyDescent="0.3">
      <c r="A639" s="96"/>
      <c r="B639" s="84">
        <v>377325</v>
      </c>
      <c r="C639" s="85">
        <v>318430</v>
      </c>
      <c r="D639" s="84" t="s">
        <v>6</v>
      </c>
      <c r="E639" s="84" t="s">
        <v>345</v>
      </c>
      <c r="F639" s="86" t="s">
        <v>546</v>
      </c>
      <c r="G639" s="87" t="s">
        <v>482</v>
      </c>
      <c r="H639" s="87">
        <v>3</v>
      </c>
      <c r="I639" s="89"/>
      <c r="J639" s="89"/>
      <c r="K639" s="89" t="s">
        <v>1614</v>
      </c>
      <c r="L639" s="84" t="s">
        <v>88</v>
      </c>
      <c r="M639" s="88" t="str">
        <f>VLOOKUP(L639,lookups!B:C,2,FALSE)</f>
        <v>Will</v>
      </c>
      <c r="N639" s="89" t="str">
        <f>VLOOKUP(K639,TeamLookup[],2,0)</f>
        <v>Cyber</v>
      </c>
      <c r="O639" s="84" t="e">
        <f>VLOOKUP(VALUE($S639),lookups!I:J,2,FALSE)</f>
        <v>#N/A</v>
      </c>
      <c r="P639" s="84">
        <f>VLOOKUP(VALUE($S639),lookups!F:G,2,FALSE)</f>
        <v>59</v>
      </c>
      <c r="Q639" s="84" t="str">
        <f t="shared" si="36"/>
        <v>ParentNotInCyberQuery</v>
      </c>
      <c r="R639" s="84" t="str">
        <f t="shared" si="37"/>
        <v>MT</v>
      </c>
      <c r="S639" s="84">
        <f t="shared" si="38"/>
        <v>318430</v>
      </c>
      <c r="T639" s="84">
        <f t="shared" si="39"/>
        <v>377325</v>
      </c>
    </row>
    <row r="640" spans="1:20" ht="28.8" x14ac:dyDescent="0.3">
      <c r="A640" s="96"/>
      <c r="B640" s="84">
        <v>377324</v>
      </c>
      <c r="C640" s="85">
        <v>318430</v>
      </c>
      <c r="D640" s="84" t="s">
        <v>6</v>
      </c>
      <c r="E640" s="84" t="s">
        <v>345</v>
      </c>
      <c r="F640" s="86" t="s">
        <v>547</v>
      </c>
      <c r="G640" s="87" t="s">
        <v>482</v>
      </c>
      <c r="H640" s="87">
        <v>1</v>
      </c>
      <c r="I640" s="89"/>
      <c r="J640" s="89"/>
      <c r="K640" s="89" t="s">
        <v>1614</v>
      </c>
      <c r="L640" s="84" t="s">
        <v>125</v>
      </c>
      <c r="M640" s="88" t="str">
        <f>VLOOKUP(L640,lookups!B:C,2,FALSE)</f>
        <v>Dave C</v>
      </c>
      <c r="N640" s="89" t="str">
        <f>VLOOKUP(K640,TeamLookup[],2,0)</f>
        <v>Cyber</v>
      </c>
      <c r="O640" s="84" t="e">
        <f>VLOOKUP(VALUE($S640),lookups!I:J,2,FALSE)</f>
        <v>#N/A</v>
      </c>
      <c r="P640" s="84">
        <f>VLOOKUP(VALUE($S640),lookups!F:G,2,FALSE)</f>
        <v>59</v>
      </c>
      <c r="Q640" s="84" t="str">
        <f t="shared" si="36"/>
        <v>ParentNotInCyberQuery</v>
      </c>
      <c r="R640" s="84" t="str">
        <f t="shared" si="37"/>
        <v>MT</v>
      </c>
      <c r="S640" s="84">
        <f t="shared" si="38"/>
        <v>318430</v>
      </c>
      <c r="T640" s="84">
        <f t="shared" si="39"/>
        <v>377324</v>
      </c>
    </row>
    <row r="641" spans="1:21" x14ac:dyDescent="0.3">
      <c r="B641" s="84">
        <v>391363</v>
      </c>
      <c r="C641" s="85">
        <v>318430</v>
      </c>
      <c r="D641" s="84" t="s">
        <v>6</v>
      </c>
      <c r="E641" s="84" t="s">
        <v>345</v>
      </c>
      <c r="F641" s="86" t="s">
        <v>405</v>
      </c>
      <c r="G641" s="87" t="s">
        <v>1349</v>
      </c>
      <c r="H641" s="87">
        <v>3</v>
      </c>
      <c r="I641" s="89"/>
      <c r="J641" s="89"/>
      <c r="K641" s="89" t="s">
        <v>1614</v>
      </c>
      <c r="L641" s="84" t="s">
        <v>1342</v>
      </c>
      <c r="M641" s="88" t="str">
        <f>VLOOKUP(L641,lookups!B:C,2,FALSE)</f>
        <v>John</v>
      </c>
      <c r="N641" s="89" t="str">
        <f>VLOOKUP(K641,TeamLookup[],2,0)</f>
        <v>Cyber</v>
      </c>
      <c r="O641" s="84" t="e">
        <f>VLOOKUP(VALUE($S641),lookups!I:J,2,FALSE)</f>
        <v>#N/A</v>
      </c>
      <c r="P641" s="84">
        <f>VLOOKUP(VALUE($S641),lookups!F:G,2,FALSE)</f>
        <v>59</v>
      </c>
      <c r="Q641" s="84" t="str">
        <f t="shared" si="36"/>
        <v>ParentNotInCyberQuery</v>
      </c>
      <c r="R641" s="84" t="str">
        <f t="shared" si="37"/>
        <v>MT</v>
      </c>
      <c r="S641" s="84">
        <f t="shared" si="38"/>
        <v>318430</v>
      </c>
      <c r="T641" s="84">
        <f t="shared" si="39"/>
        <v>391363</v>
      </c>
    </row>
    <row r="642" spans="1:21" ht="28.8" x14ac:dyDescent="0.3">
      <c r="B642" s="84">
        <v>390288</v>
      </c>
      <c r="C642" s="85">
        <v>318430</v>
      </c>
      <c r="D642" s="84" t="s">
        <v>6</v>
      </c>
      <c r="E642" s="84" t="s">
        <v>345</v>
      </c>
      <c r="F642" s="86" t="s">
        <v>438</v>
      </c>
      <c r="G642" s="87" t="s">
        <v>1347</v>
      </c>
      <c r="H642" s="87">
        <v>5</v>
      </c>
      <c r="I642" s="84"/>
      <c r="J642" s="84"/>
      <c r="K642" s="84" t="s">
        <v>1614</v>
      </c>
      <c r="L642" s="84" t="s">
        <v>213</v>
      </c>
      <c r="M642" s="88" t="str">
        <f>VLOOKUP(L642,lookups!B:C,2,FALSE)</f>
        <v>Alice</v>
      </c>
      <c r="N642" s="89" t="str">
        <f>VLOOKUP(K642,TeamLookup[],2,0)</f>
        <v>Cyber</v>
      </c>
      <c r="O642" s="84" t="e">
        <f>VLOOKUP(VALUE($S642),lookups!I:J,2,FALSE)</f>
        <v>#N/A</v>
      </c>
      <c r="P642" s="84">
        <f>VLOOKUP(VALUE($S642),lookups!F:G,2,FALSE)</f>
        <v>59</v>
      </c>
      <c r="Q642" s="84" t="str">
        <f t="shared" ref="Q642:Q705" si="40">IF($B642="","ZeroEntry",
IF($D642="Program Epic","",
IF(OR($D642="Feature",$D642="Story",$D642="Task"),
  IF($C642="","Missing_ParentEntry",
IF(ISERROR(MATCH(VALUE($C642),$B:$B,0)),"ParentNotInCyberQuery",
IF(AND($D642="Story",VLOOKUP(VALUE($C642),$B:$D,3,FALSE)&lt;&gt;"Feature"),"Warning: StoryParentIs_"&amp;VLOOKUP(VALUE($C642),$B:$D,3,FALSE)&amp;"_NotFeature",
IF(AND(OR($D642="Story",$D642="Task"),VLOOKUP(VALUE($C642),$B:$C,2,FALSE)=""),"MissingGrandparent",
IF(AND($D642="Feature",ISERROR(MATCH("#"&amp;$B642,$C:$C,0))),"FeatureHasNoStories",
IF(AND($D642="Feature",VLOOKUP(VALUE($C642),$B:$D,3,FALSE)&lt;&gt;"Program Epic"),"FeatureParentIs_"&amp;VLOOKUP(VALUE($C642),$B:$D,3,FALSE)&amp;"_NotEpic","")))))),"")))</f>
        <v>ParentNotInCyberQuery</v>
      </c>
      <c r="R642" s="84" t="str">
        <f t="shared" ref="R642:R705" si="41">IF(AND($Q642&lt;&gt;"FeatureHasNoStories","Warning: StoryParentIs_Program Epic_NotFeature"&lt;&gt;$Q642,$Q642&lt;&gt;"ParentNotInCyberQuery",$Q642&lt;&gt;""),$Q642,
IF($D642="Program Epic",B642,
IF($D642="Feature",VALUE($C642),
IF("Warning: StoryParentIs_Program Epic_NotFeature"=$Q642,VALUE($C642),
IF(AND($D642="Story",$Q642="ParentNotInCyberQuery"),"MT",
IF($C642=0,"N/A",
IF(OR($D642="Story",$D642="Task"),VALUE(VLOOKUP(VALUE($C642),$B:$C,2,FALSE)),"N/A")))))))</f>
        <v>MT</v>
      </c>
      <c r="S642" s="84">
        <f t="shared" ref="S642:S705" si="42">IF($D642="Program Epic",0,
IF($D642="Feature",$B642,
IF($C642=0,"NoParentFeature",VALUE($C642))))</f>
        <v>318430</v>
      </c>
      <c r="T642" s="84">
        <f t="shared" ref="T642:T705" si="43">IF(OR($D642="Story",$D642="Task"),$B642,0)</f>
        <v>390288</v>
      </c>
    </row>
    <row r="643" spans="1:21" x14ac:dyDescent="0.3">
      <c r="B643" s="84">
        <v>368600</v>
      </c>
      <c r="C643" s="85">
        <v>327793</v>
      </c>
      <c r="D643" s="84" t="s">
        <v>6</v>
      </c>
      <c r="E643" s="84" t="s">
        <v>7</v>
      </c>
      <c r="F643" s="86" t="s">
        <v>644</v>
      </c>
      <c r="G643" s="87" t="s">
        <v>442</v>
      </c>
      <c r="H643" s="87">
        <v>5</v>
      </c>
      <c r="I643" s="89"/>
      <c r="J643" s="89"/>
      <c r="K643" s="89" t="s">
        <v>1614</v>
      </c>
      <c r="L643" s="84" t="s">
        <v>11</v>
      </c>
      <c r="M643" s="88" t="str">
        <f>VLOOKUP(L643,lookups!B:C,2,FALSE)</f>
        <v>Randy</v>
      </c>
      <c r="N643" s="89" t="str">
        <f>VLOOKUP(K643,TeamLookup[],2,0)</f>
        <v>Cyber</v>
      </c>
      <c r="O643" s="84" t="e">
        <f>VLOOKUP(VALUE($S643),lookups!I:J,2,FALSE)</f>
        <v>#N/A</v>
      </c>
      <c r="P643" s="84" t="e">
        <f>VLOOKUP(VALUE($S643),lookups!F:G,2,FALSE)</f>
        <v>#N/A</v>
      </c>
      <c r="Q643" s="84" t="str">
        <f t="shared" si="40"/>
        <v>ParentNotInCyberQuery</v>
      </c>
      <c r="R643" s="84" t="str">
        <f t="shared" si="41"/>
        <v>MT</v>
      </c>
      <c r="S643" s="84">
        <f t="shared" si="42"/>
        <v>327793</v>
      </c>
      <c r="T643" s="84">
        <f t="shared" si="43"/>
        <v>368600</v>
      </c>
    </row>
    <row r="644" spans="1:21" x14ac:dyDescent="0.3">
      <c r="B644" s="84">
        <v>339133</v>
      </c>
      <c r="C644" s="85">
        <v>338744</v>
      </c>
      <c r="D644" s="84" t="s">
        <v>6</v>
      </c>
      <c r="E644" s="84" t="s">
        <v>7</v>
      </c>
      <c r="F644" s="86" t="s">
        <v>759</v>
      </c>
      <c r="G644" s="87" t="s">
        <v>442</v>
      </c>
      <c r="H644" s="87">
        <v>3</v>
      </c>
      <c r="I644" s="89" t="s">
        <v>48</v>
      </c>
      <c r="J644" s="89" t="s">
        <v>760</v>
      </c>
      <c r="K644" s="89" t="s">
        <v>1614</v>
      </c>
      <c r="L644" s="84" t="s">
        <v>191</v>
      </c>
      <c r="M644" s="88" t="str">
        <f>VLOOKUP(L644,lookups!B:C,2,FALSE)</f>
        <v>Gerald V</v>
      </c>
      <c r="N644" s="89" t="str">
        <f>VLOOKUP(K644,TeamLookup[],2,0)</f>
        <v>Cyber</v>
      </c>
      <c r="O644" s="84" t="e">
        <f>VLOOKUP(VALUE($S644),lookups!I:J,2,FALSE)</f>
        <v>#N/A</v>
      </c>
      <c r="P644" s="84" t="e">
        <f>VLOOKUP(VALUE($S644),lookups!F:G,2,FALSE)</f>
        <v>#N/A</v>
      </c>
      <c r="Q644" s="84" t="str">
        <f t="shared" si="40"/>
        <v>ParentNotInCyberQuery</v>
      </c>
      <c r="R644" s="84" t="str">
        <f t="shared" si="41"/>
        <v>MT</v>
      </c>
      <c r="S644" s="84">
        <f t="shared" si="42"/>
        <v>338744</v>
      </c>
      <c r="T644" s="84">
        <f t="shared" si="43"/>
        <v>339133</v>
      </c>
    </row>
    <row r="645" spans="1:21" x14ac:dyDescent="0.3">
      <c r="B645" s="84">
        <v>339131</v>
      </c>
      <c r="C645" s="85">
        <v>338744</v>
      </c>
      <c r="D645" s="84" t="s">
        <v>6</v>
      </c>
      <c r="E645" s="84" t="s">
        <v>7</v>
      </c>
      <c r="F645" s="86" t="s">
        <v>761</v>
      </c>
      <c r="G645" s="87" t="s">
        <v>442</v>
      </c>
      <c r="H645" s="87">
        <v>2</v>
      </c>
      <c r="I645" s="89" t="s">
        <v>48</v>
      </c>
      <c r="J645" s="89"/>
      <c r="K645" s="89" t="s">
        <v>1614</v>
      </c>
      <c r="L645" s="84" t="s">
        <v>191</v>
      </c>
      <c r="M645" s="88" t="str">
        <f>VLOOKUP(L645,lookups!B:C,2,FALSE)</f>
        <v>Gerald V</v>
      </c>
      <c r="N645" s="89" t="str">
        <f>VLOOKUP(K645,TeamLookup[],2,0)</f>
        <v>Cyber</v>
      </c>
      <c r="O645" s="84" t="e">
        <f>VLOOKUP(VALUE($S645),lookups!I:J,2,FALSE)</f>
        <v>#N/A</v>
      </c>
      <c r="P645" s="84" t="e">
        <f>VLOOKUP(VALUE($S645),lookups!F:G,2,FALSE)</f>
        <v>#N/A</v>
      </c>
      <c r="Q645" s="84" t="str">
        <f t="shared" si="40"/>
        <v>ParentNotInCyberQuery</v>
      </c>
      <c r="R645" s="84" t="str">
        <f t="shared" si="41"/>
        <v>MT</v>
      </c>
      <c r="S645" s="84">
        <f t="shared" si="42"/>
        <v>338744</v>
      </c>
      <c r="T645" s="84">
        <f t="shared" si="43"/>
        <v>339131</v>
      </c>
    </row>
    <row r="646" spans="1:21" x14ac:dyDescent="0.3">
      <c r="B646" s="84">
        <v>339185</v>
      </c>
      <c r="C646" s="85">
        <v>339182</v>
      </c>
      <c r="D646" s="84" t="s">
        <v>6</v>
      </c>
      <c r="E646" s="84" t="s">
        <v>7</v>
      </c>
      <c r="F646" s="86" t="s">
        <v>756</v>
      </c>
      <c r="G646" s="87" t="s">
        <v>442</v>
      </c>
      <c r="H646" s="87">
        <v>1</v>
      </c>
      <c r="I646" s="84"/>
      <c r="J646" s="84" t="s">
        <v>757</v>
      </c>
      <c r="K646" s="84" t="s">
        <v>1614</v>
      </c>
      <c r="L646" s="84" t="s">
        <v>8</v>
      </c>
      <c r="M646" s="88" t="str">
        <f>VLOOKUP(L646,lookups!B:C,2,FALSE)</f>
        <v>TBD</v>
      </c>
      <c r="N646" s="89" t="str">
        <f>VLOOKUP(K646,TeamLookup[],2,0)</f>
        <v>Cyber</v>
      </c>
      <c r="O646" s="84" t="e">
        <f>VLOOKUP(VALUE($S646),lookups!I:J,2,FALSE)</f>
        <v>#N/A</v>
      </c>
      <c r="P646" s="84" t="e">
        <f>VLOOKUP(VALUE($S646),lookups!F:G,2,FALSE)</f>
        <v>#N/A</v>
      </c>
      <c r="Q646" s="84" t="str">
        <f t="shared" si="40"/>
        <v>ParentNotInCyberQuery</v>
      </c>
      <c r="R646" s="84" t="str">
        <f t="shared" si="41"/>
        <v>MT</v>
      </c>
      <c r="S646" s="84">
        <f t="shared" si="42"/>
        <v>339182</v>
      </c>
      <c r="T646" s="84">
        <f t="shared" si="43"/>
        <v>339185</v>
      </c>
    </row>
    <row r="647" spans="1:21" x14ac:dyDescent="0.3">
      <c r="A647" s="96"/>
      <c r="B647" s="84">
        <v>339183</v>
      </c>
      <c r="C647" s="85">
        <v>339182</v>
      </c>
      <c r="D647" s="84" t="s">
        <v>6</v>
      </c>
      <c r="E647" s="84" t="s">
        <v>7</v>
      </c>
      <c r="F647" s="86" t="s">
        <v>758</v>
      </c>
      <c r="G647" s="87" t="s">
        <v>442</v>
      </c>
      <c r="H647" s="87">
        <v>1</v>
      </c>
      <c r="I647" s="89"/>
      <c r="J647" s="89"/>
      <c r="K647" s="89" t="s">
        <v>1614</v>
      </c>
      <c r="L647" s="84" t="s">
        <v>8</v>
      </c>
      <c r="M647" s="88" t="str">
        <f>VLOOKUP(L647,lookups!B:C,2,FALSE)</f>
        <v>TBD</v>
      </c>
      <c r="N647" s="89" t="str">
        <f>VLOOKUP(K647,TeamLookup[],2,0)</f>
        <v>Cyber</v>
      </c>
      <c r="O647" s="84" t="e">
        <f>VLOOKUP(VALUE($S647),lookups!I:J,2,FALSE)</f>
        <v>#N/A</v>
      </c>
      <c r="P647" s="84" t="e">
        <f>VLOOKUP(VALUE($S647),lookups!F:G,2,FALSE)</f>
        <v>#N/A</v>
      </c>
      <c r="Q647" s="84" t="str">
        <f t="shared" si="40"/>
        <v>ParentNotInCyberQuery</v>
      </c>
      <c r="R647" s="84" t="str">
        <f t="shared" si="41"/>
        <v>MT</v>
      </c>
      <c r="S647" s="84">
        <f t="shared" si="42"/>
        <v>339182</v>
      </c>
      <c r="T647" s="84">
        <f t="shared" si="43"/>
        <v>339183</v>
      </c>
    </row>
    <row r="648" spans="1:21" x14ac:dyDescent="0.3">
      <c r="B648" s="84">
        <v>376403</v>
      </c>
      <c r="C648" s="85">
        <v>341770</v>
      </c>
      <c r="D648" s="84" t="s">
        <v>6</v>
      </c>
      <c r="E648" s="84" t="s">
        <v>345</v>
      </c>
      <c r="F648" s="86" t="s">
        <v>551</v>
      </c>
      <c r="G648" s="87" t="s">
        <v>543</v>
      </c>
      <c r="H648" s="87">
        <v>3</v>
      </c>
      <c r="I648" s="89"/>
      <c r="J648" s="89"/>
      <c r="K648" s="89" t="s">
        <v>1614</v>
      </c>
      <c r="L648" s="84" t="s">
        <v>37</v>
      </c>
      <c r="M648" s="88" t="str">
        <f>VLOOKUP(L648,lookups!B:C,2,FALSE)</f>
        <v>Kent</v>
      </c>
      <c r="N648" s="89" t="str">
        <f>VLOOKUP(K648,TeamLookup[],2,0)</f>
        <v>Cyber</v>
      </c>
      <c r="O648" s="84" t="e">
        <f>VLOOKUP(VALUE($S648),lookups!I:J,2,FALSE)</f>
        <v>#N/A</v>
      </c>
      <c r="P648" s="84" t="e">
        <f>VLOOKUP(VALUE($S648),lookups!F:G,2,FALSE)</f>
        <v>#N/A</v>
      </c>
      <c r="Q648" s="84" t="str">
        <f t="shared" si="40"/>
        <v>ParentNotInCyberQuery</v>
      </c>
      <c r="R648" s="84" t="str">
        <f t="shared" si="41"/>
        <v>MT</v>
      </c>
      <c r="S648" s="84">
        <f t="shared" si="42"/>
        <v>341770</v>
      </c>
      <c r="T648" s="84">
        <f t="shared" si="43"/>
        <v>376403</v>
      </c>
    </row>
    <row r="649" spans="1:21" x14ac:dyDescent="0.3">
      <c r="B649" s="84">
        <v>362541</v>
      </c>
      <c r="C649" s="85">
        <v>341770</v>
      </c>
      <c r="D649" s="84" t="s">
        <v>6</v>
      </c>
      <c r="E649" s="84" t="s">
        <v>345</v>
      </c>
      <c r="F649" s="91" t="s">
        <v>666</v>
      </c>
      <c r="G649" s="87" t="s">
        <v>541</v>
      </c>
      <c r="H649" s="87">
        <v>8</v>
      </c>
      <c r="I649" s="89"/>
      <c r="J649" s="89"/>
      <c r="K649" s="89" t="s">
        <v>1614</v>
      </c>
      <c r="L649" s="84" t="s">
        <v>37</v>
      </c>
      <c r="M649" s="88" t="str">
        <f>VLOOKUP(L649,lookups!B:C,2,FALSE)</f>
        <v>Kent</v>
      </c>
      <c r="N649" s="89" t="str">
        <f>VLOOKUP(K649,TeamLookup[],2,0)</f>
        <v>Cyber</v>
      </c>
      <c r="O649" s="84" t="e">
        <f>VLOOKUP(VALUE($S649),lookups!I:J,2,FALSE)</f>
        <v>#N/A</v>
      </c>
      <c r="P649" s="84" t="e">
        <f>VLOOKUP(VALUE($S649),lookups!F:G,2,FALSE)</f>
        <v>#N/A</v>
      </c>
      <c r="Q649" s="84" t="str">
        <f t="shared" si="40"/>
        <v>ParentNotInCyberQuery</v>
      </c>
      <c r="R649" s="84" t="str">
        <f t="shared" si="41"/>
        <v>MT</v>
      </c>
      <c r="S649" s="84">
        <f t="shared" si="42"/>
        <v>341770</v>
      </c>
      <c r="T649" s="84">
        <f t="shared" si="43"/>
        <v>362541</v>
      </c>
    </row>
    <row r="650" spans="1:21" x14ac:dyDescent="0.3">
      <c r="A650" s="96"/>
      <c r="B650" s="84">
        <v>362585</v>
      </c>
      <c r="C650" s="85">
        <v>341770</v>
      </c>
      <c r="D650" s="84" t="s">
        <v>6</v>
      </c>
      <c r="E650" s="84" t="s">
        <v>345</v>
      </c>
      <c r="F650" s="86" t="s">
        <v>665</v>
      </c>
      <c r="G650" s="87" t="s">
        <v>508</v>
      </c>
      <c r="H650" s="87">
        <v>8</v>
      </c>
      <c r="I650" s="89"/>
      <c r="J650" s="89"/>
      <c r="K650" s="89" t="s">
        <v>1614</v>
      </c>
      <c r="L650" s="84" t="s">
        <v>37</v>
      </c>
      <c r="M650" s="88" t="str">
        <f>VLOOKUP(L650,lookups!B:C,2,FALSE)</f>
        <v>Kent</v>
      </c>
      <c r="N650" s="89" t="str">
        <f>VLOOKUP(K650,TeamLookup[],2,0)</f>
        <v>Cyber</v>
      </c>
      <c r="O650" s="84" t="e">
        <f>VLOOKUP(VALUE($S650),lookups!I:J,2,FALSE)</f>
        <v>#N/A</v>
      </c>
      <c r="P650" s="84" t="e">
        <f>VLOOKUP(VALUE($S650),lookups!F:G,2,FALSE)</f>
        <v>#N/A</v>
      </c>
      <c r="Q650" s="84" t="str">
        <f t="shared" si="40"/>
        <v>ParentNotInCyberQuery</v>
      </c>
      <c r="R650" s="84" t="str">
        <f t="shared" si="41"/>
        <v>MT</v>
      </c>
      <c r="S650" s="84">
        <f t="shared" si="42"/>
        <v>341770</v>
      </c>
      <c r="T650" s="84">
        <f t="shared" si="43"/>
        <v>362585</v>
      </c>
    </row>
    <row r="651" spans="1:21" x14ac:dyDescent="0.3">
      <c r="B651" s="84">
        <v>383411</v>
      </c>
      <c r="C651" s="85">
        <v>341770</v>
      </c>
      <c r="D651" s="84" t="s">
        <v>6</v>
      </c>
      <c r="E651" s="84" t="s">
        <v>345</v>
      </c>
      <c r="F651" s="86" t="s">
        <v>481</v>
      </c>
      <c r="G651" s="87" t="s">
        <v>482</v>
      </c>
      <c r="H651" s="87">
        <v>2</v>
      </c>
      <c r="I651" s="84"/>
      <c r="J651" s="84"/>
      <c r="K651" s="84" t="s">
        <v>1614</v>
      </c>
      <c r="L651" s="84" t="s">
        <v>125</v>
      </c>
      <c r="M651" s="88" t="str">
        <f>VLOOKUP(L651,lookups!B:C,2,FALSE)</f>
        <v>Dave C</v>
      </c>
      <c r="N651" s="89" t="str">
        <f>VLOOKUP(K651,TeamLookup[],2,0)</f>
        <v>Cyber</v>
      </c>
      <c r="O651" s="84" t="e">
        <f>VLOOKUP(VALUE($S651),lookups!I:J,2,FALSE)</f>
        <v>#N/A</v>
      </c>
      <c r="P651" s="84" t="e">
        <f>VLOOKUP(VALUE($S651),lookups!F:G,2,FALSE)</f>
        <v>#N/A</v>
      </c>
      <c r="Q651" s="84" t="str">
        <f t="shared" si="40"/>
        <v>ParentNotInCyberQuery</v>
      </c>
      <c r="R651" s="84" t="str">
        <f t="shared" si="41"/>
        <v>MT</v>
      </c>
      <c r="S651" s="84">
        <f t="shared" si="42"/>
        <v>341770</v>
      </c>
      <c r="T651" s="84">
        <f t="shared" si="43"/>
        <v>383411</v>
      </c>
    </row>
    <row r="652" spans="1:21" x14ac:dyDescent="0.3">
      <c r="B652" s="84">
        <v>382383</v>
      </c>
      <c r="C652" s="85">
        <v>341770</v>
      </c>
      <c r="D652" s="84" t="s">
        <v>6</v>
      </c>
      <c r="E652" s="84" t="s">
        <v>345</v>
      </c>
      <c r="F652" s="86" t="s">
        <v>486</v>
      </c>
      <c r="G652" s="87" t="s">
        <v>482</v>
      </c>
      <c r="H652" s="87">
        <v>3</v>
      </c>
      <c r="I652" s="89"/>
      <c r="J652" s="89"/>
      <c r="K652" s="89" t="s">
        <v>1614</v>
      </c>
      <c r="L652" s="84" t="s">
        <v>37</v>
      </c>
      <c r="M652" s="88" t="str">
        <f>VLOOKUP(L652,lookups!B:C,2,FALSE)</f>
        <v>Kent</v>
      </c>
      <c r="N652" s="89" t="str">
        <f>VLOOKUP(K652,TeamLookup[],2,0)</f>
        <v>Cyber</v>
      </c>
      <c r="O652" s="84" t="e">
        <f>VLOOKUP(VALUE($S652),lookups!I:J,2,FALSE)</f>
        <v>#N/A</v>
      </c>
      <c r="P652" s="84" t="e">
        <f>VLOOKUP(VALUE($S652),lookups!F:G,2,FALSE)</f>
        <v>#N/A</v>
      </c>
      <c r="Q652" s="84" t="str">
        <f t="shared" si="40"/>
        <v>ParentNotInCyberQuery</v>
      </c>
      <c r="R652" s="84" t="str">
        <f t="shared" si="41"/>
        <v>MT</v>
      </c>
      <c r="S652" s="84">
        <f t="shared" si="42"/>
        <v>341770</v>
      </c>
      <c r="T652" s="84">
        <f t="shared" si="43"/>
        <v>382383</v>
      </c>
    </row>
    <row r="653" spans="1:21" x14ac:dyDescent="0.3">
      <c r="B653" s="84">
        <v>371308</v>
      </c>
      <c r="C653" s="85">
        <v>341770</v>
      </c>
      <c r="D653" s="84" t="s">
        <v>6</v>
      </c>
      <c r="E653" s="84" t="s">
        <v>345</v>
      </c>
      <c r="F653" s="86" t="s">
        <v>590</v>
      </c>
      <c r="G653" s="87" t="s">
        <v>482</v>
      </c>
      <c r="H653" s="87">
        <v>1</v>
      </c>
      <c r="I653" s="89"/>
      <c r="J653" s="89"/>
      <c r="K653" s="89" t="s">
        <v>1614</v>
      </c>
      <c r="L653" s="84" t="s">
        <v>37</v>
      </c>
      <c r="M653" s="88" t="str">
        <f>VLOOKUP(L653,lookups!B:C,2,FALSE)</f>
        <v>Kent</v>
      </c>
      <c r="N653" s="89" t="str">
        <f>VLOOKUP(K653,TeamLookup[],2,0)</f>
        <v>Cyber</v>
      </c>
      <c r="O653" s="84" t="e">
        <f>VLOOKUP(VALUE($S653),lookups!I:J,2,FALSE)</f>
        <v>#N/A</v>
      </c>
      <c r="P653" s="84" t="e">
        <f>VLOOKUP(VALUE($S653),lookups!F:G,2,FALSE)</f>
        <v>#N/A</v>
      </c>
      <c r="Q653" s="84" t="str">
        <f t="shared" si="40"/>
        <v>ParentNotInCyberQuery</v>
      </c>
      <c r="R653" s="84" t="str">
        <f t="shared" si="41"/>
        <v>MT</v>
      </c>
      <c r="S653" s="84">
        <f t="shared" si="42"/>
        <v>341770</v>
      </c>
      <c r="T653" s="84">
        <f t="shared" si="43"/>
        <v>371308</v>
      </c>
      <c r="U653" s="94"/>
    </row>
    <row r="654" spans="1:21" x14ac:dyDescent="0.3">
      <c r="B654" s="84">
        <v>384704</v>
      </c>
      <c r="C654" s="85">
        <v>341770</v>
      </c>
      <c r="D654" s="84" t="s">
        <v>6</v>
      </c>
      <c r="E654" s="84" t="s">
        <v>345</v>
      </c>
      <c r="F654" s="86" t="s">
        <v>474</v>
      </c>
      <c r="G654" s="87" t="s">
        <v>446</v>
      </c>
      <c r="H654" s="87">
        <v>3</v>
      </c>
      <c r="I654" s="89"/>
      <c r="J654" s="89"/>
      <c r="K654" s="89" t="s">
        <v>1614</v>
      </c>
      <c r="L654" s="84" t="s">
        <v>125</v>
      </c>
      <c r="M654" s="88" t="str">
        <f>VLOOKUP(L654,lookups!B:C,2,FALSE)</f>
        <v>Dave C</v>
      </c>
      <c r="N654" s="89" t="str">
        <f>VLOOKUP(K654,TeamLookup[],2,0)</f>
        <v>Cyber</v>
      </c>
      <c r="O654" s="84" t="e">
        <f>VLOOKUP(VALUE($S654),lookups!I:J,2,FALSE)</f>
        <v>#N/A</v>
      </c>
      <c r="P654" s="84" t="e">
        <f>VLOOKUP(VALUE($S654),lookups!F:G,2,FALSE)</f>
        <v>#N/A</v>
      </c>
      <c r="Q654" s="84" t="str">
        <f t="shared" si="40"/>
        <v>ParentNotInCyberQuery</v>
      </c>
      <c r="R654" s="84" t="str">
        <f t="shared" si="41"/>
        <v>MT</v>
      </c>
      <c r="S654" s="84">
        <f t="shared" si="42"/>
        <v>341770</v>
      </c>
      <c r="T654" s="84">
        <f t="shared" si="43"/>
        <v>384704</v>
      </c>
    </row>
    <row r="655" spans="1:21" x14ac:dyDescent="0.3">
      <c r="B655" s="84">
        <v>384702</v>
      </c>
      <c r="C655" s="85">
        <v>341770</v>
      </c>
      <c r="D655" s="84" t="s">
        <v>6</v>
      </c>
      <c r="E655" s="84" t="s">
        <v>345</v>
      </c>
      <c r="F655" s="86" t="s">
        <v>475</v>
      </c>
      <c r="G655" s="87" t="s">
        <v>446</v>
      </c>
      <c r="H655" s="87">
        <v>3</v>
      </c>
      <c r="I655" s="89"/>
      <c r="J655" s="89"/>
      <c r="K655" s="89" t="s">
        <v>1614</v>
      </c>
      <c r="L655" s="84" t="s">
        <v>37</v>
      </c>
      <c r="M655" s="88" t="str">
        <f>VLOOKUP(L655,lookups!B:C,2,FALSE)</f>
        <v>Kent</v>
      </c>
      <c r="N655" s="89" t="str">
        <f>VLOOKUP(K655,TeamLookup[],2,0)</f>
        <v>Cyber</v>
      </c>
      <c r="O655" s="84" t="e">
        <f>VLOOKUP(VALUE($S655),lookups!I:J,2,FALSE)</f>
        <v>#N/A</v>
      </c>
      <c r="P655" s="84" t="e">
        <f>VLOOKUP(VALUE($S655),lookups!F:G,2,FALSE)</f>
        <v>#N/A</v>
      </c>
      <c r="Q655" s="84" t="str">
        <f t="shared" si="40"/>
        <v>ParentNotInCyberQuery</v>
      </c>
      <c r="R655" s="84" t="str">
        <f t="shared" si="41"/>
        <v>MT</v>
      </c>
      <c r="S655" s="84">
        <f t="shared" si="42"/>
        <v>341770</v>
      </c>
      <c r="T655" s="84">
        <f t="shared" si="43"/>
        <v>384702</v>
      </c>
    </row>
    <row r="656" spans="1:21" ht="18.600000000000001" customHeight="1" x14ac:dyDescent="0.3">
      <c r="B656" s="84">
        <v>384707</v>
      </c>
      <c r="C656" s="85">
        <v>341770</v>
      </c>
      <c r="D656" s="84" t="s">
        <v>6</v>
      </c>
      <c r="E656" s="84" t="s">
        <v>345</v>
      </c>
      <c r="F656" s="86" t="s">
        <v>472</v>
      </c>
      <c r="G656" s="87" t="s">
        <v>444</v>
      </c>
      <c r="H656" s="87">
        <v>1</v>
      </c>
      <c r="I656" s="84"/>
      <c r="J656" s="84"/>
      <c r="K656" s="84" t="s">
        <v>1614</v>
      </c>
      <c r="L656" s="84" t="s">
        <v>125</v>
      </c>
      <c r="M656" s="88" t="str">
        <f>VLOOKUP(L656,lookups!B:C,2,FALSE)</f>
        <v>Dave C</v>
      </c>
      <c r="N656" s="89" t="str">
        <f>VLOOKUP(K656,TeamLookup[],2,0)</f>
        <v>Cyber</v>
      </c>
      <c r="O656" s="84" t="e">
        <f>VLOOKUP(VALUE($S656),lookups!I:J,2,FALSE)</f>
        <v>#N/A</v>
      </c>
      <c r="P656" s="84" t="e">
        <f>VLOOKUP(VALUE($S656),lookups!F:G,2,FALSE)</f>
        <v>#N/A</v>
      </c>
      <c r="Q656" s="84" t="str">
        <f t="shared" si="40"/>
        <v>ParentNotInCyberQuery</v>
      </c>
      <c r="R656" s="84" t="str">
        <f t="shared" si="41"/>
        <v>MT</v>
      </c>
      <c r="S656" s="84">
        <f t="shared" si="42"/>
        <v>341770</v>
      </c>
      <c r="T656" s="84">
        <f t="shared" si="43"/>
        <v>384707</v>
      </c>
    </row>
    <row r="657" spans="1:21" x14ac:dyDescent="0.3">
      <c r="B657" s="84">
        <v>384705</v>
      </c>
      <c r="C657" s="85">
        <v>341770</v>
      </c>
      <c r="D657" s="84" t="s">
        <v>6</v>
      </c>
      <c r="E657" s="84" t="s">
        <v>345</v>
      </c>
      <c r="F657" s="86" t="s">
        <v>473</v>
      </c>
      <c r="G657" s="87" t="s">
        <v>444</v>
      </c>
      <c r="H657" s="87">
        <v>3</v>
      </c>
      <c r="I657" s="89"/>
      <c r="J657" s="89"/>
      <c r="K657" s="89" t="s">
        <v>1614</v>
      </c>
      <c r="L657" s="84" t="s">
        <v>37</v>
      </c>
      <c r="M657" s="88" t="str">
        <f>VLOOKUP(L657,lookups!B:C,2,FALSE)</f>
        <v>Kent</v>
      </c>
      <c r="N657" s="89" t="str">
        <f>VLOOKUP(K657,TeamLookup[],2,0)</f>
        <v>Cyber</v>
      </c>
      <c r="O657" s="84" t="e">
        <f>VLOOKUP(VALUE($S657),lookups!I:J,2,FALSE)</f>
        <v>#N/A</v>
      </c>
      <c r="P657" s="84" t="e">
        <f>VLOOKUP(VALUE($S657),lookups!F:G,2,FALSE)</f>
        <v>#N/A</v>
      </c>
      <c r="Q657" s="84" t="str">
        <f t="shared" si="40"/>
        <v>ParentNotInCyberQuery</v>
      </c>
      <c r="R657" s="84" t="str">
        <f t="shared" si="41"/>
        <v>MT</v>
      </c>
      <c r="S657" s="84">
        <f t="shared" si="42"/>
        <v>341770</v>
      </c>
      <c r="T657" s="84">
        <f t="shared" si="43"/>
        <v>384705</v>
      </c>
    </row>
    <row r="658" spans="1:21" ht="39" customHeight="1" x14ac:dyDescent="0.3">
      <c r="B658" s="84">
        <v>384710</v>
      </c>
      <c r="C658" s="85">
        <v>341770</v>
      </c>
      <c r="D658" s="84" t="s">
        <v>6</v>
      </c>
      <c r="E658" s="84" t="s">
        <v>345</v>
      </c>
      <c r="F658" s="86" t="s">
        <v>470</v>
      </c>
      <c r="G658" s="87" t="s">
        <v>434</v>
      </c>
      <c r="H658" s="87">
        <v>1</v>
      </c>
      <c r="I658" s="89"/>
      <c r="J658" s="89"/>
      <c r="K658" s="89" t="s">
        <v>1614</v>
      </c>
      <c r="L658" s="84" t="s">
        <v>125</v>
      </c>
      <c r="M658" s="88" t="str">
        <f>VLOOKUP(L658,lookups!B:C,2,FALSE)</f>
        <v>Dave C</v>
      </c>
      <c r="N658" s="89" t="str">
        <f>VLOOKUP(K658,TeamLookup[],2,0)</f>
        <v>Cyber</v>
      </c>
      <c r="O658" s="84" t="e">
        <f>VLOOKUP(VALUE($S658),lookups!I:J,2,FALSE)</f>
        <v>#N/A</v>
      </c>
      <c r="P658" s="84" t="e">
        <f>VLOOKUP(VALUE($S658),lookups!F:G,2,FALSE)</f>
        <v>#N/A</v>
      </c>
      <c r="Q658" s="84" t="str">
        <f t="shared" si="40"/>
        <v>ParentNotInCyberQuery</v>
      </c>
      <c r="R658" s="84" t="str">
        <f t="shared" si="41"/>
        <v>MT</v>
      </c>
      <c r="S658" s="84">
        <f t="shared" si="42"/>
        <v>341770</v>
      </c>
      <c r="T658" s="84">
        <f t="shared" si="43"/>
        <v>384710</v>
      </c>
    </row>
    <row r="659" spans="1:21" x14ac:dyDescent="0.3">
      <c r="B659" s="84">
        <v>384708</v>
      </c>
      <c r="C659" s="85">
        <v>341770</v>
      </c>
      <c r="D659" s="84" t="s">
        <v>6</v>
      </c>
      <c r="E659" s="84" t="s">
        <v>345</v>
      </c>
      <c r="F659" s="86" t="s">
        <v>471</v>
      </c>
      <c r="G659" s="87" t="s">
        <v>434</v>
      </c>
      <c r="H659" s="87">
        <v>3</v>
      </c>
      <c r="I659" s="89"/>
      <c r="J659" s="89"/>
      <c r="K659" s="89" t="s">
        <v>1614</v>
      </c>
      <c r="L659" s="84" t="s">
        <v>37</v>
      </c>
      <c r="M659" s="88" t="str">
        <f>VLOOKUP(L659,lookups!B:C,2,FALSE)</f>
        <v>Kent</v>
      </c>
      <c r="N659" s="89" t="str">
        <f>VLOOKUP(K659,TeamLookup[],2,0)</f>
        <v>Cyber</v>
      </c>
      <c r="O659" s="84" t="e">
        <f>VLOOKUP(VALUE($S659),lookups!I:J,2,FALSE)</f>
        <v>#N/A</v>
      </c>
      <c r="P659" s="84" t="e">
        <f>VLOOKUP(VALUE($S659),lookups!F:G,2,FALSE)</f>
        <v>#N/A</v>
      </c>
      <c r="Q659" s="84" t="str">
        <f t="shared" si="40"/>
        <v>ParentNotInCyberQuery</v>
      </c>
      <c r="R659" s="84" t="str">
        <f t="shared" si="41"/>
        <v>MT</v>
      </c>
      <c r="S659" s="84">
        <f t="shared" si="42"/>
        <v>341770</v>
      </c>
      <c r="T659" s="84">
        <f t="shared" si="43"/>
        <v>384708</v>
      </c>
    </row>
    <row r="660" spans="1:21" x14ac:dyDescent="0.3">
      <c r="B660" s="84">
        <v>1013880</v>
      </c>
      <c r="C660" s="85">
        <v>342054</v>
      </c>
      <c r="D660" s="84" t="s">
        <v>6</v>
      </c>
      <c r="E660" s="84" t="s">
        <v>7</v>
      </c>
      <c r="F660" s="86" t="s">
        <v>1392</v>
      </c>
      <c r="G660" s="87" t="s">
        <v>353</v>
      </c>
      <c r="H660" s="87">
        <v>5</v>
      </c>
      <c r="I660" s="84" t="s">
        <v>1446</v>
      </c>
      <c r="J660" s="84"/>
      <c r="K660" s="84" t="s">
        <v>1614</v>
      </c>
      <c r="L660" s="84" t="s">
        <v>8</v>
      </c>
      <c r="M660" s="88" t="str">
        <f>VLOOKUP(L660,lookups!B:C,2,FALSE)</f>
        <v>TBD</v>
      </c>
      <c r="N660" s="89" t="str">
        <f>VLOOKUP(K660,TeamLookup[],2,0)</f>
        <v>Cyber</v>
      </c>
      <c r="O660" s="84">
        <f>VLOOKUP(VALUE($S660),lookups!I:J,2,FALSE)</f>
        <v>26</v>
      </c>
      <c r="P660" s="84" t="e">
        <f>VLOOKUP(VALUE($S660),lookups!F:G,2,FALSE)</f>
        <v>#N/A</v>
      </c>
      <c r="Q660" s="84" t="str">
        <f t="shared" si="40"/>
        <v>ParentNotInCyberQuery</v>
      </c>
      <c r="R660" s="84" t="str">
        <f t="shared" si="41"/>
        <v>MT</v>
      </c>
      <c r="S660" s="84">
        <f t="shared" si="42"/>
        <v>342054</v>
      </c>
      <c r="T660" s="84">
        <f t="shared" si="43"/>
        <v>1013880</v>
      </c>
    </row>
    <row r="661" spans="1:21" x14ac:dyDescent="0.3">
      <c r="B661" s="84">
        <v>1013879</v>
      </c>
      <c r="C661" s="85">
        <v>342054</v>
      </c>
      <c r="D661" s="84" t="s">
        <v>6</v>
      </c>
      <c r="E661" s="84" t="s">
        <v>7</v>
      </c>
      <c r="F661" s="86" t="s">
        <v>1393</v>
      </c>
      <c r="G661" s="87" t="s">
        <v>353</v>
      </c>
      <c r="H661" s="87">
        <v>5</v>
      </c>
      <c r="I661" s="84" t="s">
        <v>1446</v>
      </c>
      <c r="J661" s="84"/>
      <c r="K661" s="84" t="s">
        <v>1614</v>
      </c>
      <c r="L661" s="84" t="s">
        <v>8</v>
      </c>
      <c r="M661" s="88" t="str">
        <f>VLOOKUP(L661,lookups!B:C,2,FALSE)</f>
        <v>TBD</v>
      </c>
      <c r="N661" s="89" t="str">
        <f>VLOOKUP(K661,TeamLookup[],2,0)</f>
        <v>Cyber</v>
      </c>
      <c r="O661" s="84">
        <f>VLOOKUP(VALUE($S661),lookups!I:J,2,FALSE)</f>
        <v>26</v>
      </c>
      <c r="P661" s="84" t="e">
        <f>VLOOKUP(VALUE($S661),lookups!F:G,2,FALSE)</f>
        <v>#N/A</v>
      </c>
      <c r="Q661" s="84" t="str">
        <f t="shared" si="40"/>
        <v>ParentNotInCyberQuery</v>
      </c>
      <c r="R661" s="84" t="str">
        <f t="shared" si="41"/>
        <v>MT</v>
      </c>
      <c r="S661" s="84">
        <f t="shared" si="42"/>
        <v>342054</v>
      </c>
      <c r="T661" s="84">
        <f t="shared" si="43"/>
        <v>1013879</v>
      </c>
    </row>
    <row r="662" spans="1:21" x14ac:dyDescent="0.3">
      <c r="A662" s="96"/>
      <c r="B662" s="84">
        <v>342166</v>
      </c>
      <c r="C662" s="85">
        <v>342163</v>
      </c>
      <c r="D662" s="84" t="s">
        <v>6</v>
      </c>
      <c r="E662" s="84" t="s">
        <v>345</v>
      </c>
      <c r="F662" s="86" t="s">
        <v>338</v>
      </c>
      <c r="G662" s="87" t="s">
        <v>260</v>
      </c>
      <c r="H662" s="87">
        <v>1</v>
      </c>
      <c r="I662" s="89" t="s">
        <v>141</v>
      </c>
      <c r="J662" s="89" t="s">
        <v>339</v>
      </c>
      <c r="K662" s="89" t="s">
        <v>1614</v>
      </c>
      <c r="L662" s="84" t="s">
        <v>214</v>
      </c>
      <c r="M662" s="88" t="str">
        <f>VLOOKUP(L662,lookups!B:C,2,FALSE)</f>
        <v>Dave G</v>
      </c>
      <c r="N662" s="89" t="str">
        <f>VLOOKUP(K662,TeamLookup[],2,0)</f>
        <v>Cyber</v>
      </c>
      <c r="O662" s="84">
        <f>VLOOKUP(VALUE($S662),lookups!I:J,2,FALSE)</f>
        <v>71</v>
      </c>
      <c r="P662" s="84">
        <f>VLOOKUP(VALUE($S662),lookups!F:G,2,FALSE)</f>
        <v>101</v>
      </c>
      <c r="Q662" s="84" t="str">
        <f t="shared" si="40"/>
        <v>ParentNotInCyberQuery</v>
      </c>
      <c r="R662" s="84" t="str">
        <f t="shared" si="41"/>
        <v>MT</v>
      </c>
      <c r="S662" s="84">
        <f t="shared" si="42"/>
        <v>342163</v>
      </c>
      <c r="T662" s="84">
        <f t="shared" si="43"/>
        <v>342166</v>
      </c>
    </row>
    <row r="663" spans="1:21" ht="28.8" x14ac:dyDescent="0.3">
      <c r="A663" s="96"/>
      <c r="B663" s="84">
        <v>376262</v>
      </c>
      <c r="C663" s="85">
        <v>346976</v>
      </c>
      <c r="D663" s="84" t="s">
        <v>6</v>
      </c>
      <c r="E663" s="84" t="s">
        <v>345</v>
      </c>
      <c r="F663" s="86" t="s">
        <v>556</v>
      </c>
      <c r="G663" s="87" t="s">
        <v>543</v>
      </c>
      <c r="H663" s="87">
        <v>2</v>
      </c>
      <c r="I663" s="84" t="s">
        <v>8</v>
      </c>
      <c r="J663" s="84"/>
      <c r="K663" s="84" t="s">
        <v>1614</v>
      </c>
      <c r="L663" s="84" t="s">
        <v>88</v>
      </c>
      <c r="M663" s="88" t="str">
        <f>VLOOKUP(L663,lookups!B:C,2,FALSE)</f>
        <v>Will</v>
      </c>
      <c r="N663" s="89" t="str">
        <f>VLOOKUP(K663,TeamLookup[],2,0)</f>
        <v>Cyber</v>
      </c>
      <c r="O663" s="84" t="e">
        <f>VLOOKUP(VALUE($S663),lookups!I:J,2,FALSE)</f>
        <v>#N/A</v>
      </c>
      <c r="P663" s="84" t="e">
        <f>VLOOKUP(VALUE($S663),lookups!F:G,2,FALSE)</f>
        <v>#N/A</v>
      </c>
      <c r="Q663" s="84" t="str">
        <f t="shared" si="40"/>
        <v>ParentNotInCyberQuery</v>
      </c>
      <c r="R663" s="84" t="str">
        <f t="shared" si="41"/>
        <v>MT</v>
      </c>
      <c r="S663" s="84">
        <f t="shared" si="42"/>
        <v>346976</v>
      </c>
      <c r="T663" s="84">
        <f t="shared" si="43"/>
        <v>376262</v>
      </c>
    </row>
    <row r="664" spans="1:21" ht="28.8" x14ac:dyDescent="0.3">
      <c r="B664" s="84">
        <v>378353</v>
      </c>
      <c r="C664" s="85">
        <v>346976</v>
      </c>
      <c r="D664" s="84" t="s">
        <v>6</v>
      </c>
      <c r="E664" s="84" t="s">
        <v>345</v>
      </c>
      <c r="F664" s="86" t="s">
        <v>540</v>
      </c>
      <c r="G664" s="87" t="s">
        <v>541</v>
      </c>
      <c r="H664" s="87">
        <v>1</v>
      </c>
      <c r="I664" s="84"/>
      <c r="J664" s="84"/>
      <c r="K664" s="84" t="s">
        <v>1614</v>
      </c>
      <c r="L664" s="84" t="s">
        <v>88</v>
      </c>
      <c r="M664" s="88" t="str">
        <f>VLOOKUP(L664,lookups!B:C,2,FALSE)</f>
        <v>Will</v>
      </c>
      <c r="N664" s="89" t="str">
        <f>VLOOKUP(K664,TeamLookup[],2,0)</f>
        <v>Cyber</v>
      </c>
      <c r="O664" s="84" t="e">
        <f>VLOOKUP(VALUE($S664),lookups!I:J,2,FALSE)</f>
        <v>#N/A</v>
      </c>
      <c r="P664" s="84" t="e">
        <f>VLOOKUP(VALUE($S664),lookups!F:G,2,FALSE)</f>
        <v>#N/A</v>
      </c>
      <c r="Q664" s="84" t="str">
        <f t="shared" si="40"/>
        <v>ParentNotInCyberQuery</v>
      </c>
      <c r="R664" s="84" t="str">
        <f t="shared" si="41"/>
        <v>MT</v>
      </c>
      <c r="S664" s="84">
        <f t="shared" si="42"/>
        <v>346976</v>
      </c>
      <c r="T664" s="84">
        <f t="shared" si="43"/>
        <v>378353</v>
      </c>
    </row>
    <row r="665" spans="1:21" x14ac:dyDescent="0.3">
      <c r="B665" s="84">
        <v>375954</v>
      </c>
      <c r="C665" s="85">
        <v>354537</v>
      </c>
      <c r="D665" s="84" t="s">
        <v>6</v>
      </c>
      <c r="E665" s="84" t="s">
        <v>345</v>
      </c>
      <c r="F665" s="86" t="s">
        <v>561</v>
      </c>
      <c r="G665" s="87" t="s">
        <v>543</v>
      </c>
      <c r="H665" s="87">
        <v>1</v>
      </c>
      <c r="I665" s="89" t="s">
        <v>48</v>
      </c>
      <c r="J665" s="89"/>
      <c r="K665" s="89" t="s">
        <v>1614</v>
      </c>
      <c r="L665" s="84" t="s">
        <v>37</v>
      </c>
      <c r="M665" s="88" t="str">
        <f>VLOOKUP(L665,lookups!B:C,2,FALSE)</f>
        <v>Kent</v>
      </c>
      <c r="N665" s="89" t="str">
        <f>VLOOKUP(K665,TeamLookup[],2,0)</f>
        <v>Cyber</v>
      </c>
      <c r="O665" s="84" t="e">
        <f>VLOOKUP(VALUE($S665),lookups!I:J,2,FALSE)</f>
        <v>#N/A</v>
      </c>
      <c r="P665" s="84" t="e">
        <f>VLOOKUP(VALUE($S665),lookups!F:G,2,FALSE)</f>
        <v>#N/A</v>
      </c>
      <c r="Q665" s="84" t="str">
        <f t="shared" si="40"/>
        <v>ParentNotInCyberQuery</v>
      </c>
      <c r="R665" s="84" t="str">
        <f t="shared" si="41"/>
        <v>MT</v>
      </c>
      <c r="S665" s="84">
        <f t="shared" si="42"/>
        <v>354537</v>
      </c>
      <c r="T665" s="84">
        <f t="shared" si="43"/>
        <v>375954</v>
      </c>
    </row>
    <row r="666" spans="1:21" x14ac:dyDescent="0.3">
      <c r="A666" s="96"/>
      <c r="B666" s="84">
        <v>1008525</v>
      </c>
      <c r="C666" s="85">
        <v>354646</v>
      </c>
      <c r="D666" s="84" t="s">
        <v>6</v>
      </c>
      <c r="E666" s="84" t="s">
        <v>345</v>
      </c>
      <c r="F666" s="86" t="s">
        <v>307</v>
      </c>
      <c r="G666" s="87" t="s">
        <v>217</v>
      </c>
      <c r="H666" s="87">
        <v>1</v>
      </c>
      <c r="I666" s="89"/>
      <c r="J666" s="89"/>
      <c r="K666" s="89" t="s">
        <v>1614</v>
      </c>
      <c r="L666" s="84" t="s">
        <v>37</v>
      </c>
      <c r="M666" s="88" t="str">
        <f>VLOOKUP(L666,lookups!B:C,2,FALSE)</f>
        <v>Kent</v>
      </c>
      <c r="N666" s="89" t="str">
        <f>VLOOKUP(K666,TeamLookup[],2,0)</f>
        <v>Cyber</v>
      </c>
      <c r="O666" s="84" t="e">
        <f>VLOOKUP(VALUE($S666),lookups!I:J,2,FALSE)</f>
        <v>#N/A</v>
      </c>
      <c r="P666" s="84">
        <f>VLOOKUP(VALUE($S666),lookups!F:G,2,FALSE)</f>
        <v>61</v>
      </c>
      <c r="Q666" s="84" t="str">
        <f t="shared" si="40"/>
        <v>ParentNotInCyberQuery</v>
      </c>
      <c r="R666" s="84" t="str">
        <f t="shared" si="41"/>
        <v>MT</v>
      </c>
      <c r="S666" s="84">
        <f t="shared" si="42"/>
        <v>354646</v>
      </c>
      <c r="T666" s="84">
        <f t="shared" si="43"/>
        <v>1008525</v>
      </c>
    </row>
    <row r="667" spans="1:21" x14ac:dyDescent="0.3">
      <c r="B667" s="84">
        <v>354850</v>
      </c>
      <c r="C667" s="85">
        <v>354847</v>
      </c>
      <c r="D667" s="84" t="s">
        <v>6</v>
      </c>
      <c r="E667" s="84" t="s">
        <v>7</v>
      </c>
      <c r="F667" s="86" t="s">
        <v>690</v>
      </c>
      <c r="G667" s="87" t="s">
        <v>442</v>
      </c>
      <c r="H667" s="87">
        <v>3</v>
      </c>
      <c r="I667" s="84"/>
      <c r="J667" s="84"/>
      <c r="K667" s="84" t="s">
        <v>1614</v>
      </c>
      <c r="L667" s="84" t="s">
        <v>8</v>
      </c>
      <c r="M667" s="88" t="str">
        <f>VLOOKUP(L667,lookups!B:C,2,FALSE)</f>
        <v>TBD</v>
      </c>
      <c r="N667" s="89" t="str">
        <f>VLOOKUP(K667,TeamLookup[],2,0)</f>
        <v>Cyber</v>
      </c>
      <c r="O667" s="84" t="e">
        <f>VLOOKUP(VALUE($S667),lookups!I:J,2,FALSE)</f>
        <v>#N/A</v>
      </c>
      <c r="P667" s="84" t="e">
        <f>VLOOKUP(VALUE($S667),lookups!F:G,2,FALSE)</f>
        <v>#N/A</v>
      </c>
      <c r="Q667" s="84" t="str">
        <f t="shared" si="40"/>
        <v>ParentNotInCyberQuery</v>
      </c>
      <c r="R667" s="84" t="str">
        <f t="shared" si="41"/>
        <v>MT</v>
      </c>
      <c r="S667" s="84">
        <f t="shared" si="42"/>
        <v>354847</v>
      </c>
      <c r="T667" s="84">
        <f t="shared" si="43"/>
        <v>354850</v>
      </c>
    </row>
    <row r="668" spans="1:21" ht="28.8" x14ac:dyDescent="0.3">
      <c r="B668" s="84">
        <v>391386</v>
      </c>
      <c r="C668" s="85">
        <v>354871</v>
      </c>
      <c r="D668" s="84" t="s">
        <v>6</v>
      </c>
      <c r="E668" s="84" t="s">
        <v>345</v>
      </c>
      <c r="F668" s="86" t="s">
        <v>403</v>
      </c>
      <c r="G668" s="87" t="s">
        <v>1348</v>
      </c>
      <c r="H668" s="87">
        <v>2</v>
      </c>
      <c r="I668" s="84"/>
      <c r="J668" s="84" t="s">
        <v>404</v>
      </c>
      <c r="K668" s="84" t="s">
        <v>1614</v>
      </c>
      <c r="L668" s="84" t="s">
        <v>131</v>
      </c>
      <c r="M668" s="88" t="str">
        <f>VLOOKUP(L668,lookups!B:C,2,FALSE)</f>
        <v>Carol</v>
      </c>
      <c r="N668" s="89" t="str">
        <f>VLOOKUP(K668,TeamLookup[],2,0)</f>
        <v>Cyber</v>
      </c>
      <c r="O668" s="84">
        <f>VLOOKUP(VALUE($S668),lookups!I:J,2,FALSE)</f>
        <v>43</v>
      </c>
      <c r="P668" s="84">
        <f>VLOOKUP(VALUE($S668),lookups!F:G,2,FALSE)</f>
        <v>64</v>
      </c>
      <c r="Q668" s="84" t="str">
        <f t="shared" si="40"/>
        <v>ParentNotInCyberQuery</v>
      </c>
      <c r="R668" s="84" t="str">
        <f t="shared" si="41"/>
        <v>MT</v>
      </c>
      <c r="S668" s="84">
        <f t="shared" si="42"/>
        <v>354871</v>
      </c>
      <c r="T668" s="84">
        <f t="shared" si="43"/>
        <v>391386</v>
      </c>
    </row>
    <row r="669" spans="1:21" ht="23.4" customHeight="1" x14ac:dyDescent="0.3">
      <c r="B669" s="84">
        <v>1022656</v>
      </c>
      <c r="C669" s="85">
        <v>354871</v>
      </c>
      <c r="D669" s="84" t="s">
        <v>6</v>
      </c>
      <c r="E669" s="84" t="s">
        <v>345</v>
      </c>
      <c r="F669" s="86" t="s">
        <v>1595</v>
      </c>
      <c r="G669" s="87" t="s">
        <v>258</v>
      </c>
      <c r="H669" s="87">
        <v>2</v>
      </c>
      <c r="I669" s="84"/>
      <c r="J669" s="84"/>
      <c r="K669" s="84" t="s">
        <v>1614</v>
      </c>
      <c r="L669" s="84" t="s">
        <v>125</v>
      </c>
      <c r="M669" s="88" t="str">
        <f>VLOOKUP(L669,lookups!B:C,2,FALSE)</f>
        <v>Dave C</v>
      </c>
      <c r="N669" s="89" t="str">
        <f>VLOOKUP(K669,TeamLookup[],2,0)</f>
        <v>Cyber</v>
      </c>
      <c r="O669" s="84">
        <f>VLOOKUP(VALUE($S669),lookups!I:J,2,FALSE)</f>
        <v>43</v>
      </c>
      <c r="P669" s="84">
        <f>VLOOKUP(VALUE($S669),lookups!F:G,2,FALSE)</f>
        <v>64</v>
      </c>
      <c r="Q669" s="84" t="str">
        <f t="shared" si="40"/>
        <v>ParentNotInCyberQuery</v>
      </c>
      <c r="R669" s="84" t="str">
        <f t="shared" si="41"/>
        <v>MT</v>
      </c>
      <c r="S669" s="84">
        <f t="shared" si="42"/>
        <v>354871</v>
      </c>
      <c r="T669" s="84">
        <f t="shared" si="43"/>
        <v>1022656</v>
      </c>
    </row>
    <row r="670" spans="1:21" ht="13.95" customHeight="1" x14ac:dyDescent="0.3">
      <c r="A670" s="96"/>
      <c r="B670" s="84">
        <v>391393</v>
      </c>
      <c r="C670" s="85">
        <v>354871</v>
      </c>
      <c r="D670" s="84" t="s">
        <v>6</v>
      </c>
      <c r="E670" s="84" t="s">
        <v>7</v>
      </c>
      <c r="F670" s="86" t="s">
        <v>1666</v>
      </c>
      <c r="G670" s="87" t="s">
        <v>1402</v>
      </c>
      <c r="H670" s="87">
        <v>5</v>
      </c>
      <c r="I670" s="89"/>
      <c r="J670" s="89" t="s">
        <v>212</v>
      </c>
      <c r="K670" s="89" t="s">
        <v>1614</v>
      </c>
      <c r="L670" s="84" t="s">
        <v>8</v>
      </c>
      <c r="M670" s="88" t="str">
        <f>VLOOKUP(L670,lookups!B:C,2,FALSE)</f>
        <v>TBD</v>
      </c>
      <c r="N670" s="89" t="str">
        <f>VLOOKUP(K670,TeamLookup[],2,0)</f>
        <v>Cyber</v>
      </c>
      <c r="O670" s="84">
        <f>VLOOKUP(VALUE($S670),lookups!I:J,2,FALSE)</f>
        <v>43</v>
      </c>
      <c r="P670" s="84">
        <f>VLOOKUP(VALUE($S670),lookups!F:G,2,FALSE)</f>
        <v>64</v>
      </c>
      <c r="Q670" s="84" t="str">
        <f t="shared" si="40"/>
        <v>ParentNotInCyberQuery</v>
      </c>
      <c r="R670" s="84" t="str">
        <f t="shared" si="41"/>
        <v>MT</v>
      </c>
      <c r="S670" s="84">
        <f t="shared" si="42"/>
        <v>354871</v>
      </c>
      <c r="T670" s="84">
        <f t="shared" si="43"/>
        <v>391393</v>
      </c>
    </row>
    <row r="671" spans="1:21" ht="28.8" x14ac:dyDescent="0.3">
      <c r="B671" s="84">
        <v>391502</v>
      </c>
      <c r="C671" s="85">
        <v>354871</v>
      </c>
      <c r="D671" s="84" t="s">
        <v>6</v>
      </c>
      <c r="E671" s="84" t="s">
        <v>7</v>
      </c>
      <c r="F671" s="86" t="s">
        <v>1665</v>
      </c>
      <c r="G671" s="87" t="s">
        <v>1447</v>
      </c>
      <c r="H671" s="87">
        <v>3</v>
      </c>
      <c r="I671" s="84"/>
      <c r="J671" s="84"/>
      <c r="K671" s="84" t="s">
        <v>1614</v>
      </c>
      <c r="L671" s="84" t="s">
        <v>37</v>
      </c>
      <c r="M671" s="88" t="str">
        <f>VLOOKUP(L671,lookups!B:C,2,FALSE)</f>
        <v>Kent</v>
      </c>
      <c r="N671" s="89" t="str">
        <f>VLOOKUP(K671,TeamLookup[],2,0)</f>
        <v>Cyber</v>
      </c>
      <c r="O671" s="84">
        <f>VLOOKUP(VALUE($S671),lookups!I:J,2,FALSE)</f>
        <v>43</v>
      </c>
      <c r="P671" s="84">
        <f>VLOOKUP(VALUE($S671),lookups!F:G,2,FALSE)</f>
        <v>64</v>
      </c>
      <c r="Q671" s="84" t="str">
        <f t="shared" si="40"/>
        <v>ParentNotInCyberQuery</v>
      </c>
      <c r="R671" s="84" t="str">
        <f t="shared" si="41"/>
        <v>MT</v>
      </c>
      <c r="S671" s="84">
        <f t="shared" si="42"/>
        <v>354871</v>
      </c>
      <c r="T671" s="84">
        <f t="shared" si="43"/>
        <v>391502</v>
      </c>
      <c r="U671" s="94"/>
    </row>
    <row r="672" spans="1:21" x14ac:dyDescent="0.3">
      <c r="B672" s="84">
        <v>375493</v>
      </c>
      <c r="C672" s="85">
        <v>355738</v>
      </c>
      <c r="D672" s="84" t="s">
        <v>6</v>
      </c>
      <c r="E672" s="84" t="s">
        <v>345</v>
      </c>
      <c r="F672" s="86" t="s">
        <v>564</v>
      </c>
      <c r="G672" s="87" t="s">
        <v>541</v>
      </c>
      <c r="H672" s="87">
        <v>1</v>
      </c>
      <c r="I672" s="89"/>
      <c r="J672" s="89"/>
      <c r="K672" s="89" t="s">
        <v>1614</v>
      </c>
      <c r="L672" s="84" t="s">
        <v>129</v>
      </c>
      <c r="M672" s="88" t="str">
        <f>VLOOKUP(L672,lookups!B:C,2,FALSE)</f>
        <v>Derek</v>
      </c>
      <c r="N672" s="89" t="str">
        <f>VLOOKUP(K672,TeamLookup[],2,0)</f>
        <v>Cyber</v>
      </c>
      <c r="O672" s="84" t="e">
        <f>VLOOKUP(VALUE($S672),lookups!I:J,2,FALSE)</f>
        <v>#N/A</v>
      </c>
      <c r="P672" s="84" t="e">
        <f>VLOOKUP(VALUE($S672),lookups!F:G,2,FALSE)</f>
        <v>#N/A</v>
      </c>
      <c r="Q672" s="84" t="str">
        <f t="shared" si="40"/>
        <v>ParentNotInCyberQuery</v>
      </c>
      <c r="R672" s="84" t="str">
        <f t="shared" si="41"/>
        <v>MT</v>
      </c>
      <c r="S672" s="84">
        <f t="shared" si="42"/>
        <v>355738</v>
      </c>
      <c r="T672" s="84">
        <f t="shared" si="43"/>
        <v>375493</v>
      </c>
    </row>
    <row r="673" spans="1:20" ht="25.2" customHeight="1" x14ac:dyDescent="0.3">
      <c r="B673" s="84">
        <v>380288</v>
      </c>
      <c r="C673" s="85">
        <v>355738</v>
      </c>
      <c r="D673" s="84" t="s">
        <v>6</v>
      </c>
      <c r="E673" s="88" t="s">
        <v>345</v>
      </c>
      <c r="F673" s="86" t="s">
        <v>539</v>
      </c>
      <c r="G673" s="87" t="s">
        <v>508</v>
      </c>
      <c r="H673" s="87">
        <v>1</v>
      </c>
      <c r="I673" s="89"/>
      <c r="J673" s="89"/>
      <c r="K673" s="89" t="s">
        <v>1614</v>
      </c>
      <c r="L673" s="84" t="s">
        <v>129</v>
      </c>
      <c r="M673" s="88" t="str">
        <f>VLOOKUP(L673,lookups!B:C,2,FALSE)</f>
        <v>Derek</v>
      </c>
      <c r="N673" s="89" t="str">
        <f>VLOOKUP(K673,TeamLookup[],2,0)</f>
        <v>Cyber</v>
      </c>
      <c r="O673" s="84" t="e">
        <f>VLOOKUP(VALUE($S673),lookups!I:J,2,FALSE)</f>
        <v>#N/A</v>
      </c>
      <c r="P673" s="84" t="e">
        <f>VLOOKUP(VALUE($S673),lookups!F:G,2,FALSE)</f>
        <v>#N/A</v>
      </c>
      <c r="Q673" s="84" t="str">
        <f t="shared" si="40"/>
        <v>ParentNotInCyberQuery</v>
      </c>
      <c r="R673" s="84" t="str">
        <f t="shared" si="41"/>
        <v>MT</v>
      </c>
      <c r="S673" s="84">
        <f t="shared" si="42"/>
        <v>355738</v>
      </c>
      <c r="T673" s="84">
        <f t="shared" si="43"/>
        <v>380288</v>
      </c>
    </row>
    <row r="674" spans="1:20" x14ac:dyDescent="0.3">
      <c r="B674" s="84">
        <v>355950</v>
      </c>
      <c r="C674" s="85">
        <v>355947</v>
      </c>
      <c r="D674" s="84" t="s">
        <v>6</v>
      </c>
      <c r="E674" s="84" t="s">
        <v>7</v>
      </c>
      <c r="F674" s="86" t="s">
        <v>686</v>
      </c>
      <c r="G674" s="87" t="s">
        <v>8</v>
      </c>
      <c r="H674" s="87">
        <v>8</v>
      </c>
      <c r="I674" s="89"/>
      <c r="J674" s="89" t="s">
        <v>687</v>
      </c>
      <c r="K674" s="89" t="s">
        <v>1614</v>
      </c>
      <c r="L674" s="84" t="s">
        <v>8</v>
      </c>
      <c r="M674" s="88" t="str">
        <f>VLOOKUP(L674,lookups!B:C,2,FALSE)</f>
        <v>TBD</v>
      </c>
      <c r="N674" s="89" t="str">
        <f>VLOOKUP(K674,TeamLookup[],2,0)</f>
        <v>Cyber</v>
      </c>
      <c r="O674" s="84" t="e">
        <f>VLOOKUP(VALUE($S674),lookups!I:J,2,FALSE)</f>
        <v>#N/A</v>
      </c>
      <c r="P674" s="84" t="e">
        <f>VLOOKUP(VALUE($S674),lookups!F:G,2,FALSE)</f>
        <v>#N/A</v>
      </c>
      <c r="Q674" s="84" t="str">
        <f t="shared" si="40"/>
        <v>ParentNotInCyberQuery</v>
      </c>
      <c r="R674" s="84" t="str">
        <f t="shared" si="41"/>
        <v>MT</v>
      </c>
      <c r="S674" s="84">
        <f t="shared" si="42"/>
        <v>355947</v>
      </c>
      <c r="T674" s="84">
        <f t="shared" si="43"/>
        <v>355950</v>
      </c>
    </row>
    <row r="675" spans="1:20" x14ac:dyDescent="0.3">
      <c r="B675" s="84">
        <v>360625</v>
      </c>
      <c r="C675" s="85">
        <v>360622</v>
      </c>
      <c r="D675" s="84" t="s">
        <v>6</v>
      </c>
      <c r="E675" s="84" t="s">
        <v>7</v>
      </c>
      <c r="F675" s="86" t="s">
        <v>668</v>
      </c>
      <c r="G675" s="87" t="s">
        <v>8</v>
      </c>
      <c r="H675" s="87">
        <v>8</v>
      </c>
      <c r="I675" s="89"/>
      <c r="J675" s="89" t="s">
        <v>669</v>
      </c>
      <c r="K675" s="89" t="s">
        <v>1614</v>
      </c>
      <c r="L675" s="84" t="s">
        <v>8</v>
      </c>
      <c r="M675" s="88" t="str">
        <f>VLOOKUP(L675,lookups!B:C,2,FALSE)</f>
        <v>TBD</v>
      </c>
      <c r="N675" s="89" t="str">
        <f>VLOOKUP(K675,TeamLookup[],2,0)</f>
        <v>Cyber</v>
      </c>
      <c r="O675" s="84" t="e">
        <f>VLOOKUP(VALUE($S675),lookups!I:J,2,FALSE)</f>
        <v>#N/A</v>
      </c>
      <c r="P675" s="84" t="e">
        <f>VLOOKUP(VALUE($S675),lookups!F:G,2,FALSE)</f>
        <v>#N/A</v>
      </c>
      <c r="Q675" s="84" t="str">
        <f t="shared" si="40"/>
        <v>ParentNotInCyberQuery</v>
      </c>
      <c r="R675" s="84" t="str">
        <f t="shared" si="41"/>
        <v>MT</v>
      </c>
      <c r="S675" s="84">
        <f t="shared" si="42"/>
        <v>360622</v>
      </c>
      <c r="T675" s="84">
        <f t="shared" si="43"/>
        <v>360625</v>
      </c>
    </row>
    <row r="676" spans="1:20" x14ac:dyDescent="0.3">
      <c r="B676" s="84">
        <v>363296</v>
      </c>
      <c r="C676" s="85">
        <v>363293</v>
      </c>
      <c r="D676" s="84" t="s">
        <v>6</v>
      </c>
      <c r="E676" s="84" t="s">
        <v>7</v>
      </c>
      <c r="F676" s="86" t="s">
        <v>663</v>
      </c>
      <c r="G676" s="87" t="s">
        <v>8</v>
      </c>
      <c r="H676" s="87">
        <v>8</v>
      </c>
      <c r="I676" s="89"/>
      <c r="J676" s="89" t="s">
        <v>664</v>
      </c>
      <c r="K676" s="89" t="s">
        <v>1614</v>
      </c>
      <c r="L676" s="84" t="s">
        <v>8</v>
      </c>
      <c r="M676" s="88" t="str">
        <f>VLOOKUP(L676,lookups!B:C,2,FALSE)</f>
        <v>TBD</v>
      </c>
      <c r="N676" s="89" t="str">
        <f>VLOOKUP(K676,TeamLookup[],2,0)</f>
        <v>Cyber</v>
      </c>
      <c r="O676" s="84" t="e">
        <f>VLOOKUP(VALUE($S676),lookups!I:J,2,FALSE)</f>
        <v>#N/A</v>
      </c>
      <c r="P676" s="84" t="e">
        <f>VLOOKUP(VALUE($S676),lookups!F:G,2,FALSE)</f>
        <v>#N/A</v>
      </c>
      <c r="Q676" s="84" t="str">
        <f t="shared" si="40"/>
        <v>ParentNotInCyberQuery</v>
      </c>
      <c r="R676" s="84" t="str">
        <f t="shared" si="41"/>
        <v>MT</v>
      </c>
      <c r="S676" s="84">
        <f t="shared" si="42"/>
        <v>363293</v>
      </c>
      <c r="T676" s="84">
        <f t="shared" si="43"/>
        <v>363296</v>
      </c>
    </row>
    <row r="677" spans="1:20" x14ac:dyDescent="0.3">
      <c r="B677" s="84">
        <v>363382</v>
      </c>
      <c r="C677" s="85">
        <v>363379</v>
      </c>
      <c r="D677" s="84" t="s">
        <v>6</v>
      </c>
      <c r="E677" s="84" t="s">
        <v>7</v>
      </c>
      <c r="F677" s="86" t="s">
        <v>661</v>
      </c>
      <c r="G677" s="87" t="s">
        <v>8</v>
      </c>
      <c r="H677" s="87">
        <v>8</v>
      </c>
      <c r="I677" s="89"/>
      <c r="J677" s="89" t="s">
        <v>662</v>
      </c>
      <c r="K677" s="89" t="s">
        <v>1614</v>
      </c>
      <c r="L677" s="84" t="s">
        <v>8</v>
      </c>
      <c r="M677" s="88" t="str">
        <f>VLOOKUP(L677,lookups!B:C,2,FALSE)</f>
        <v>TBD</v>
      </c>
      <c r="N677" s="89" t="str">
        <f>VLOOKUP(K677,TeamLookup[],2,0)</f>
        <v>Cyber</v>
      </c>
      <c r="O677" s="84" t="e">
        <f>VLOOKUP(VALUE($S677),lookups!I:J,2,FALSE)</f>
        <v>#N/A</v>
      </c>
      <c r="P677" s="84" t="e">
        <f>VLOOKUP(VALUE($S677),lookups!F:G,2,FALSE)</f>
        <v>#N/A</v>
      </c>
      <c r="Q677" s="84" t="str">
        <f t="shared" si="40"/>
        <v>ParentNotInCyberQuery</v>
      </c>
      <c r="R677" s="84" t="str">
        <f t="shared" si="41"/>
        <v>MT</v>
      </c>
      <c r="S677" s="84">
        <f t="shared" si="42"/>
        <v>363379</v>
      </c>
      <c r="T677" s="84">
        <f t="shared" si="43"/>
        <v>363382</v>
      </c>
    </row>
    <row r="678" spans="1:20" x14ac:dyDescent="0.3">
      <c r="B678" s="84">
        <v>363453</v>
      </c>
      <c r="C678" s="85">
        <v>363450</v>
      </c>
      <c r="D678" s="84" t="s">
        <v>6</v>
      </c>
      <c r="E678" s="84" t="s">
        <v>7</v>
      </c>
      <c r="F678" s="86" t="s">
        <v>659</v>
      </c>
      <c r="G678" s="87" t="s">
        <v>1525</v>
      </c>
      <c r="H678" s="87">
        <v>8</v>
      </c>
      <c r="I678" s="89"/>
      <c r="J678" s="89" t="s">
        <v>660</v>
      </c>
      <c r="K678" s="89" t="s">
        <v>1614</v>
      </c>
      <c r="L678" s="84" t="s">
        <v>8</v>
      </c>
      <c r="M678" s="88" t="str">
        <f>VLOOKUP(L678,lookups!B:C,2,FALSE)</f>
        <v>TBD</v>
      </c>
      <c r="N678" s="89" t="str">
        <f>VLOOKUP(K678,TeamLookup[],2,0)</f>
        <v>Cyber</v>
      </c>
      <c r="O678" s="84" t="e">
        <f>VLOOKUP(VALUE($S678),lookups!I:J,2,FALSE)</f>
        <v>#N/A</v>
      </c>
      <c r="P678" s="84" t="e">
        <f>VLOOKUP(VALUE($S678),lookups!F:G,2,FALSE)</f>
        <v>#N/A</v>
      </c>
      <c r="Q678" s="84" t="str">
        <f t="shared" si="40"/>
        <v>ParentNotInCyberQuery</v>
      </c>
      <c r="R678" s="84" t="str">
        <f t="shared" si="41"/>
        <v>MT</v>
      </c>
      <c r="S678" s="84">
        <f t="shared" si="42"/>
        <v>363450</v>
      </c>
      <c r="T678" s="84">
        <f t="shared" si="43"/>
        <v>363453</v>
      </c>
    </row>
    <row r="679" spans="1:20" ht="35.25" customHeight="1" x14ac:dyDescent="0.3">
      <c r="B679" s="84">
        <v>363787</v>
      </c>
      <c r="C679" s="85">
        <v>363784</v>
      </c>
      <c r="D679" s="84" t="s">
        <v>6</v>
      </c>
      <c r="E679" s="84" t="s">
        <v>7</v>
      </c>
      <c r="F679" s="86" t="s">
        <v>657</v>
      </c>
      <c r="G679" s="87" t="s">
        <v>8</v>
      </c>
      <c r="H679" s="87">
        <v>8</v>
      </c>
      <c r="I679" s="84"/>
      <c r="J679" s="84" t="s">
        <v>658</v>
      </c>
      <c r="K679" s="84" t="s">
        <v>1614</v>
      </c>
      <c r="L679" s="84" t="s">
        <v>8</v>
      </c>
      <c r="M679" s="88" t="str">
        <f>VLOOKUP(L679,lookups!B:C,2,FALSE)</f>
        <v>TBD</v>
      </c>
      <c r="N679" s="89" t="str">
        <f>VLOOKUP(K679,TeamLookup[],2,0)</f>
        <v>Cyber</v>
      </c>
      <c r="O679" s="84" t="e">
        <f>VLOOKUP(VALUE($S679),lookups!I:J,2,FALSE)</f>
        <v>#N/A</v>
      </c>
      <c r="P679" s="84" t="e">
        <f>VLOOKUP(VALUE($S679),lookups!F:G,2,FALSE)</f>
        <v>#N/A</v>
      </c>
      <c r="Q679" s="84" t="str">
        <f t="shared" si="40"/>
        <v>ParentNotInCyberQuery</v>
      </c>
      <c r="R679" s="84" t="str">
        <f t="shared" si="41"/>
        <v>MT</v>
      </c>
      <c r="S679" s="84">
        <f t="shared" si="42"/>
        <v>363784</v>
      </c>
      <c r="T679" s="84">
        <f t="shared" si="43"/>
        <v>363787</v>
      </c>
    </row>
    <row r="680" spans="1:20" x14ac:dyDescent="0.3">
      <c r="B680" s="84">
        <v>366356</v>
      </c>
      <c r="C680" s="85">
        <v>366348</v>
      </c>
      <c r="D680" s="84" t="s">
        <v>6</v>
      </c>
      <c r="E680" s="84" t="s">
        <v>345</v>
      </c>
      <c r="F680" s="86" t="s">
        <v>652</v>
      </c>
      <c r="G680" s="87" t="s">
        <v>434</v>
      </c>
      <c r="H680" s="87">
        <v>2</v>
      </c>
      <c r="I680" s="89"/>
      <c r="J680" s="89"/>
      <c r="K680" s="130" t="s">
        <v>1614</v>
      </c>
      <c r="L680" s="84" t="s">
        <v>88</v>
      </c>
      <c r="M680" s="88" t="str">
        <f>VLOOKUP(L680,lookups!B:C,2,FALSE)</f>
        <v>Will</v>
      </c>
      <c r="N680" s="89" t="str">
        <f>VLOOKUP(K680,TeamLookup[],2,0)</f>
        <v>Cyber</v>
      </c>
      <c r="O680" s="84" t="e">
        <f>VLOOKUP(VALUE($S680),lookups!I:J,2,FALSE)</f>
        <v>#N/A</v>
      </c>
      <c r="P680" s="84">
        <f>VLOOKUP(VALUE($S680),lookups!F:G,2,FALSE)</f>
        <v>47</v>
      </c>
      <c r="Q680" s="84" t="str">
        <f t="shared" si="40"/>
        <v>ParentNotInCyberQuery</v>
      </c>
      <c r="R680" s="84" t="str">
        <f t="shared" si="41"/>
        <v>MT</v>
      </c>
      <c r="S680" s="84">
        <f t="shared" si="42"/>
        <v>366348</v>
      </c>
      <c r="T680" s="84">
        <f t="shared" si="43"/>
        <v>366356</v>
      </c>
    </row>
    <row r="681" spans="1:20" ht="28.8" x14ac:dyDescent="0.3">
      <c r="B681" s="84">
        <v>367378</v>
      </c>
      <c r="C681" s="85">
        <v>366348</v>
      </c>
      <c r="D681" s="84" t="s">
        <v>6</v>
      </c>
      <c r="E681" s="84" t="s">
        <v>345</v>
      </c>
      <c r="F681" s="86" t="s">
        <v>651</v>
      </c>
      <c r="G681" s="87" t="s">
        <v>1349</v>
      </c>
      <c r="H681" s="87">
        <v>3</v>
      </c>
      <c r="I681" s="89"/>
      <c r="J681" s="89"/>
      <c r="K681" s="89" t="s">
        <v>1614</v>
      </c>
      <c r="L681" s="84" t="s">
        <v>37</v>
      </c>
      <c r="M681" s="88" t="str">
        <f>VLOOKUP(L681,lookups!B:C,2,FALSE)</f>
        <v>Kent</v>
      </c>
      <c r="N681" s="89" t="str">
        <f>VLOOKUP(K681,TeamLookup[],2,0)</f>
        <v>Cyber</v>
      </c>
      <c r="O681" s="84" t="e">
        <f>VLOOKUP(VALUE($S681),lookups!I:J,2,FALSE)</f>
        <v>#N/A</v>
      </c>
      <c r="P681" s="84">
        <f>VLOOKUP(VALUE($S681),lookups!F:G,2,FALSE)</f>
        <v>47</v>
      </c>
      <c r="Q681" s="84" t="str">
        <f t="shared" si="40"/>
        <v>ParentNotInCyberQuery</v>
      </c>
      <c r="R681" s="84" t="str">
        <f t="shared" si="41"/>
        <v>MT</v>
      </c>
      <c r="S681" s="84">
        <f t="shared" si="42"/>
        <v>366348</v>
      </c>
      <c r="T681" s="84">
        <f t="shared" si="43"/>
        <v>367378</v>
      </c>
    </row>
    <row r="682" spans="1:20" ht="28.8" x14ac:dyDescent="0.3">
      <c r="B682" s="84">
        <v>392376</v>
      </c>
      <c r="C682" s="85">
        <v>366348</v>
      </c>
      <c r="D682" s="84" t="s">
        <v>6</v>
      </c>
      <c r="E682" s="84" t="s">
        <v>345</v>
      </c>
      <c r="F682" s="86" t="s">
        <v>401</v>
      </c>
      <c r="G682" s="87" t="s">
        <v>1348</v>
      </c>
      <c r="H682" s="87">
        <v>2</v>
      </c>
      <c r="I682" s="84"/>
      <c r="J682" s="84"/>
      <c r="K682" s="89" t="s">
        <v>1614</v>
      </c>
      <c r="L682" s="84" t="s">
        <v>37</v>
      </c>
      <c r="M682" s="88" t="str">
        <f>VLOOKUP(L682,lookups!B:C,2,FALSE)</f>
        <v>Kent</v>
      </c>
      <c r="N682" s="89" t="str">
        <f>VLOOKUP(K682,TeamLookup[],2,0)</f>
        <v>Cyber</v>
      </c>
      <c r="O682" s="84" t="e">
        <f>VLOOKUP(VALUE($S682),lookups!I:J,2,FALSE)</f>
        <v>#N/A</v>
      </c>
      <c r="P682" s="84">
        <f>VLOOKUP(VALUE($S682),lookups!F:G,2,FALSE)</f>
        <v>47</v>
      </c>
      <c r="Q682" s="84" t="str">
        <f t="shared" si="40"/>
        <v>ParentNotInCyberQuery</v>
      </c>
      <c r="R682" s="84" t="str">
        <f t="shared" si="41"/>
        <v>MT</v>
      </c>
      <c r="S682" s="84">
        <f t="shared" si="42"/>
        <v>366348</v>
      </c>
      <c r="T682" s="84">
        <f t="shared" si="43"/>
        <v>392376</v>
      </c>
    </row>
    <row r="683" spans="1:20" ht="28.8" x14ac:dyDescent="0.3">
      <c r="A683" s="96"/>
      <c r="B683" s="84">
        <v>392378</v>
      </c>
      <c r="C683" s="85">
        <v>366348</v>
      </c>
      <c r="D683" s="84" t="s">
        <v>6</v>
      </c>
      <c r="E683" s="84" t="s">
        <v>345</v>
      </c>
      <c r="F683" s="86" t="s">
        <v>400</v>
      </c>
      <c r="G683" s="87" t="s">
        <v>1347</v>
      </c>
      <c r="H683" s="87">
        <v>3</v>
      </c>
      <c r="I683" s="89"/>
      <c r="J683" s="89"/>
      <c r="K683" s="89" t="s">
        <v>1614</v>
      </c>
      <c r="L683" s="84" t="s">
        <v>37</v>
      </c>
      <c r="M683" s="88" t="str">
        <f>VLOOKUP(L683,lookups!B:C,2,FALSE)</f>
        <v>Kent</v>
      </c>
      <c r="N683" s="89" t="str">
        <f>VLOOKUP(K683,TeamLookup[],2,0)</f>
        <v>Cyber</v>
      </c>
      <c r="O683" s="84" t="e">
        <f>VLOOKUP(VALUE($S683),lookups!I:J,2,FALSE)</f>
        <v>#N/A</v>
      </c>
      <c r="P683" s="84">
        <f>VLOOKUP(VALUE($S683),lookups!F:G,2,FALSE)</f>
        <v>47</v>
      </c>
      <c r="Q683" s="84" t="str">
        <f t="shared" si="40"/>
        <v>ParentNotInCyberQuery</v>
      </c>
      <c r="R683" s="84" t="str">
        <f t="shared" si="41"/>
        <v>MT</v>
      </c>
      <c r="S683" s="84">
        <f t="shared" si="42"/>
        <v>366348</v>
      </c>
      <c r="T683" s="84">
        <f t="shared" si="43"/>
        <v>392378</v>
      </c>
    </row>
    <row r="684" spans="1:20" ht="28.8" x14ac:dyDescent="0.3">
      <c r="B684" s="84">
        <v>1002407</v>
      </c>
      <c r="C684" s="85">
        <v>366348</v>
      </c>
      <c r="D684" s="84" t="s">
        <v>6</v>
      </c>
      <c r="E684" s="84" t="s">
        <v>345</v>
      </c>
      <c r="F684" s="86" t="s">
        <v>369</v>
      </c>
      <c r="G684" s="87" t="s">
        <v>1346</v>
      </c>
      <c r="H684" s="87">
        <v>2</v>
      </c>
      <c r="I684" s="84"/>
      <c r="J684" s="84"/>
      <c r="K684" s="84" t="s">
        <v>1614</v>
      </c>
      <c r="L684" s="84" t="s">
        <v>37</v>
      </c>
      <c r="M684" s="88" t="str">
        <f>VLOOKUP(L684,lookups!B:C,2,FALSE)</f>
        <v>Kent</v>
      </c>
      <c r="N684" s="89" t="str">
        <f>VLOOKUP(K684,TeamLookup[],2,0)</f>
        <v>Cyber</v>
      </c>
      <c r="O684" s="84" t="e">
        <f>VLOOKUP(VALUE($S684),lookups!I:J,2,FALSE)</f>
        <v>#N/A</v>
      </c>
      <c r="P684" s="84">
        <f>VLOOKUP(VALUE($S684),lookups!F:G,2,FALSE)</f>
        <v>47</v>
      </c>
      <c r="Q684" s="84" t="str">
        <f t="shared" si="40"/>
        <v>ParentNotInCyberQuery</v>
      </c>
      <c r="R684" s="84" t="str">
        <f t="shared" si="41"/>
        <v>MT</v>
      </c>
      <c r="S684" s="84">
        <f t="shared" si="42"/>
        <v>366348</v>
      </c>
      <c r="T684" s="84">
        <f t="shared" si="43"/>
        <v>1002407</v>
      </c>
    </row>
    <row r="685" spans="1:20" ht="28.8" x14ac:dyDescent="0.3">
      <c r="B685" s="84">
        <v>367692</v>
      </c>
      <c r="C685" s="85">
        <v>367689</v>
      </c>
      <c r="D685" s="84" t="s">
        <v>6</v>
      </c>
      <c r="E685" s="84" t="s">
        <v>7</v>
      </c>
      <c r="F685" s="86" t="s">
        <v>170</v>
      </c>
      <c r="G685" s="87" t="s">
        <v>1388</v>
      </c>
      <c r="H685" s="87">
        <v>8</v>
      </c>
      <c r="I685" s="84" t="s">
        <v>277</v>
      </c>
      <c r="J685" s="84" t="s">
        <v>150</v>
      </c>
      <c r="K685" s="84" t="s">
        <v>1614</v>
      </c>
      <c r="L685" s="84" t="s">
        <v>8</v>
      </c>
      <c r="M685" s="88" t="str">
        <f>VLOOKUP(L685,lookups!B:C,2,FALSE)</f>
        <v>TBD</v>
      </c>
      <c r="N685" s="89" t="str">
        <f>VLOOKUP(K685,TeamLookup[],2,0)</f>
        <v>Cyber</v>
      </c>
      <c r="O685" s="84">
        <f>VLOOKUP(VALUE($S685),lookups!I:J,2,FALSE)</f>
        <v>81</v>
      </c>
      <c r="P685" s="84" t="e">
        <f>VLOOKUP(VALUE($S685),lookups!F:G,2,FALSE)</f>
        <v>#N/A</v>
      </c>
      <c r="Q685" s="84" t="str">
        <f t="shared" si="40"/>
        <v>ParentNotInCyberQuery</v>
      </c>
      <c r="R685" s="84" t="str">
        <f t="shared" si="41"/>
        <v>MT</v>
      </c>
      <c r="S685" s="84">
        <f t="shared" si="42"/>
        <v>367689</v>
      </c>
      <c r="T685" s="84">
        <f t="shared" si="43"/>
        <v>367692</v>
      </c>
    </row>
    <row r="686" spans="1:20" x14ac:dyDescent="0.3">
      <c r="B686" s="84">
        <v>367982</v>
      </c>
      <c r="C686" s="85">
        <v>367777</v>
      </c>
      <c r="D686" s="84" t="s">
        <v>6</v>
      </c>
      <c r="E686" s="84" t="s">
        <v>345</v>
      </c>
      <c r="F686" s="86" t="s">
        <v>650</v>
      </c>
      <c r="G686" s="87" t="s">
        <v>541</v>
      </c>
      <c r="H686" s="87">
        <v>2</v>
      </c>
      <c r="I686" s="89"/>
      <c r="J686" s="89"/>
      <c r="K686" s="89" t="s">
        <v>1614</v>
      </c>
      <c r="L686" s="84" t="s">
        <v>125</v>
      </c>
      <c r="M686" s="88" t="str">
        <f>VLOOKUP(L686,lookups!B:C,2,FALSE)</f>
        <v>Dave C</v>
      </c>
      <c r="N686" s="89" t="str">
        <f>VLOOKUP(K686,TeamLookup[],2,0)</f>
        <v>Cyber</v>
      </c>
      <c r="O686" s="84" t="e">
        <f>VLOOKUP(VALUE($S686),lookups!I:J,2,FALSE)</f>
        <v>#N/A</v>
      </c>
      <c r="P686" s="84" t="e">
        <f>VLOOKUP(VALUE($S686),lookups!F:G,2,FALSE)</f>
        <v>#N/A</v>
      </c>
      <c r="Q686" s="84" t="str">
        <f t="shared" si="40"/>
        <v>ParentNotInCyberQuery</v>
      </c>
      <c r="R686" s="84" t="str">
        <f t="shared" si="41"/>
        <v>MT</v>
      </c>
      <c r="S686" s="84">
        <f t="shared" si="42"/>
        <v>367777</v>
      </c>
      <c r="T686" s="84">
        <f t="shared" si="43"/>
        <v>367982</v>
      </c>
    </row>
    <row r="687" spans="1:20" x14ac:dyDescent="0.3">
      <c r="B687" s="84">
        <v>376137</v>
      </c>
      <c r="C687" s="85">
        <v>367777</v>
      </c>
      <c r="D687" s="84" t="s">
        <v>6</v>
      </c>
      <c r="E687" s="84" t="s">
        <v>345</v>
      </c>
      <c r="F687" s="86" t="s">
        <v>560</v>
      </c>
      <c r="G687" s="87" t="s">
        <v>482</v>
      </c>
      <c r="H687" s="87">
        <v>1</v>
      </c>
      <c r="I687" s="89"/>
      <c r="J687" s="89"/>
      <c r="K687" s="89" t="s">
        <v>1614</v>
      </c>
      <c r="L687" s="84" t="s">
        <v>88</v>
      </c>
      <c r="M687" s="88" t="str">
        <f>VLOOKUP(L687,lookups!B:C,2,FALSE)</f>
        <v>Will</v>
      </c>
      <c r="N687" s="89" t="str">
        <f>VLOOKUP(K687,TeamLookup[],2,0)</f>
        <v>Cyber</v>
      </c>
      <c r="O687" s="84" t="e">
        <f>VLOOKUP(VALUE($S687),lookups!I:J,2,FALSE)</f>
        <v>#N/A</v>
      </c>
      <c r="P687" s="84" t="e">
        <f>VLOOKUP(VALUE($S687),lookups!F:G,2,FALSE)</f>
        <v>#N/A</v>
      </c>
      <c r="Q687" s="84" t="str">
        <f t="shared" si="40"/>
        <v>ParentNotInCyberQuery</v>
      </c>
      <c r="R687" s="84" t="str">
        <f t="shared" si="41"/>
        <v>MT</v>
      </c>
      <c r="S687" s="84">
        <f t="shared" si="42"/>
        <v>367777</v>
      </c>
      <c r="T687" s="84">
        <f t="shared" si="43"/>
        <v>376137</v>
      </c>
    </row>
    <row r="688" spans="1:20" ht="15.6" customHeight="1" x14ac:dyDescent="0.3">
      <c r="B688" s="84">
        <v>376136</v>
      </c>
      <c r="C688" s="85">
        <v>367777</v>
      </c>
      <c r="D688" s="84" t="s">
        <v>6</v>
      </c>
      <c r="E688" s="84" t="s">
        <v>345</v>
      </c>
      <c r="F688" s="86" t="s">
        <v>560</v>
      </c>
      <c r="G688" s="87" t="s">
        <v>482</v>
      </c>
      <c r="H688" s="87">
        <v>1</v>
      </c>
      <c r="I688" s="89"/>
      <c r="J688" s="89"/>
      <c r="K688" s="89" t="s">
        <v>1614</v>
      </c>
      <c r="L688" s="84" t="s">
        <v>129</v>
      </c>
      <c r="M688" s="88" t="str">
        <f>VLOOKUP(L688,lookups!B:C,2,FALSE)</f>
        <v>Derek</v>
      </c>
      <c r="N688" s="89" t="str">
        <f>VLOOKUP(K688,TeamLookup[],2,0)</f>
        <v>Cyber</v>
      </c>
      <c r="O688" s="84" t="e">
        <f>VLOOKUP(VALUE($S688),lookups!I:J,2,FALSE)</f>
        <v>#N/A</v>
      </c>
      <c r="P688" s="84" t="e">
        <f>VLOOKUP(VALUE($S688),lookups!F:G,2,FALSE)</f>
        <v>#N/A</v>
      </c>
      <c r="Q688" s="84" t="str">
        <f t="shared" si="40"/>
        <v>ParentNotInCyberQuery</v>
      </c>
      <c r="R688" s="84" t="str">
        <f t="shared" si="41"/>
        <v>MT</v>
      </c>
      <c r="S688" s="84">
        <f t="shared" si="42"/>
        <v>367777</v>
      </c>
      <c r="T688" s="84">
        <f t="shared" si="43"/>
        <v>376136</v>
      </c>
    </row>
    <row r="689" spans="2:20" x14ac:dyDescent="0.3">
      <c r="B689" s="84">
        <v>376142</v>
      </c>
      <c r="C689" s="85">
        <v>367777</v>
      </c>
      <c r="D689" s="84" t="s">
        <v>6</v>
      </c>
      <c r="E689" s="84" t="s">
        <v>345</v>
      </c>
      <c r="F689" s="86" t="s">
        <v>559</v>
      </c>
      <c r="G689" s="87" t="s">
        <v>446</v>
      </c>
      <c r="H689" s="87">
        <v>2</v>
      </c>
      <c r="I689" s="84"/>
      <c r="J689" s="84"/>
      <c r="K689" s="84" t="s">
        <v>1614</v>
      </c>
      <c r="L689" s="84" t="s">
        <v>37</v>
      </c>
      <c r="M689" s="88" t="str">
        <f>VLOOKUP(L689,lookups!B:C,2,FALSE)</f>
        <v>Kent</v>
      </c>
      <c r="N689" s="89" t="str">
        <f>VLOOKUP(K689,TeamLookup[],2,0)</f>
        <v>Cyber</v>
      </c>
      <c r="O689" s="84" t="e">
        <f>VLOOKUP(VALUE($S689),lookups!I:J,2,FALSE)</f>
        <v>#N/A</v>
      </c>
      <c r="P689" s="84" t="e">
        <f>VLOOKUP(VALUE($S689),lookups!F:G,2,FALSE)</f>
        <v>#N/A</v>
      </c>
      <c r="Q689" s="84" t="str">
        <f t="shared" si="40"/>
        <v>ParentNotInCyberQuery</v>
      </c>
      <c r="R689" s="84" t="str">
        <f t="shared" si="41"/>
        <v>MT</v>
      </c>
      <c r="S689" s="84">
        <f t="shared" si="42"/>
        <v>367777</v>
      </c>
      <c r="T689" s="84">
        <f t="shared" si="43"/>
        <v>376142</v>
      </c>
    </row>
    <row r="690" spans="2:20" x14ac:dyDescent="0.3">
      <c r="B690" s="84">
        <v>376143</v>
      </c>
      <c r="C690" s="85">
        <v>367777</v>
      </c>
      <c r="D690" s="84" t="s">
        <v>6</v>
      </c>
      <c r="E690" s="84" t="s">
        <v>345</v>
      </c>
      <c r="F690" s="86" t="s">
        <v>558</v>
      </c>
      <c r="G690" s="87" t="s">
        <v>444</v>
      </c>
      <c r="H690" s="87">
        <v>2</v>
      </c>
      <c r="I690" s="84"/>
      <c r="J690" s="84"/>
      <c r="K690" s="84" t="s">
        <v>1614</v>
      </c>
      <c r="L690" s="84" t="s">
        <v>37</v>
      </c>
      <c r="M690" s="88" t="str">
        <f>VLOOKUP(L690,lookups!B:C,2,FALSE)</f>
        <v>Kent</v>
      </c>
      <c r="N690" s="89" t="str">
        <f>VLOOKUP(K690,TeamLookup[],2,0)</f>
        <v>Cyber</v>
      </c>
      <c r="O690" s="84" t="e">
        <f>VLOOKUP(VALUE($S690),lookups!I:J,2,FALSE)</f>
        <v>#N/A</v>
      </c>
      <c r="P690" s="84" t="e">
        <f>VLOOKUP(VALUE($S690),lookups!F:G,2,FALSE)</f>
        <v>#N/A</v>
      </c>
      <c r="Q690" s="84" t="str">
        <f t="shared" si="40"/>
        <v>ParentNotInCyberQuery</v>
      </c>
      <c r="R690" s="84" t="str">
        <f t="shared" si="41"/>
        <v>MT</v>
      </c>
      <c r="S690" s="84">
        <f t="shared" si="42"/>
        <v>367777</v>
      </c>
      <c r="T690" s="84">
        <f t="shared" si="43"/>
        <v>376143</v>
      </c>
    </row>
    <row r="691" spans="2:20" x14ac:dyDescent="0.3">
      <c r="B691" s="84">
        <v>376144</v>
      </c>
      <c r="C691" s="85">
        <v>367777</v>
      </c>
      <c r="D691" s="84" t="s">
        <v>6</v>
      </c>
      <c r="E691" s="84" t="s">
        <v>345</v>
      </c>
      <c r="F691" s="91" t="s">
        <v>558</v>
      </c>
      <c r="G691" s="87" t="s">
        <v>434</v>
      </c>
      <c r="H691" s="87">
        <v>1</v>
      </c>
      <c r="I691" s="89"/>
      <c r="J691" s="89"/>
      <c r="K691" s="89" t="s">
        <v>1614</v>
      </c>
      <c r="L691" s="84" t="s">
        <v>8</v>
      </c>
      <c r="M691" s="88" t="str">
        <f>VLOOKUP(L691,lookups!B:C,2,FALSE)</f>
        <v>TBD</v>
      </c>
      <c r="N691" s="89" t="str">
        <f>VLOOKUP(K691,TeamLookup[],2,0)</f>
        <v>Cyber</v>
      </c>
      <c r="O691" s="84" t="e">
        <f>VLOOKUP(VALUE($S691),lookups!I:J,2,FALSE)</f>
        <v>#N/A</v>
      </c>
      <c r="P691" s="84" t="e">
        <f>VLOOKUP(VALUE($S691),lookups!F:G,2,FALSE)</f>
        <v>#N/A</v>
      </c>
      <c r="Q691" s="84" t="str">
        <f t="shared" si="40"/>
        <v>ParentNotInCyberQuery</v>
      </c>
      <c r="R691" s="84" t="str">
        <f t="shared" si="41"/>
        <v>MT</v>
      </c>
      <c r="S691" s="84">
        <f t="shared" si="42"/>
        <v>367777</v>
      </c>
      <c r="T691" s="84">
        <f t="shared" si="43"/>
        <v>376144</v>
      </c>
    </row>
    <row r="692" spans="2:20" x14ac:dyDescent="0.3">
      <c r="B692" s="84">
        <v>368175</v>
      </c>
      <c r="C692" s="85">
        <v>368169</v>
      </c>
      <c r="D692" s="84" t="s">
        <v>6</v>
      </c>
      <c r="E692" s="84" t="s">
        <v>7</v>
      </c>
      <c r="F692" s="86" t="s">
        <v>645</v>
      </c>
      <c r="G692" s="87" t="s">
        <v>8</v>
      </c>
      <c r="H692" s="87">
        <v>5</v>
      </c>
      <c r="I692" s="89"/>
      <c r="J692" s="89" t="s">
        <v>646</v>
      </c>
      <c r="K692" s="89" t="s">
        <v>1614</v>
      </c>
      <c r="L692" s="88" t="s">
        <v>8</v>
      </c>
      <c r="M692" s="88" t="str">
        <f>VLOOKUP(L692,lookups!B:C,2,FALSE)</f>
        <v>TBD</v>
      </c>
      <c r="N692" s="89" t="str">
        <f>VLOOKUP(K692,TeamLookup[],2,0)</f>
        <v>Cyber</v>
      </c>
      <c r="O692" s="84" t="e">
        <f>VLOOKUP(VALUE($S692),lookups!I:J,2,FALSE)</f>
        <v>#N/A</v>
      </c>
      <c r="P692" s="84" t="e">
        <f>VLOOKUP(VALUE($S692),lookups!F:G,2,FALSE)</f>
        <v>#N/A</v>
      </c>
      <c r="Q692" s="84" t="str">
        <f t="shared" si="40"/>
        <v>ParentNotInCyberQuery</v>
      </c>
      <c r="R692" s="84" t="str">
        <f t="shared" si="41"/>
        <v>MT</v>
      </c>
      <c r="S692" s="84">
        <f t="shared" si="42"/>
        <v>368169</v>
      </c>
      <c r="T692" s="84">
        <f t="shared" si="43"/>
        <v>368175</v>
      </c>
    </row>
    <row r="693" spans="2:20" x14ac:dyDescent="0.3">
      <c r="B693" s="84">
        <v>368172</v>
      </c>
      <c r="C693" s="85">
        <v>368169</v>
      </c>
      <c r="D693" s="84" t="s">
        <v>6</v>
      </c>
      <c r="E693" s="84" t="s">
        <v>7</v>
      </c>
      <c r="F693" s="86" t="s">
        <v>647</v>
      </c>
      <c r="G693" s="87" t="s">
        <v>8</v>
      </c>
      <c r="H693" s="87">
        <v>8</v>
      </c>
      <c r="I693" s="84"/>
      <c r="J693" s="84" t="s">
        <v>648</v>
      </c>
      <c r="K693" s="84" t="s">
        <v>1614</v>
      </c>
      <c r="L693" s="84" t="s">
        <v>8</v>
      </c>
      <c r="M693" s="88" t="str">
        <f>VLOOKUP(L693,lookups!B:C,2,FALSE)</f>
        <v>TBD</v>
      </c>
      <c r="N693" s="89" t="str">
        <f>VLOOKUP(K693,TeamLookup[],2,0)</f>
        <v>Cyber</v>
      </c>
      <c r="O693" s="84" t="e">
        <f>VLOOKUP(VALUE($S693),lookups!I:J,2,FALSE)</f>
        <v>#N/A</v>
      </c>
      <c r="P693" s="84" t="e">
        <f>VLOOKUP(VALUE($S693),lookups!F:G,2,FALSE)</f>
        <v>#N/A</v>
      </c>
      <c r="Q693" s="84" t="str">
        <f t="shared" si="40"/>
        <v>ParentNotInCyberQuery</v>
      </c>
      <c r="R693" s="84" t="str">
        <f t="shared" si="41"/>
        <v>MT</v>
      </c>
      <c r="S693" s="84">
        <f t="shared" si="42"/>
        <v>368169</v>
      </c>
      <c r="T693" s="84">
        <f t="shared" si="43"/>
        <v>368172</v>
      </c>
    </row>
    <row r="694" spans="2:20" x14ac:dyDescent="0.3">
      <c r="B694" s="84">
        <v>368170</v>
      </c>
      <c r="C694" s="85">
        <v>368169</v>
      </c>
      <c r="D694" s="84" t="s">
        <v>6</v>
      </c>
      <c r="E694" s="84" t="s">
        <v>7</v>
      </c>
      <c r="F694" s="86" t="s">
        <v>649</v>
      </c>
      <c r="G694" s="87" t="s">
        <v>8</v>
      </c>
      <c r="H694" s="87">
        <v>2</v>
      </c>
      <c r="I694" s="89"/>
      <c r="J694" s="89"/>
      <c r="K694" s="89" t="s">
        <v>1614</v>
      </c>
      <c r="L694" s="84" t="s">
        <v>8</v>
      </c>
      <c r="M694" s="88" t="str">
        <f>VLOOKUP(L694,lookups!B:C,2,FALSE)</f>
        <v>TBD</v>
      </c>
      <c r="N694" s="89" t="str">
        <f>VLOOKUP(K694,TeamLookup[],2,0)</f>
        <v>Cyber</v>
      </c>
      <c r="O694" s="84" t="e">
        <f>VLOOKUP(VALUE($S694),lookups!I:J,2,FALSE)</f>
        <v>#N/A</v>
      </c>
      <c r="P694" s="84" t="e">
        <f>VLOOKUP(VALUE($S694),lookups!F:G,2,FALSE)</f>
        <v>#N/A</v>
      </c>
      <c r="Q694" s="84" t="str">
        <f t="shared" si="40"/>
        <v>ParentNotInCyberQuery</v>
      </c>
      <c r="R694" s="84" t="str">
        <f t="shared" si="41"/>
        <v>MT</v>
      </c>
      <c r="S694" s="84">
        <f t="shared" si="42"/>
        <v>368169</v>
      </c>
      <c r="T694" s="84">
        <f t="shared" si="43"/>
        <v>368170</v>
      </c>
    </row>
    <row r="695" spans="2:20" x14ac:dyDescent="0.3">
      <c r="B695" s="84">
        <v>373084</v>
      </c>
      <c r="C695" s="85">
        <v>368267</v>
      </c>
      <c r="D695" s="84" t="s">
        <v>6</v>
      </c>
      <c r="E695" s="84" t="s">
        <v>345</v>
      </c>
      <c r="F695" s="86" t="s">
        <v>568</v>
      </c>
      <c r="G695" s="87" t="s">
        <v>482</v>
      </c>
      <c r="H695" s="87">
        <v>2</v>
      </c>
      <c r="I695" s="89"/>
      <c r="J695" s="89"/>
      <c r="K695" s="89" t="s">
        <v>1614</v>
      </c>
      <c r="L695" s="84" t="s">
        <v>125</v>
      </c>
      <c r="M695" s="88" t="str">
        <f>VLOOKUP(L695,lookups!B:C,2,FALSE)</f>
        <v>Dave C</v>
      </c>
      <c r="N695" s="89" t="str">
        <f>VLOOKUP(K695,TeamLookup[],2,0)</f>
        <v>Cyber</v>
      </c>
      <c r="O695" s="84" t="e">
        <f>VLOOKUP(VALUE($S695),lookups!I:J,2,FALSE)</f>
        <v>#N/A</v>
      </c>
      <c r="P695" s="84" t="e">
        <f>VLOOKUP(VALUE($S695),lookups!F:G,2,FALSE)</f>
        <v>#N/A</v>
      </c>
      <c r="Q695" s="84" t="str">
        <f t="shared" si="40"/>
        <v>ParentNotInCyberQuery</v>
      </c>
      <c r="R695" s="84" t="str">
        <f t="shared" si="41"/>
        <v>MT</v>
      </c>
      <c r="S695" s="84">
        <f t="shared" si="42"/>
        <v>368267</v>
      </c>
      <c r="T695" s="84">
        <f t="shared" si="43"/>
        <v>373084</v>
      </c>
    </row>
    <row r="696" spans="2:20" x14ac:dyDescent="0.3">
      <c r="B696" s="84">
        <v>369817</v>
      </c>
      <c r="C696" s="85">
        <v>368267</v>
      </c>
      <c r="D696" s="84" t="s">
        <v>6</v>
      </c>
      <c r="E696" s="84" t="s">
        <v>345</v>
      </c>
      <c r="F696" s="86" t="s">
        <v>637</v>
      </c>
      <c r="G696" s="87" t="s">
        <v>446</v>
      </c>
      <c r="H696" s="87">
        <v>3</v>
      </c>
      <c r="I696" s="89"/>
      <c r="J696" s="89"/>
      <c r="K696" s="89" t="s">
        <v>1614</v>
      </c>
      <c r="L696" s="84" t="s">
        <v>88</v>
      </c>
      <c r="M696" s="88" t="str">
        <f>VLOOKUP(L696,lookups!B:C,2,FALSE)</f>
        <v>Will</v>
      </c>
      <c r="N696" s="89" t="str">
        <f>VLOOKUP(K696,TeamLookup[],2,0)</f>
        <v>Cyber</v>
      </c>
      <c r="O696" s="84" t="e">
        <f>VLOOKUP(VALUE($S696),lookups!I:J,2,FALSE)</f>
        <v>#N/A</v>
      </c>
      <c r="P696" s="84" t="e">
        <f>VLOOKUP(VALUE($S696),lookups!F:G,2,FALSE)</f>
        <v>#N/A</v>
      </c>
      <c r="Q696" s="84" t="str">
        <f t="shared" si="40"/>
        <v>ParentNotInCyberQuery</v>
      </c>
      <c r="R696" s="84" t="str">
        <f t="shared" si="41"/>
        <v>MT</v>
      </c>
      <c r="S696" s="84">
        <f t="shared" si="42"/>
        <v>368267</v>
      </c>
      <c r="T696" s="84">
        <f t="shared" si="43"/>
        <v>369817</v>
      </c>
    </row>
    <row r="697" spans="2:20" x14ac:dyDescent="0.3">
      <c r="B697" s="84">
        <v>372895</v>
      </c>
      <c r="C697" s="85">
        <v>368267</v>
      </c>
      <c r="D697" s="84" t="s">
        <v>6</v>
      </c>
      <c r="E697" s="84" t="s">
        <v>345</v>
      </c>
      <c r="F697" s="86" t="s">
        <v>569</v>
      </c>
      <c r="G697" s="87" t="s">
        <v>434</v>
      </c>
      <c r="H697" s="87">
        <v>2</v>
      </c>
      <c r="I697" s="84"/>
      <c r="J697" s="84" t="s">
        <v>570</v>
      </c>
      <c r="K697" s="84" t="s">
        <v>1614</v>
      </c>
      <c r="L697" s="84" t="s">
        <v>11</v>
      </c>
      <c r="M697" s="88" t="str">
        <f>VLOOKUP(L697,lookups!B:C,2,FALSE)</f>
        <v>Randy</v>
      </c>
      <c r="N697" s="89" t="str">
        <f>VLOOKUP(K697,TeamLookup[],2,0)</f>
        <v>Cyber</v>
      </c>
      <c r="O697" s="84" t="e">
        <f>VLOOKUP(VALUE($S697),lookups!I:J,2,FALSE)</f>
        <v>#N/A</v>
      </c>
      <c r="P697" s="84" t="e">
        <f>VLOOKUP(VALUE($S697),lookups!F:G,2,FALSE)</f>
        <v>#N/A</v>
      </c>
      <c r="Q697" s="84" t="str">
        <f t="shared" si="40"/>
        <v>ParentNotInCyberQuery</v>
      </c>
      <c r="R697" s="84" t="str">
        <f t="shared" si="41"/>
        <v>MT</v>
      </c>
      <c r="S697" s="84">
        <f t="shared" si="42"/>
        <v>368267</v>
      </c>
      <c r="T697" s="84">
        <f t="shared" si="43"/>
        <v>372895</v>
      </c>
    </row>
    <row r="698" spans="2:20" x14ac:dyDescent="0.3">
      <c r="B698" s="84">
        <v>370630</v>
      </c>
      <c r="C698" s="85">
        <v>368860</v>
      </c>
      <c r="D698" s="84" t="s">
        <v>6</v>
      </c>
      <c r="E698" s="84" t="s">
        <v>345</v>
      </c>
      <c r="F698" s="86" t="s">
        <v>357</v>
      </c>
      <c r="G698" s="87" t="s">
        <v>1348</v>
      </c>
      <c r="H698" s="87">
        <v>5</v>
      </c>
      <c r="I698" s="89" t="s">
        <v>48</v>
      </c>
      <c r="J698" s="89"/>
      <c r="K698" s="89" t="s">
        <v>1614</v>
      </c>
      <c r="L698" s="84" t="s">
        <v>11</v>
      </c>
      <c r="M698" s="88" t="str">
        <f>VLOOKUP(L698,lookups!B:C,2,FALSE)</f>
        <v>Randy</v>
      </c>
      <c r="N698" s="89" t="str">
        <f>VLOOKUP(K698,TeamLookup[],2,0)</f>
        <v>Cyber</v>
      </c>
      <c r="O698" s="84" t="e">
        <f>VLOOKUP(VALUE($S698),lookups!I:J,2,FALSE)</f>
        <v>#N/A</v>
      </c>
      <c r="P698" s="84">
        <f>VLOOKUP(VALUE($S698),lookups!F:G,2,FALSE)</f>
        <v>93</v>
      </c>
      <c r="Q698" s="84" t="str">
        <f t="shared" si="40"/>
        <v>ParentNotInCyberQuery</v>
      </c>
      <c r="R698" s="84" t="str">
        <f t="shared" si="41"/>
        <v>MT</v>
      </c>
      <c r="S698" s="84">
        <f t="shared" si="42"/>
        <v>368860</v>
      </c>
      <c r="T698" s="84">
        <f t="shared" si="43"/>
        <v>370630</v>
      </c>
    </row>
    <row r="699" spans="2:20" x14ac:dyDescent="0.3">
      <c r="B699" s="84">
        <v>370631</v>
      </c>
      <c r="C699" s="85">
        <v>368860</v>
      </c>
      <c r="D699" s="84" t="s">
        <v>6</v>
      </c>
      <c r="E699" s="84" t="s">
        <v>345</v>
      </c>
      <c r="F699" s="86" t="s">
        <v>357</v>
      </c>
      <c r="G699" s="87" t="s">
        <v>1347</v>
      </c>
      <c r="H699" s="87">
        <v>5</v>
      </c>
      <c r="I699" s="89" t="s">
        <v>48</v>
      </c>
      <c r="J699" s="89"/>
      <c r="K699" s="89" t="s">
        <v>1614</v>
      </c>
      <c r="L699" s="84" t="s">
        <v>11</v>
      </c>
      <c r="M699" s="88" t="str">
        <f>VLOOKUP(L699,lookups!B:C,2,FALSE)</f>
        <v>Randy</v>
      </c>
      <c r="N699" s="89" t="str">
        <f>VLOOKUP(K699,TeamLookup[],2,0)</f>
        <v>Cyber</v>
      </c>
      <c r="O699" s="84" t="e">
        <f>VLOOKUP(VALUE($S699),lookups!I:J,2,FALSE)</f>
        <v>#N/A</v>
      </c>
      <c r="P699" s="84">
        <f>VLOOKUP(VALUE($S699),lookups!F:G,2,FALSE)</f>
        <v>93</v>
      </c>
      <c r="Q699" s="84" t="str">
        <f t="shared" si="40"/>
        <v>ParentNotInCyberQuery</v>
      </c>
      <c r="R699" s="84" t="str">
        <f t="shared" si="41"/>
        <v>MT</v>
      </c>
      <c r="S699" s="84">
        <f t="shared" si="42"/>
        <v>368860</v>
      </c>
      <c r="T699" s="84">
        <f t="shared" si="43"/>
        <v>370631</v>
      </c>
    </row>
    <row r="700" spans="2:20" x14ac:dyDescent="0.3">
      <c r="B700" s="84">
        <v>370632</v>
      </c>
      <c r="C700" s="85">
        <v>368860</v>
      </c>
      <c r="D700" s="84" t="s">
        <v>6</v>
      </c>
      <c r="E700" s="84" t="s">
        <v>345</v>
      </c>
      <c r="F700" s="86" t="s">
        <v>357</v>
      </c>
      <c r="G700" s="87" t="s">
        <v>1345</v>
      </c>
      <c r="H700" s="87">
        <v>5</v>
      </c>
      <c r="I700" s="84" t="s">
        <v>48</v>
      </c>
      <c r="J700" s="84"/>
      <c r="K700" s="84" t="s">
        <v>1614</v>
      </c>
      <c r="L700" s="84" t="s">
        <v>11</v>
      </c>
      <c r="M700" s="88" t="str">
        <f>VLOOKUP(L700,lookups!B:C,2,FALSE)</f>
        <v>Randy</v>
      </c>
      <c r="N700" s="89" t="str">
        <f>VLOOKUP(K700,TeamLookup[],2,0)</f>
        <v>Cyber</v>
      </c>
      <c r="O700" s="84" t="e">
        <f>VLOOKUP(VALUE($S700),lookups!I:J,2,FALSE)</f>
        <v>#N/A</v>
      </c>
      <c r="P700" s="84">
        <f>VLOOKUP(VALUE($S700),lookups!F:G,2,FALSE)</f>
        <v>93</v>
      </c>
      <c r="Q700" s="84" t="str">
        <f t="shared" si="40"/>
        <v>ParentNotInCyberQuery</v>
      </c>
      <c r="R700" s="84" t="str">
        <f t="shared" si="41"/>
        <v>MT</v>
      </c>
      <c r="S700" s="84">
        <f t="shared" si="42"/>
        <v>368860</v>
      </c>
      <c r="T700" s="84">
        <f t="shared" si="43"/>
        <v>370632</v>
      </c>
    </row>
    <row r="701" spans="2:20" x14ac:dyDescent="0.3">
      <c r="B701" s="84">
        <v>1005506</v>
      </c>
      <c r="C701" s="85">
        <v>368860</v>
      </c>
      <c r="D701" s="84" t="s">
        <v>6</v>
      </c>
      <c r="E701" s="84" t="s">
        <v>345</v>
      </c>
      <c r="F701" s="86" t="s">
        <v>357</v>
      </c>
      <c r="G701" s="87" t="s">
        <v>1344</v>
      </c>
      <c r="H701" s="87">
        <v>5</v>
      </c>
      <c r="I701" s="89"/>
      <c r="J701" s="89"/>
      <c r="K701" s="89" t="s">
        <v>1614</v>
      </c>
      <c r="L701" s="84" t="s">
        <v>11</v>
      </c>
      <c r="M701" s="88" t="str">
        <f>VLOOKUP(L701,lookups!B:C,2,FALSE)</f>
        <v>Randy</v>
      </c>
      <c r="N701" s="89" t="str">
        <f>VLOOKUP(K701,TeamLookup[],2,0)</f>
        <v>Cyber</v>
      </c>
      <c r="O701" s="84" t="e">
        <f>VLOOKUP(VALUE($S701),lookups!I:J,2,FALSE)</f>
        <v>#N/A</v>
      </c>
      <c r="P701" s="84">
        <f>VLOOKUP(VALUE($S701),lookups!F:G,2,FALSE)</f>
        <v>93</v>
      </c>
      <c r="Q701" s="84" t="str">
        <f t="shared" si="40"/>
        <v>ParentNotInCyberQuery</v>
      </c>
      <c r="R701" s="84" t="str">
        <f t="shared" si="41"/>
        <v>MT</v>
      </c>
      <c r="S701" s="84">
        <f t="shared" si="42"/>
        <v>368860</v>
      </c>
      <c r="T701" s="84">
        <f t="shared" si="43"/>
        <v>1005506</v>
      </c>
    </row>
    <row r="702" spans="2:20" x14ac:dyDescent="0.3">
      <c r="B702" s="84">
        <v>369099</v>
      </c>
      <c r="C702" s="85">
        <v>368860</v>
      </c>
      <c r="D702" s="84" t="s">
        <v>6</v>
      </c>
      <c r="E702" s="84" t="s">
        <v>345</v>
      </c>
      <c r="F702" s="86" t="s">
        <v>357</v>
      </c>
      <c r="G702" s="87" t="s">
        <v>1343</v>
      </c>
      <c r="H702" s="87">
        <v>5</v>
      </c>
      <c r="I702" s="89" t="s">
        <v>48</v>
      </c>
      <c r="J702" s="89"/>
      <c r="K702" s="89" t="s">
        <v>1614</v>
      </c>
      <c r="L702" s="84" t="s">
        <v>11</v>
      </c>
      <c r="M702" s="88" t="str">
        <f>VLOOKUP(L702,lookups!B:C,2,FALSE)</f>
        <v>Randy</v>
      </c>
      <c r="N702" s="89" t="str">
        <f>VLOOKUP(K702,TeamLookup[],2,0)</f>
        <v>Cyber</v>
      </c>
      <c r="O702" s="84" t="e">
        <f>VLOOKUP(VALUE($S702),lookups!I:J,2,FALSE)</f>
        <v>#N/A</v>
      </c>
      <c r="P702" s="84">
        <f>VLOOKUP(VALUE($S702),lookups!F:G,2,FALSE)</f>
        <v>93</v>
      </c>
      <c r="Q702" s="84" t="str">
        <f t="shared" si="40"/>
        <v>ParentNotInCyberQuery</v>
      </c>
      <c r="R702" s="84" t="str">
        <f t="shared" si="41"/>
        <v>MT</v>
      </c>
      <c r="S702" s="84">
        <f t="shared" si="42"/>
        <v>368860</v>
      </c>
      <c r="T702" s="84">
        <f t="shared" si="43"/>
        <v>369099</v>
      </c>
    </row>
    <row r="703" spans="2:20" x14ac:dyDescent="0.3">
      <c r="B703" s="84">
        <v>1004476</v>
      </c>
      <c r="C703" s="85">
        <v>368860</v>
      </c>
      <c r="D703" s="84" t="s">
        <v>6</v>
      </c>
      <c r="E703" s="84" t="s">
        <v>345</v>
      </c>
      <c r="F703" s="86" t="s">
        <v>297</v>
      </c>
      <c r="G703" s="87" t="s">
        <v>217</v>
      </c>
      <c r="H703" s="87">
        <v>2</v>
      </c>
      <c r="I703" s="84"/>
      <c r="J703" s="84"/>
      <c r="K703" s="84" t="s">
        <v>1614</v>
      </c>
      <c r="L703" s="84" t="s">
        <v>11</v>
      </c>
      <c r="M703" s="88" t="str">
        <f>VLOOKUP(L703,lookups!B:C,2,FALSE)</f>
        <v>Randy</v>
      </c>
      <c r="N703" s="89" t="str">
        <f>VLOOKUP(K703,TeamLookup[],2,0)</f>
        <v>Cyber</v>
      </c>
      <c r="O703" s="84" t="e">
        <f>VLOOKUP(VALUE($S703),lookups!I:J,2,FALSE)</f>
        <v>#N/A</v>
      </c>
      <c r="P703" s="84">
        <f>VLOOKUP(VALUE($S703),lookups!F:G,2,FALSE)</f>
        <v>93</v>
      </c>
      <c r="Q703" s="84" t="str">
        <f t="shared" si="40"/>
        <v>ParentNotInCyberQuery</v>
      </c>
      <c r="R703" s="84" t="str">
        <f t="shared" si="41"/>
        <v>MT</v>
      </c>
      <c r="S703" s="84">
        <f t="shared" si="42"/>
        <v>368860</v>
      </c>
      <c r="T703" s="84">
        <f t="shared" si="43"/>
        <v>1004476</v>
      </c>
    </row>
    <row r="704" spans="2:20" x14ac:dyDescent="0.3">
      <c r="B704" s="84">
        <v>1004522</v>
      </c>
      <c r="C704" s="85">
        <v>368860</v>
      </c>
      <c r="D704" s="84" t="s">
        <v>6</v>
      </c>
      <c r="E704" s="84" t="s">
        <v>345</v>
      </c>
      <c r="F704" s="86" t="s">
        <v>295</v>
      </c>
      <c r="G704" s="87" t="s">
        <v>267</v>
      </c>
      <c r="H704" s="87">
        <v>2</v>
      </c>
      <c r="I704" s="89"/>
      <c r="J704" s="89"/>
      <c r="K704" s="89" t="s">
        <v>1614</v>
      </c>
      <c r="L704" s="84" t="s">
        <v>11</v>
      </c>
      <c r="M704" s="88" t="str">
        <f>VLOOKUP(L704,lookups!B:C,2,FALSE)</f>
        <v>Randy</v>
      </c>
      <c r="N704" s="89" t="str">
        <f>VLOOKUP(K704,TeamLookup[],2,0)</f>
        <v>Cyber</v>
      </c>
      <c r="O704" s="84" t="e">
        <f>VLOOKUP(VALUE($S704),lookups!I:J,2,FALSE)</f>
        <v>#N/A</v>
      </c>
      <c r="P704" s="84">
        <f>VLOOKUP(VALUE($S704),lookups!F:G,2,FALSE)</f>
        <v>93</v>
      </c>
      <c r="Q704" s="84" t="str">
        <f t="shared" si="40"/>
        <v>ParentNotInCyberQuery</v>
      </c>
      <c r="R704" s="84" t="str">
        <f t="shared" si="41"/>
        <v>MT</v>
      </c>
      <c r="S704" s="84">
        <f t="shared" si="42"/>
        <v>368860</v>
      </c>
      <c r="T704" s="84">
        <f t="shared" si="43"/>
        <v>1004522</v>
      </c>
    </row>
    <row r="705" spans="1:20" ht="28.8" x14ac:dyDescent="0.3">
      <c r="B705" s="84">
        <v>1004472</v>
      </c>
      <c r="C705" s="85">
        <v>368860</v>
      </c>
      <c r="D705" s="84" t="s">
        <v>6</v>
      </c>
      <c r="E705" s="84" t="s">
        <v>345</v>
      </c>
      <c r="F705" s="86" t="s">
        <v>298</v>
      </c>
      <c r="G705" s="87" t="s">
        <v>267</v>
      </c>
      <c r="H705" s="87">
        <v>5</v>
      </c>
      <c r="I705" s="89"/>
      <c r="J705" s="89"/>
      <c r="K705" s="89" t="s">
        <v>1614</v>
      </c>
      <c r="L705" s="84" t="s">
        <v>11</v>
      </c>
      <c r="M705" s="88" t="str">
        <f>VLOOKUP(L705,lookups!B:C,2,FALSE)</f>
        <v>Randy</v>
      </c>
      <c r="N705" s="89" t="str">
        <f>VLOOKUP(K705,TeamLookup[],2,0)</f>
        <v>Cyber</v>
      </c>
      <c r="O705" s="84" t="e">
        <f>VLOOKUP(VALUE($S705),lookups!I:J,2,FALSE)</f>
        <v>#N/A</v>
      </c>
      <c r="P705" s="84">
        <f>VLOOKUP(VALUE($S705),lookups!F:G,2,FALSE)</f>
        <v>93</v>
      </c>
      <c r="Q705" s="84" t="str">
        <f t="shared" si="40"/>
        <v>ParentNotInCyberQuery</v>
      </c>
      <c r="R705" s="84" t="str">
        <f t="shared" si="41"/>
        <v>MT</v>
      </c>
      <c r="S705" s="84">
        <f t="shared" si="42"/>
        <v>368860</v>
      </c>
      <c r="T705" s="84">
        <f t="shared" si="43"/>
        <v>1004472</v>
      </c>
    </row>
    <row r="706" spans="1:20" x14ac:dyDescent="0.3">
      <c r="A706" s="96"/>
      <c r="B706" s="84">
        <v>1004523</v>
      </c>
      <c r="C706" s="85">
        <v>368860</v>
      </c>
      <c r="D706" s="84" t="s">
        <v>6</v>
      </c>
      <c r="E706" s="84" t="s">
        <v>345</v>
      </c>
      <c r="F706" s="86" t="s">
        <v>295</v>
      </c>
      <c r="G706" s="87" t="s">
        <v>265</v>
      </c>
      <c r="H706" s="87">
        <v>2</v>
      </c>
      <c r="I706" s="84"/>
      <c r="J706" s="84"/>
      <c r="K706" s="84" t="s">
        <v>1614</v>
      </c>
      <c r="L706" s="84" t="s">
        <v>11</v>
      </c>
      <c r="M706" s="88" t="str">
        <f>VLOOKUP(L706,lookups!B:C,2,FALSE)</f>
        <v>Randy</v>
      </c>
      <c r="N706" s="89" t="str">
        <f>VLOOKUP(K706,TeamLookup[],2,0)</f>
        <v>Cyber</v>
      </c>
      <c r="O706" s="84" t="e">
        <f>VLOOKUP(VALUE($S706),lookups!I:J,2,FALSE)</f>
        <v>#N/A</v>
      </c>
      <c r="P706" s="84">
        <f>VLOOKUP(VALUE($S706),lookups!F:G,2,FALSE)</f>
        <v>93</v>
      </c>
      <c r="Q706" s="84" t="str">
        <f t="shared" ref="Q706:Q769" si="44">IF($B706="","ZeroEntry",
IF($D706="Program Epic","",
IF(OR($D706="Feature",$D706="Story",$D706="Task"),
  IF($C706="","Missing_ParentEntry",
IF(ISERROR(MATCH(VALUE($C706),$B:$B,0)),"ParentNotInCyberQuery",
IF(AND($D706="Story",VLOOKUP(VALUE($C706),$B:$D,3,FALSE)&lt;&gt;"Feature"),"Warning: StoryParentIs_"&amp;VLOOKUP(VALUE($C706),$B:$D,3,FALSE)&amp;"_NotFeature",
IF(AND(OR($D706="Story",$D706="Task"),VLOOKUP(VALUE($C706),$B:$C,2,FALSE)=""),"MissingGrandparent",
IF(AND($D706="Feature",ISERROR(MATCH("#"&amp;$B706,$C:$C,0))),"FeatureHasNoStories",
IF(AND($D706="Feature",VLOOKUP(VALUE($C706),$B:$D,3,FALSE)&lt;&gt;"Program Epic"),"FeatureParentIs_"&amp;VLOOKUP(VALUE($C706),$B:$D,3,FALSE)&amp;"_NotEpic","")))))),"")))</f>
        <v>ParentNotInCyberQuery</v>
      </c>
      <c r="R706" s="84" t="str">
        <f t="shared" ref="R706:R769" si="45">IF(AND($Q706&lt;&gt;"FeatureHasNoStories","Warning: StoryParentIs_Program Epic_NotFeature"&lt;&gt;$Q706,$Q706&lt;&gt;"ParentNotInCyberQuery",$Q706&lt;&gt;""),$Q706,
IF($D706="Program Epic",B706,
IF($D706="Feature",VALUE($C706),
IF("Warning: StoryParentIs_Program Epic_NotFeature"=$Q706,VALUE($C706),
IF(AND($D706="Story",$Q706="ParentNotInCyberQuery"),"MT",
IF($C706=0,"N/A",
IF(OR($D706="Story",$D706="Task"),VALUE(VLOOKUP(VALUE($C706),$B:$C,2,FALSE)),"N/A")))))))</f>
        <v>MT</v>
      </c>
      <c r="S706" s="84">
        <f t="shared" ref="S706:S769" si="46">IF($D706="Program Epic",0,
IF($D706="Feature",$B706,
IF($C706=0,"NoParentFeature",VALUE($C706))))</f>
        <v>368860</v>
      </c>
      <c r="T706" s="84">
        <f t="shared" ref="T706:T769" si="47">IF(OR($D706="Story",$D706="Task"),$B706,0)</f>
        <v>1004523</v>
      </c>
    </row>
    <row r="707" spans="1:20" x14ac:dyDescent="0.3">
      <c r="A707" s="96"/>
      <c r="B707" s="84">
        <v>1004515</v>
      </c>
      <c r="C707" s="85">
        <v>368860</v>
      </c>
      <c r="D707" s="84" t="s">
        <v>6</v>
      </c>
      <c r="E707" s="84" t="s">
        <v>345</v>
      </c>
      <c r="F707" s="86" t="s">
        <v>296</v>
      </c>
      <c r="G707" s="87" t="s">
        <v>263</v>
      </c>
      <c r="H707" s="87">
        <v>2</v>
      </c>
      <c r="I707" s="89"/>
      <c r="J707" s="89"/>
      <c r="K707" s="89" t="s">
        <v>1614</v>
      </c>
      <c r="L707" s="84" t="s">
        <v>11</v>
      </c>
      <c r="M707" s="88" t="str">
        <f>VLOOKUP(L707,lookups!B:C,2,FALSE)</f>
        <v>Randy</v>
      </c>
      <c r="N707" s="89" t="str">
        <f>VLOOKUP(K707,TeamLookup[],2,0)</f>
        <v>Cyber</v>
      </c>
      <c r="O707" s="84" t="e">
        <f>VLOOKUP(VALUE($S707),lookups!I:J,2,FALSE)</f>
        <v>#N/A</v>
      </c>
      <c r="P707" s="84">
        <f>VLOOKUP(VALUE($S707),lookups!F:G,2,FALSE)</f>
        <v>93</v>
      </c>
      <c r="Q707" s="84" t="str">
        <f t="shared" si="44"/>
        <v>ParentNotInCyberQuery</v>
      </c>
      <c r="R707" s="84" t="str">
        <f t="shared" si="45"/>
        <v>MT</v>
      </c>
      <c r="S707" s="84">
        <f t="shared" si="46"/>
        <v>368860</v>
      </c>
      <c r="T707" s="84">
        <f t="shared" si="47"/>
        <v>1004515</v>
      </c>
    </row>
    <row r="708" spans="1:20" ht="15" customHeight="1" x14ac:dyDescent="0.3">
      <c r="B708" s="84">
        <v>372859</v>
      </c>
      <c r="C708" s="85">
        <v>369358</v>
      </c>
      <c r="D708" s="84" t="s">
        <v>6</v>
      </c>
      <c r="E708" s="84" t="s">
        <v>345</v>
      </c>
      <c r="F708" s="86" t="s">
        <v>571</v>
      </c>
      <c r="G708" s="87" t="s">
        <v>446</v>
      </c>
      <c r="H708" s="87">
        <v>5</v>
      </c>
      <c r="I708" s="89"/>
      <c r="J708" s="89" t="s">
        <v>572</v>
      </c>
      <c r="K708" s="89" t="s">
        <v>1614</v>
      </c>
      <c r="L708" s="84" t="s">
        <v>107</v>
      </c>
      <c r="M708" s="88" t="str">
        <f>VLOOKUP(L708,lookups!B:C,2,FALSE)</f>
        <v>Chris</v>
      </c>
      <c r="N708" s="89" t="str">
        <f>VLOOKUP(K708,TeamLookup[],2,0)</f>
        <v>Cyber</v>
      </c>
      <c r="O708" s="84" t="e">
        <f>VLOOKUP(VALUE($S708),lookups!I:J,2,FALSE)</f>
        <v>#N/A</v>
      </c>
      <c r="P708" s="84" t="e">
        <f>VLOOKUP(VALUE($S708),lookups!F:G,2,FALSE)</f>
        <v>#N/A</v>
      </c>
      <c r="Q708" s="84" t="str">
        <f t="shared" si="44"/>
        <v>ParentNotInCyberQuery</v>
      </c>
      <c r="R708" s="84" t="str">
        <f t="shared" si="45"/>
        <v>MT</v>
      </c>
      <c r="S708" s="84">
        <f t="shared" si="46"/>
        <v>369358</v>
      </c>
      <c r="T708" s="84">
        <f t="shared" si="47"/>
        <v>372859</v>
      </c>
    </row>
    <row r="709" spans="1:20" x14ac:dyDescent="0.3">
      <c r="A709" s="96"/>
      <c r="B709" s="84">
        <v>376374</v>
      </c>
      <c r="C709" s="85">
        <v>369358</v>
      </c>
      <c r="D709" s="84" t="s">
        <v>6</v>
      </c>
      <c r="E709" s="84" t="s">
        <v>345</v>
      </c>
      <c r="F709" s="86" t="s">
        <v>553</v>
      </c>
      <c r="G709" s="87" t="s">
        <v>444</v>
      </c>
      <c r="H709" s="87">
        <v>3</v>
      </c>
      <c r="I709" s="84"/>
      <c r="J709" s="84"/>
      <c r="K709" s="84" t="s">
        <v>1614</v>
      </c>
      <c r="L709" s="84" t="s">
        <v>107</v>
      </c>
      <c r="M709" s="88" t="str">
        <f>VLOOKUP(L709,lookups!B:C,2,FALSE)</f>
        <v>Chris</v>
      </c>
      <c r="N709" s="89" t="str">
        <f>VLOOKUP(K709,TeamLookup[],2,0)</f>
        <v>Cyber</v>
      </c>
      <c r="O709" s="84" t="e">
        <f>VLOOKUP(VALUE($S709),lookups!I:J,2,FALSE)</f>
        <v>#N/A</v>
      </c>
      <c r="P709" s="84" t="e">
        <f>VLOOKUP(VALUE($S709),lookups!F:G,2,FALSE)</f>
        <v>#N/A</v>
      </c>
      <c r="Q709" s="84" t="str">
        <f t="shared" si="44"/>
        <v>ParentNotInCyberQuery</v>
      </c>
      <c r="R709" s="84" t="str">
        <f t="shared" si="45"/>
        <v>MT</v>
      </c>
      <c r="S709" s="84">
        <f t="shared" si="46"/>
        <v>369358</v>
      </c>
      <c r="T709" s="84">
        <f t="shared" si="47"/>
        <v>376374</v>
      </c>
    </row>
    <row r="710" spans="1:20" x14ac:dyDescent="0.3">
      <c r="B710" s="84">
        <v>372857</v>
      </c>
      <c r="C710" s="85">
        <v>369358</v>
      </c>
      <c r="D710" s="84" t="s">
        <v>6</v>
      </c>
      <c r="E710" s="84" t="s">
        <v>345</v>
      </c>
      <c r="F710" s="86" t="s">
        <v>573</v>
      </c>
      <c r="G710" s="87" t="s">
        <v>444</v>
      </c>
      <c r="H710" s="87">
        <v>2</v>
      </c>
      <c r="I710" s="89"/>
      <c r="J710" s="89"/>
      <c r="K710" s="89" t="s">
        <v>1614</v>
      </c>
      <c r="L710" s="84" t="s">
        <v>107</v>
      </c>
      <c r="M710" s="88" t="str">
        <f>VLOOKUP(L710,lookups!B:C,2,FALSE)</f>
        <v>Chris</v>
      </c>
      <c r="N710" s="89" t="str">
        <f>VLOOKUP(K710,TeamLookup[],2,0)</f>
        <v>Cyber</v>
      </c>
      <c r="O710" s="84" t="e">
        <f>VLOOKUP(VALUE($S710),lookups!I:J,2,FALSE)</f>
        <v>#N/A</v>
      </c>
      <c r="P710" s="84" t="e">
        <f>VLOOKUP(VALUE($S710),lookups!F:G,2,FALSE)</f>
        <v>#N/A</v>
      </c>
      <c r="Q710" s="84" t="str">
        <f t="shared" si="44"/>
        <v>ParentNotInCyberQuery</v>
      </c>
      <c r="R710" s="84" t="str">
        <f t="shared" si="45"/>
        <v>MT</v>
      </c>
      <c r="S710" s="84">
        <f t="shared" si="46"/>
        <v>369358</v>
      </c>
      <c r="T710" s="84">
        <f t="shared" si="47"/>
        <v>372857</v>
      </c>
    </row>
    <row r="711" spans="1:20" x14ac:dyDescent="0.3">
      <c r="B711" s="84">
        <v>369516</v>
      </c>
      <c r="C711" s="85">
        <v>369509</v>
      </c>
      <c r="D711" s="84" t="s">
        <v>6</v>
      </c>
      <c r="E711" s="84" t="s">
        <v>345</v>
      </c>
      <c r="F711" s="86" t="s">
        <v>643</v>
      </c>
      <c r="G711" s="87" t="s">
        <v>482</v>
      </c>
      <c r="H711" s="87">
        <v>3</v>
      </c>
      <c r="I711" s="89"/>
      <c r="J711" s="89"/>
      <c r="K711" s="89" t="s">
        <v>1614</v>
      </c>
      <c r="L711" s="84" t="s">
        <v>37</v>
      </c>
      <c r="M711" s="88" t="str">
        <f>VLOOKUP(L711,lookups!B:C,2,FALSE)</f>
        <v>Kent</v>
      </c>
      <c r="N711" s="89" t="str">
        <f>VLOOKUP(K711,TeamLookup[],2,0)</f>
        <v>Cyber</v>
      </c>
      <c r="O711" s="84" t="e">
        <f>VLOOKUP(VALUE($S711),lookups!I:J,2,FALSE)</f>
        <v>#N/A</v>
      </c>
      <c r="P711" s="84" t="e">
        <f>VLOOKUP(VALUE($S711),lookups!F:G,2,FALSE)</f>
        <v>#N/A</v>
      </c>
      <c r="Q711" s="84" t="str">
        <f t="shared" si="44"/>
        <v>ParentNotInCyberQuery</v>
      </c>
      <c r="R711" s="84" t="str">
        <f t="shared" si="45"/>
        <v>MT</v>
      </c>
      <c r="S711" s="84">
        <f t="shared" si="46"/>
        <v>369509</v>
      </c>
      <c r="T711" s="84">
        <f t="shared" si="47"/>
        <v>369516</v>
      </c>
    </row>
    <row r="712" spans="1:20" ht="28.8" x14ac:dyDescent="0.3">
      <c r="B712" s="84">
        <v>384987</v>
      </c>
      <c r="C712" s="85">
        <v>369509</v>
      </c>
      <c r="D712" s="84" t="s">
        <v>6</v>
      </c>
      <c r="E712" s="84" t="s">
        <v>345</v>
      </c>
      <c r="F712" s="86" t="s">
        <v>466</v>
      </c>
      <c r="G712" s="87" t="s">
        <v>434</v>
      </c>
      <c r="H712" s="87">
        <v>1</v>
      </c>
      <c r="I712" s="89"/>
      <c r="J712" s="89"/>
      <c r="K712" s="89" t="s">
        <v>1614</v>
      </c>
      <c r="L712" s="84" t="s">
        <v>37</v>
      </c>
      <c r="M712" s="88" t="str">
        <f>VLOOKUP(L712,lookups!B:C,2,FALSE)</f>
        <v>Kent</v>
      </c>
      <c r="N712" s="89" t="str">
        <f>VLOOKUP(K712,TeamLookup[],2,0)</f>
        <v>Cyber</v>
      </c>
      <c r="O712" s="84" t="e">
        <f>VLOOKUP(VALUE($S712),lookups!I:J,2,FALSE)</f>
        <v>#N/A</v>
      </c>
      <c r="P712" s="84" t="e">
        <f>VLOOKUP(VALUE($S712),lookups!F:G,2,FALSE)</f>
        <v>#N/A</v>
      </c>
      <c r="Q712" s="84" t="str">
        <f t="shared" si="44"/>
        <v>ParentNotInCyberQuery</v>
      </c>
      <c r="R712" s="84" t="str">
        <f t="shared" si="45"/>
        <v>MT</v>
      </c>
      <c r="S712" s="84">
        <f t="shared" si="46"/>
        <v>369509</v>
      </c>
      <c r="T712" s="84">
        <f t="shared" si="47"/>
        <v>384987</v>
      </c>
    </row>
    <row r="713" spans="1:20" x14ac:dyDescent="0.3">
      <c r="B713" s="84">
        <v>369646</v>
      </c>
      <c r="C713" s="85">
        <v>369527</v>
      </c>
      <c r="D713" s="84" t="s">
        <v>6</v>
      </c>
      <c r="E713" s="84" t="s">
        <v>345</v>
      </c>
      <c r="F713" s="86" t="s">
        <v>638</v>
      </c>
      <c r="G713" s="87" t="s">
        <v>434</v>
      </c>
      <c r="H713" s="87">
        <v>0</v>
      </c>
      <c r="I713" s="89" t="s">
        <v>48</v>
      </c>
      <c r="J713" s="89"/>
      <c r="K713" s="89" t="s">
        <v>1614</v>
      </c>
      <c r="L713" s="84" t="s">
        <v>8</v>
      </c>
      <c r="M713" s="88" t="str">
        <f>VLOOKUP(L713,lookups!B:C,2,FALSE)</f>
        <v>TBD</v>
      </c>
      <c r="N713" s="89" t="str">
        <f>VLOOKUP(K713,TeamLookup[],2,0)</f>
        <v>Cyber</v>
      </c>
      <c r="O713" s="84" t="e">
        <f>VLOOKUP(VALUE($S713),lookups!I:J,2,FALSE)</f>
        <v>#N/A</v>
      </c>
      <c r="P713" s="84" t="e">
        <f>VLOOKUP(VALUE($S713),lookups!F:G,2,FALSE)</f>
        <v>#N/A</v>
      </c>
      <c r="Q713" s="84" t="str">
        <f t="shared" si="44"/>
        <v>ParentNotInCyberQuery</v>
      </c>
      <c r="R713" s="84" t="str">
        <f t="shared" si="45"/>
        <v>MT</v>
      </c>
      <c r="S713" s="84">
        <f t="shared" si="46"/>
        <v>369527</v>
      </c>
      <c r="T713" s="84">
        <f t="shared" si="47"/>
        <v>369646</v>
      </c>
    </row>
    <row r="714" spans="1:20" x14ac:dyDescent="0.3">
      <c r="A714" s="96"/>
      <c r="B714" s="84">
        <v>369609</v>
      </c>
      <c r="C714" s="85">
        <v>369608</v>
      </c>
      <c r="D714" s="84" t="s">
        <v>6</v>
      </c>
      <c r="E714" s="84" t="s">
        <v>345</v>
      </c>
      <c r="F714" s="86" t="s">
        <v>642</v>
      </c>
      <c r="G714" s="87" t="s">
        <v>446</v>
      </c>
      <c r="H714" s="87">
        <v>1</v>
      </c>
      <c r="I714" s="89"/>
      <c r="J714" s="89"/>
      <c r="K714" s="89" t="s">
        <v>1614</v>
      </c>
      <c r="L714" s="84" t="s">
        <v>37</v>
      </c>
      <c r="M714" s="88" t="str">
        <f>VLOOKUP(L714,lookups!B:C,2,FALSE)</f>
        <v>Kent</v>
      </c>
      <c r="N714" s="89" t="str">
        <f>VLOOKUP(K714,TeamLookup[],2,0)</f>
        <v>Cyber</v>
      </c>
      <c r="O714" s="84" t="e">
        <f>VLOOKUP(VALUE($S714),lookups!I:J,2,FALSE)</f>
        <v>#N/A</v>
      </c>
      <c r="P714" s="84" t="e">
        <f>VLOOKUP(VALUE($S714),lookups!F:G,2,FALSE)</f>
        <v>#N/A</v>
      </c>
      <c r="Q714" s="84" t="str">
        <f t="shared" si="44"/>
        <v>ParentNotInCyberQuery</v>
      </c>
      <c r="R714" s="84" t="str">
        <f t="shared" si="45"/>
        <v>MT</v>
      </c>
      <c r="S714" s="84">
        <f t="shared" si="46"/>
        <v>369608</v>
      </c>
      <c r="T714" s="84">
        <f t="shared" si="47"/>
        <v>369609</v>
      </c>
    </row>
    <row r="715" spans="1:20" x14ac:dyDescent="0.3">
      <c r="B715" s="84">
        <v>369614</v>
      </c>
      <c r="C715" s="85">
        <v>369613</v>
      </c>
      <c r="D715" s="84" t="s">
        <v>6</v>
      </c>
      <c r="E715" s="84" t="s">
        <v>345</v>
      </c>
      <c r="F715" s="86" t="s">
        <v>641</v>
      </c>
      <c r="G715" s="87" t="s">
        <v>541</v>
      </c>
      <c r="H715" s="87">
        <v>1</v>
      </c>
      <c r="I715" s="84"/>
      <c r="J715" s="84"/>
      <c r="K715" s="84" t="s">
        <v>1614</v>
      </c>
      <c r="L715" s="84" t="s">
        <v>121</v>
      </c>
      <c r="M715" s="88" t="str">
        <f>VLOOKUP(L715,lookups!B:C,2,FALSE)</f>
        <v>Tony</v>
      </c>
      <c r="N715" s="89" t="str">
        <f>VLOOKUP(K715,TeamLookup[],2,0)</f>
        <v>Cyber</v>
      </c>
      <c r="O715" s="84" t="e">
        <f>VLOOKUP(VALUE($S715),lookups!I:J,2,FALSE)</f>
        <v>#N/A</v>
      </c>
      <c r="P715" s="84" t="e">
        <f>VLOOKUP(VALUE($S715),lookups!F:G,2,FALSE)</f>
        <v>#N/A</v>
      </c>
      <c r="Q715" s="84" t="str">
        <f t="shared" si="44"/>
        <v>ParentNotInCyberQuery</v>
      </c>
      <c r="R715" s="84" t="str">
        <f t="shared" si="45"/>
        <v>MT</v>
      </c>
      <c r="S715" s="84">
        <f t="shared" si="46"/>
        <v>369613</v>
      </c>
      <c r="T715" s="84">
        <f t="shared" si="47"/>
        <v>369614</v>
      </c>
    </row>
    <row r="716" spans="1:20" x14ac:dyDescent="0.3">
      <c r="B716" s="84">
        <v>376385</v>
      </c>
      <c r="C716" s="85">
        <v>369613</v>
      </c>
      <c r="D716" s="84" t="s">
        <v>6</v>
      </c>
      <c r="E716" s="84" t="s">
        <v>345</v>
      </c>
      <c r="F716" s="86" t="s">
        <v>552</v>
      </c>
      <c r="G716" s="87" t="s">
        <v>508</v>
      </c>
      <c r="H716" s="87">
        <v>1</v>
      </c>
      <c r="I716" s="89"/>
      <c r="J716" s="89"/>
      <c r="K716" s="89" t="s">
        <v>1614</v>
      </c>
      <c r="L716" s="84" t="s">
        <v>129</v>
      </c>
      <c r="M716" s="88" t="str">
        <f>VLOOKUP(L716,lookups!B:C,2,FALSE)</f>
        <v>Derek</v>
      </c>
      <c r="N716" s="89" t="str">
        <f>VLOOKUP(K716,TeamLookup[],2,0)</f>
        <v>Cyber</v>
      </c>
      <c r="O716" s="84" t="e">
        <f>VLOOKUP(VALUE($S716),lookups!I:J,2,FALSE)</f>
        <v>#N/A</v>
      </c>
      <c r="P716" s="84" t="e">
        <f>VLOOKUP(VALUE($S716),lookups!F:G,2,FALSE)</f>
        <v>#N/A</v>
      </c>
      <c r="Q716" s="84" t="str">
        <f t="shared" si="44"/>
        <v>ParentNotInCyberQuery</v>
      </c>
      <c r="R716" s="84" t="str">
        <f t="shared" si="45"/>
        <v>MT</v>
      </c>
      <c r="S716" s="84">
        <f t="shared" si="46"/>
        <v>369613</v>
      </c>
      <c r="T716" s="84">
        <f t="shared" si="47"/>
        <v>376385</v>
      </c>
    </row>
    <row r="717" spans="1:20" x14ac:dyDescent="0.3">
      <c r="B717" s="84">
        <v>369619</v>
      </c>
      <c r="C717" s="85">
        <v>369618</v>
      </c>
      <c r="D717" s="84" t="s">
        <v>6</v>
      </c>
      <c r="E717" s="84" t="s">
        <v>7</v>
      </c>
      <c r="F717" s="86" t="s">
        <v>640</v>
      </c>
      <c r="G717" s="87" t="s">
        <v>442</v>
      </c>
      <c r="H717" s="87">
        <v>2</v>
      </c>
      <c r="I717" s="89"/>
      <c r="J717" s="89"/>
      <c r="K717" s="89" t="s">
        <v>1614</v>
      </c>
      <c r="L717" s="84" t="s">
        <v>8</v>
      </c>
      <c r="M717" s="88" t="str">
        <f>VLOOKUP(L717,lookups!B:C,2,FALSE)</f>
        <v>TBD</v>
      </c>
      <c r="N717" s="89" t="str">
        <f>VLOOKUP(K717,TeamLookup[],2,0)</f>
        <v>Cyber</v>
      </c>
      <c r="O717" s="84" t="e">
        <f>VLOOKUP(VALUE($S717),lookups!I:J,2,FALSE)</f>
        <v>#N/A</v>
      </c>
      <c r="P717" s="84" t="e">
        <f>VLOOKUP(VALUE($S717),lookups!F:G,2,FALSE)</f>
        <v>#N/A</v>
      </c>
      <c r="Q717" s="84" t="str">
        <f t="shared" si="44"/>
        <v>ParentNotInCyberQuery</v>
      </c>
      <c r="R717" s="84" t="str">
        <f t="shared" si="45"/>
        <v>MT</v>
      </c>
      <c r="S717" s="84">
        <f t="shared" si="46"/>
        <v>369618</v>
      </c>
      <c r="T717" s="84">
        <f t="shared" si="47"/>
        <v>369619</v>
      </c>
    </row>
    <row r="718" spans="1:20" x14ac:dyDescent="0.3">
      <c r="B718" s="84">
        <v>376386</v>
      </c>
      <c r="C718" s="85">
        <v>369623</v>
      </c>
      <c r="D718" s="84" t="s">
        <v>6</v>
      </c>
      <c r="E718" s="84" t="s">
        <v>345</v>
      </c>
      <c r="F718" s="86" t="s">
        <v>377</v>
      </c>
      <c r="G718" s="87" t="s">
        <v>446</v>
      </c>
      <c r="H718" s="87">
        <v>1</v>
      </c>
      <c r="I718" s="84"/>
      <c r="J718" s="84"/>
      <c r="K718" s="84" t="s">
        <v>1614</v>
      </c>
      <c r="L718" s="84" t="s">
        <v>37</v>
      </c>
      <c r="M718" s="88" t="str">
        <f>VLOOKUP(L718,lookups!B:C,2,FALSE)</f>
        <v>Kent</v>
      </c>
      <c r="N718" s="89" t="str">
        <f>VLOOKUP(K718,TeamLookup[],2,0)</f>
        <v>Cyber</v>
      </c>
      <c r="O718" s="84" t="e">
        <f>VLOOKUP(VALUE($S718),lookups!I:J,2,FALSE)</f>
        <v>#N/A</v>
      </c>
      <c r="P718" s="84" t="e">
        <f>VLOOKUP(VALUE($S718),lookups!F:G,2,FALSE)</f>
        <v>#N/A</v>
      </c>
      <c r="Q718" s="84" t="str">
        <f t="shared" si="44"/>
        <v>ParentNotInCyberQuery</v>
      </c>
      <c r="R718" s="84" t="str">
        <f t="shared" si="45"/>
        <v>MT</v>
      </c>
      <c r="S718" s="84">
        <f t="shared" si="46"/>
        <v>369623</v>
      </c>
      <c r="T718" s="84">
        <f t="shared" si="47"/>
        <v>376386</v>
      </c>
    </row>
    <row r="719" spans="1:20" x14ac:dyDescent="0.3">
      <c r="A719" s="96"/>
      <c r="B719" s="84">
        <v>369624</v>
      </c>
      <c r="C719" s="85">
        <v>369623</v>
      </c>
      <c r="D719" s="84" t="s">
        <v>6</v>
      </c>
      <c r="E719" s="84" t="s">
        <v>345</v>
      </c>
      <c r="F719" s="86" t="s">
        <v>639</v>
      </c>
      <c r="G719" s="87" t="s">
        <v>446</v>
      </c>
      <c r="H719" s="87">
        <v>1</v>
      </c>
      <c r="I719" s="84"/>
      <c r="J719" s="84"/>
      <c r="K719" s="84" t="s">
        <v>1614</v>
      </c>
      <c r="L719" s="84" t="s">
        <v>37</v>
      </c>
      <c r="M719" s="88" t="str">
        <f>VLOOKUP(L719,lookups!B:C,2,FALSE)</f>
        <v>Kent</v>
      </c>
      <c r="N719" s="89" t="str">
        <f>VLOOKUP(K719,TeamLookup[],2,0)</f>
        <v>Cyber</v>
      </c>
      <c r="O719" s="84" t="e">
        <f>VLOOKUP(VALUE($S719),lookups!I:J,2,FALSE)</f>
        <v>#N/A</v>
      </c>
      <c r="P719" s="84" t="e">
        <f>VLOOKUP(VALUE($S719),lookups!F:G,2,FALSE)</f>
        <v>#N/A</v>
      </c>
      <c r="Q719" s="84" t="str">
        <f t="shared" si="44"/>
        <v>ParentNotInCyberQuery</v>
      </c>
      <c r="R719" s="84" t="str">
        <f t="shared" si="45"/>
        <v>MT</v>
      </c>
      <c r="S719" s="84">
        <f t="shared" si="46"/>
        <v>369623</v>
      </c>
      <c r="T719" s="84">
        <f t="shared" si="47"/>
        <v>369624</v>
      </c>
    </row>
    <row r="720" spans="1:20" ht="27" customHeight="1" x14ac:dyDescent="0.3">
      <c r="A720" s="96"/>
      <c r="B720" s="84">
        <v>393347</v>
      </c>
      <c r="C720" s="85">
        <v>369623</v>
      </c>
      <c r="D720" s="84" t="s">
        <v>6</v>
      </c>
      <c r="E720" s="84" t="s">
        <v>345</v>
      </c>
      <c r="F720" s="86" t="s">
        <v>377</v>
      </c>
      <c r="G720" s="87" t="s">
        <v>1349</v>
      </c>
      <c r="H720" s="87">
        <v>2</v>
      </c>
      <c r="I720" s="84"/>
      <c r="J720" s="84"/>
      <c r="K720" s="84" t="s">
        <v>1614</v>
      </c>
      <c r="L720" s="84" t="s">
        <v>37</v>
      </c>
      <c r="M720" s="88" t="str">
        <f>VLOOKUP(L720,lookups!B:C,2,FALSE)</f>
        <v>Kent</v>
      </c>
      <c r="N720" s="89" t="str">
        <f>VLOOKUP(K720,TeamLookup[],2,0)</f>
        <v>Cyber</v>
      </c>
      <c r="O720" s="84" t="e">
        <f>VLOOKUP(VALUE($S720),lookups!I:J,2,FALSE)</f>
        <v>#N/A</v>
      </c>
      <c r="P720" s="84" t="e">
        <f>VLOOKUP(VALUE($S720),lookups!F:G,2,FALSE)</f>
        <v>#N/A</v>
      </c>
      <c r="Q720" s="84" t="str">
        <f t="shared" si="44"/>
        <v>ParentNotInCyberQuery</v>
      </c>
      <c r="R720" s="84" t="str">
        <f t="shared" si="45"/>
        <v>MT</v>
      </c>
      <c r="S720" s="84">
        <f t="shared" si="46"/>
        <v>369623</v>
      </c>
      <c r="T720" s="84">
        <f t="shared" si="47"/>
        <v>393347</v>
      </c>
    </row>
    <row r="721" spans="1:20" x14ac:dyDescent="0.3">
      <c r="A721" s="96"/>
      <c r="B721" s="84">
        <v>395273</v>
      </c>
      <c r="C721" s="85">
        <v>369623</v>
      </c>
      <c r="D721" s="84" t="s">
        <v>6</v>
      </c>
      <c r="E721" s="84" t="s">
        <v>345</v>
      </c>
      <c r="F721" s="86" t="s">
        <v>377</v>
      </c>
      <c r="G721" s="87" t="s">
        <v>1348</v>
      </c>
      <c r="H721" s="87">
        <v>3</v>
      </c>
      <c r="I721" s="84"/>
      <c r="J721" s="84"/>
      <c r="K721" s="84" t="s">
        <v>1614</v>
      </c>
      <c r="L721" s="84" t="s">
        <v>37</v>
      </c>
      <c r="M721" s="88" t="str">
        <f>VLOOKUP(L721,lookups!B:C,2,FALSE)</f>
        <v>Kent</v>
      </c>
      <c r="N721" s="89" t="str">
        <f>VLOOKUP(K721,TeamLookup[],2,0)</f>
        <v>Cyber</v>
      </c>
      <c r="O721" s="84" t="e">
        <f>VLOOKUP(VALUE($S721),lookups!I:J,2,FALSE)</f>
        <v>#N/A</v>
      </c>
      <c r="P721" s="84" t="e">
        <f>VLOOKUP(VALUE($S721),lookups!F:G,2,FALSE)</f>
        <v>#N/A</v>
      </c>
      <c r="Q721" s="84" t="str">
        <f t="shared" si="44"/>
        <v>ParentNotInCyberQuery</v>
      </c>
      <c r="R721" s="84" t="str">
        <f t="shared" si="45"/>
        <v>MT</v>
      </c>
      <c r="S721" s="84">
        <f t="shared" si="46"/>
        <v>369623</v>
      </c>
      <c r="T721" s="84">
        <f t="shared" si="47"/>
        <v>395273</v>
      </c>
    </row>
    <row r="722" spans="1:20" x14ac:dyDescent="0.3">
      <c r="B722" s="84">
        <v>395462</v>
      </c>
      <c r="C722" s="85">
        <v>369623</v>
      </c>
      <c r="D722" s="84" t="s">
        <v>6</v>
      </c>
      <c r="E722" s="84" t="s">
        <v>345</v>
      </c>
      <c r="F722" s="86" t="s">
        <v>377</v>
      </c>
      <c r="G722" s="87" t="s">
        <v>1347</v>
      </c>
      <c r="H722" s="87">
        <v>1</v>
      </c>
      <c r="I722" s="89"/>
      <c r="J722" s="89"/>
      <c r="K722" s="89" t="s">
        <v>1614</v>
      </c>
      <c r="L722" s="84" t="s">
        <v>37</v>
      </c>
      <c r="M722" s="88" t="str">
        <f>VLOOKUP(L722,lookups!B:C,2,FALSE)</f>
        <v>Kent</v>
      </c>
      <c r="N722" s="89" t="str">
        <f>VLOOKUP(K722,TeamLookup[],2,0)</f>
        <v>Cyber</v>
      </c>
      <c r="O722" s="84" t="e">
        <f>VLOOKUP(VALUE($S722),lookups!I:J,2,FALSE)</f>
        <v>#N/A</v>
      </c>
      <c r="P722" s="84" t="e">
        <f>VLOOKUP(VALUE($S722),lookups!F:G,2,FALSE)</f>
        <v>#N/A</v>
      </c>
      <c r="Q722" s="84" t="str">
        <f t="shared" si="44"/>
        <v>ParentNotInCyberQuery</v>
      </c>
      <c r="R722" s="84" t="str">
        <f t="shared" si="45"/>
        <v>MT</v>
      </c>
      <c r="S722" s="84">
        <f t="shared" si="46"/>
        <v>369623</v>
      </c>
      <c r="T722" s="84">
        <f t="shared" si="47"/>
        <v>395462</v>
      </c>
    </row>
    <row r="723" spans="1:20" x14ac:dyDescent="0.3">
      <c r="A723" s="96"/>
      <c r="B723" s="84">
        <v>369758</v>
      </c>
      <c r="C723" s="85">
        <v>369754</v>
      </c>
      <c r="D723" s="84" t="s">
        <v>6</v>
      </c>
      <c r="E723" s="84" t="s">
        <v>7</v>
      </c>
      <c r="F723" s="86" t="s">
        <v>173</v>
      </c>
      <c r="G723" s="87" t="s">
        <v>1388</v>
      </c>
      <c r="H723" s="87">
        <v>2</v>
      </c>
      <c r="I723" s="84"/>
      <c r="J723" s="84"/>
      <c r="K723" s="84" t="s">
        <v>1614</v>
      </c>
      <c r="L723" s="84" t="s">
        <v>125</v>
      </c>
      <c r="M723" s="88" t="str">
        <f>VLOOKUP(L723,lookups!B:C,2,FALSE)</f>
        <v>Dave C</v>
      </c>
      <c r="N723" s="89" t="str">
        <f>VLOOKUP(K723,TeamLookup[],2,0)</f>
        <v>Cyber</v>
      </c>
      <c r="O723" s="84" t="e">
        <f>VLOOKUP(VALUE($S723),lookups!I:J,2,FALSE)</f>
        <v>#N/A</v>
      </c>
      <c r="P723" s="84" t="e">
        <f>VLOOKUP(VALUE($S723),lookups!F:G,2,FALSE)</f>
        <v>#N/A</v>
      </c>
      <c r="Q723" s="84" t="str">
        <f t="shared" si="44"/>
        <v>ParentNotInCyberQuery</v>
      </c>
      <c r="R723" s="84" t="str">
        <f t="shared" si="45"/>
        <v>MT</v>
      </c>
      <c r="S723" s="84">
        <f t="shared" si="46"/>
        <v>369754</v>
      </c>
      <c r="T723" s="84">
        <f t="shared" si="47"/>
        <v>369758</v>
      </c>
    </row>
    <row r="724" spans="1:20" x14ac:dyDescent="0.3">
      <c r="B724" s="84">
        <v>370138</v>
      </c>
      <c r="C724" s="85">
        <v>370032</v>
      </c>
      <c r="D724" s="84" t="s">
        <v>6</v>
      </c>
      <c r="E724" s="84" t="s">
        <v>345</v>
      </c>
      <c r="F724" s="86" t="s">
        <v>402</v>
      </c>
      <c r="G724" s="87" t="s">
        <v>482</v>
      </c>
      <c r="H724" s="87">
        <v>1</v>
      </c>
      <c r="I724" s="89"/>
      <c r="J724" s="89"/>
      <c r="K724" s="89" t="s">
        <v>1614</v>
      </c>
      <c r="L724" s="84" t="s">
        <v>11</v>
      </c>
      <c r="M724" s="88" t="str">
        <f>VLOOKUP(L724,lookups!B:C,2,FALSE)</f>
        <v>Randy</v>
      </c>
      <c r="N724" s="89" t="str">
        <f>VLOOKUP(K724,TeamLookup[],2,0)</f>
        <v>Cyber</v>
      </c>
      <c r="O724" s="84" t="e">
        <f>VLOOKUP(VALUE($S724),lookups!I:J,2,FALSE)</f>
        <v>#N/A</v>
      </c>
      <c r="P724" s="84">
        <f>VLOOKUP(VALUE($S724),lookups!F:G,2,FALSE)</f>
        <v>48</v>
      </c>
      <c r="Q724" s="84" t="str">
        <f t="shared" si="44"/>
        <v>ParentNotInCyberQuery</v>
      </c>
      <c r="R724" s="84" t="str">
        <f t="shared" si="45"/>
        <v>MT</v>
      </c>
      <c r="S724" s="84">
        <f t="shared" si="46"/>
        <v>370032</v>
      </c>
      <c r="T724" s="84">
        <f t="shared" si="47"/>
        <v>370138</v>
      </c>
    </row>
    <row r="725" spans="1:20" x14ac:dyDescent="0.3">
      <c r="B725" s="84">
        <v>376287</v>
      </c>
      <c r="C725" s="85">
        <v>370032</v>
      </c>
      <c r="D725" s="84" t="s">
        <v>6</v>
      </c>
      <c r="E725" s="84" t="s">
        <v>345</v>
      </c>
      <c r="F725" s="86" t="s">
        <v>402</v>
      </c>
      <c r="G725" s="87" t="s">
        <v>446</v>
      </c>
      <c r="H725" s="87">
        <v>1</v>
      </c>
      <c r="I725" s="89"/>
      <c r="J725" s="89"/>
      <c r="K725" s="89" t="s">
        <v>1614</v>
      </c>
      <c r="L725" s="84" t="s">
        <v>11</v>
      </c>
      <c r="M725" s="88" t="str">
        <f>VLOOKUP(L725,lookups!B:C,2,FALSE)</f>
        <v>Randy</v>
      </c>
      <c r="N725" s="89" t="str">
        <f>VLOOKUP(K725,TeamLookup[],2,0)</f>
        <v>Cyber</v>
      </c>
      <c r="O725" s="84" t="e">
        <f>VLOOKUP(VALUE($S725),lookups!I:J,2,FALSE)</f>
        <v>#N/A</v>
      </c>
      <c r="P725" s="84">
        <f>VLOOKUP(VALUE($S725),lookups!F:G,2,FALSE)</f>
        <v>48</v>
      </c>
      <c r="Q725" s="84" t="str">
        <f t="shared" si="44"/>
        <v>ParentNotInCyberQuery</v>
      </c>
      <c r="R725" s="84" t="str">
        <f t="shared" si="45"/>
        <v>MT</v>
      </c>
      <c r="S725" s="84">
        <f t="shared" si="46"/>
        <v>370032</v>
      </c>
      <c r="T725" s="84">
        <f t="shared" si="47"/>
        <v>376287</v>
      </c>
    </row>
    <row r="726" spans="1:20" x14ac:dyDescent="0.3">
      <c r="B726" s="84">
        <v>376288</v>
      </c>
      <c r="C726" s="85">
        <v>370032</v>
      </c>
      <c r="D726" s="84" t="s">
        <v>6</v>
      </c>
      <c r="E726" s="84" t="s">
        <v>345</v>
      </c>
      <c r="F726" s="86" t="s">
        <v>402</v>
      </c>
      <c r="G726" s="87" t="s">
        <v>444</v>
      </c>
      <c r="H726" s="87">
        <v>1</v>
      </c>
      <c r="I726" s="89"/>
      <c r="J726" s="89"/>
      <c r="K726" s="89" t="s">
        <v>1614</v>
      </c>
      <c r="L726" s="84" t="s">
        <v>11</v>
      </c>
      <c r="M726" s="88" t="str">
        <f>VLOOKUP(L726,lookups!B:C,2,FALSE)</f>
        <v>Randy</v>
      </c>
      <c r="N726" s="89" t="str">
        <f>VLOOKUP(K726,TeamLookup[],2,0)</f>
        <v>Cyber</v>
      </c>
      <c r="O726" s="84" t="e">
        <f>VLOOKUP(VALUE($S726),lookups!I:J,2,FALSE)</f>
        <v>#N/A</v>
      </c>
      <c r="P726" s="84">
        <f>VLOOKUP(VALUE($S726),lookups!F:G,2,FALSE)</f>
        <v>48</v>
      </c>
      <c r="Q726" s="84" t="str">
        <f t="shared" si="44"/>
        <v>ParentNotInCyberQuery</v>
      </c>
      <c r="R726" s="84" t="str">
        <f t="shared" si="45"/>
        <v>MT</v>
      </c>
      <c r="S726" s="84">
        <f t="shared" si="46"/>
        <v>370032</v>
      </c>
      <c r="T726" s="84">
        <f t="shared" si="47"/>
        <v>376288</v>
      </c>
    </row>
    <row r="727" spans="1:20" x14ac:dyDescent="0.3">
      <c r="B727" s="84">
        <v>390244</v>
      </c>
      <c r="C727" s="85">
        <v>370032</v>
      </c>
      <c r="D727" s="84" t="s">
        <v>6</v>
      </c>
      <c r="E727" s="84" t="s">
        <v>345</v>
      </c>
      <c r="F727" s="86" t="s">
        <v>402</v>
      </c>
      <c r="G727" s="87" t="s">
        <v>434</v>
      </c>
      <c r="H727" s="87">
        <v>1</v>
      </c>
      <c r="I727" s="89"/>
      <c r="J727" s="89"/>
      <c r="K727" s="89" t="s">
        <v>1614</v>
      </c>
      <c r="L727" s="84" t="s">
        <v>11</v>
      </c>
      <c r="M727" s="88" t="str">
        <f>VLOOKUP(L727,lookups!B:C,2,FALSE)</f>
        <v>Randy</v>
      </c>
      <c r="N727" s="89" t="str">
        <f>VLOOKUP(K727,TeamLookup[],2,0)</f>
        <v>Cyber</v>
      </c>
      <c r="O727" s="84" t="e">
        <f>VLOOKUP(VALUE($S727),lookups!I:J,2,FALSE)</f>
        <v>#N/A</v>
      </c>
      <c r="P727" s="84">
        <f>VLOOKUP(VALUE($S727),lookups!F:G,2,FALSE)</f>
        <v>48</v>
      </c>
      <c r="Q727" s="84" t="str">
        <f t="shared" si="44"/>
        <v>ParentNotInCyberQuery</v>
      </c>
      <c r="R727" s="84" t="str">
        <f t="shared" si="45"/>
        <v>MT</v>
      </c>
      <c r="S727" s="84">
        <f t="shared" si="46"/>
        <v>370032</v>
      </c>
      <c r="T727" s="84">
        <f t="shared" si="47"/>
        <v>390244</v>
      </c>
    </row>
    <row r="728" spans="1:20" x14ac:dyDescent="0.3">
      <c r="B728" s="84">
        <v>391887</v>
      </c>
      <c r="C728" s="85">
        <v>370032</v>
      </c>
      <c r="D728" s="84" t="s">
        <v>6</v>
      </c>
      <c r="E728" s="84" t="s">
        <v>345</v>
      </c>
      <c r="F728" s="86" t="s">
        <v>402</v>
      </c>
      <c r="G728" s="87" t="s">
        <v>1349</v>
      </c>
      <c r="H728" s="112">
        <v>3</v>
      </c>
      <c r="I728" s="89"/>
      <c r="J728" s="89"/>
      <c r="K728" s="89" t="s">
        <v>1614</v>
      </c>
      <c r="L728" s="84" t="s">
        <v>11</v>
      </c>
      <c r="M728" s="88" t="str">
        <f>VLOOKUP(L728,lookups!B:C,2,FALSE)</f>
        <v>Randy</v>
      </c>
      <c r="N728" s="89" t="str">
        <f>VLOOKUP(K728,TeamLookup[],2,0)</f>
        <v>Cyber</v>
      </c>
      <c r="O728" s="84" t="e">
        <f>VLOOKUP(VALUE($S728),lookups!I:J,2,FALSE)</f>
        <v>#N/A</v>
      </c>
      <c r="P728" s="84">
        <f>VLOOKUP(VALUE($S728),lookups!F:G,2,FALSE)</f>
        <v>48</v>
      </c>
      <c r="Q728" s="84" t="str">
        <f t="shared" si="44"/>
        <v>ParentNotInCyberQuery</v>
      </c>
      <c r="R728" s="84" t="str">
        <f t="shared" si="45"/>
        <v>MT</v>
      </c>
      <c r="S728" s="84">
        <f t="shared" si="46"/>
        <v>370032</v>
      </c>
      <c r="T728" s="84">
        <f t="shared" si="47"/>
        <v>391887</v>
      </c>
    </row>
    <row r="729" spans="1:20" x14ac:dyDescent="0.3">
      <c r="A729" s="96"/>
      <c r="B729" s="84">
        <v>391888</v>
      </c>
      <c r="C729" s="85">
        <v>370032</v>
      </c>
      <c r="D729" s="84" t="s">
        <v>6</v>
      </c>
      <c r="E729" s="84" t="s">
        <v>345</v>
      </c>
      <c r="F729" s="86" t="s">
        <v>402</v>
      </c>
      <c r="G729" s="87" t="s">
        <v>1348</v>
      </c>
      <c r="H729" s="87">
        <v>1</v>
      </c>
      <c r="I729" s="89"/>
      <c r="J729" s="89"/>
      <c r="K729" s="89" t="s">
        <v>1614</v>
      </c>
      <c r="L729" s="84" t="s">
        <v>11</v>
      </c>
      <c r="M729" s="88" t="str">
        <f>VLOOKUP(L729,lookups!B:C,2,FALSE)</f>
        <v>Randy</v>
      </c>
      <c r="N729" s="89" t="str">
        <f>VLOOKUP(K729,TeamLookup[],2,0)</f>
        <v>Cyber</v>
      </c>
      <c r="O729" s="84" t="e">
        <f>VLOOKUP(VALUE($S729),lookups!I:J,2,FALSE)</f>
        <v>#N/A</v>
      </c>
      <c r="P729" s="84">
        <f>VLOOKUP(VALUE($S729),lookups!F:G,2,FALSE)</f>
        <v>48</v>
      </c>
      <c r="Q729" s="84" t="str">
        <f t="shared" si="44"/>
        <v>ParentNotInCyberQuery</v>
      </c>
      <c r="R729" s="84" t="str">
        <f t="shared" si="45"/>
        <v>MT</v>
      </c>
      <c r="S729" s="84">
        <f t="shared" si="46"/>
        <v>370032</v>
      </c>
      <c r="T729" s="84">
        <f t="shared" si="47"/>
        <v>391888</v>
      </c>
    </row>
    <row r="730" spans="1:20" x14ac:dyDescent="0.3">
      <c r="B730" s="84">
        <v>391889</v>
      </c>
      <c r="C730" s="85">
        <v>370032</v>
      </c>
      <c r="D730" s="84" t="s">
        <v>6</v>
      </c>
      <c r="E730" s="84" t="s">
        <v>345</v>
      </c>
      <c r="F730" s="86" t="s">
        <v>402</v>
      </c>
      <c r="G730" s="87" t="s">
        <v>1347</v>
      </c>
      <c r="H730" s="87">
        <v>1</v>
      </c>
      <c r="I730" s="89"/>
      <c r="J730" s="89"/>
      <c r="K730" s="89" t="s">
        <v>1614</v>
      </c>
      <c r="L730" s="84" t="s">
        <v>11</v>
      </c>
      <c r="M730" s="88" t="str">
        <f>VLOOKUP(L730,lookups!B:C,2,FALSE)</f>
        <v>Randy</v>
      </c>
      <c r="N730" s="89" t="str">
        <f>VLOOKUP(K730,TeamLookup[],2,0)</f>
        <v>Cyber</v>
      </c>
      <c r="O730" s="84" t="e">
        <f>VLOOKUP(VALUE($S730),lookups!I:J,2,FALSE)</f>
        <v>#N/A</v>
      </c>
      <c r="P730" s="84">
        <f>VLOOKUP(VALUE($S730),lookups!F:G,2,FALSE)</f>
        <v>48</v>
      </c>
      <c r="Q730" s="84" t="str">
        <f t="shared" si="44"/>
        <v>ParentNotInCyberQuery</v>
      </c>
      <c r="R730" s="84" t="str">
        <f t="shared" si="45"/>
        <v>MT</v>
      </c>
      <c r="S730" s="84">
        <f t="shared" si="46"/>
        <v>370032</v>
      </c>
      <c r="T730" s="84">
        <f t="shared" si="47"/>
        <v>391889</v>
      </c>
    </row>
    <row r="731" spans="1:20" ht="28.8" x14ac:dyDescent="0.3">
      <c r="B731" s="84">
        <v>390385</v>
      </c>
      <c r="C731" s="85">
        <v>370104</v>
      </c>
      <c r="D731" s="84" t="s">
        <v>6</v>
      </c>
      <c r="E731" s="84" t="s">
        <v>345</v>
      </c>
      <c r="F731" s="86" t="s">
        <v>435</v>
      </c>
      <c r="G731" s="87" t="s">
        <v>1349</v>
      </c>
      <c r="H731" s="87">
        <v>1</v>
      </c>
      <c r="I731" s="84"/>
      <c r="J731" s="84"/>
      <c r="K731" s="84" t="s">
        <v>1614</v>
      </c>
      <c r="L731" s="84" t="s">
        <v>37</v>
      </c>
      <c r="M731" s="88" t="str">
        <f>VLOOKUP(L731,lookups!B:C,2,FALSE)</f>
        <v>Kent</v>
      </c>
      <c r="N731" s="89" t="str">
        <f>VLOOKUP(K731,TeamLookup[],2,0)</f>
        <v>Cyber</v>
      </c>
      <c r="O731" s="84" t="e">
        <f>VLOOKUP(VALUE($S731),lookups!I:J,2,FALSE)</f>
        <v>#N/A</v>
      </c>
      <c r="P731" s="84">
        <f>VLOOKUP(VALUE($S731),lookups!F:G,2,FALSE)</f>
        <v>41</v>
      </c>
      <c r="Q731" s="84" t="str">
        <f t="shared" si="44"/>
        <v>ParentNotInCyberQuery</v>
      </c>
      <c r="R731" s="84" t="str">
        <f t="shared" si="45"/>
        <v>MT</v>
      </c>
      <c r="S731" s="84">
        <f t="shared" si="46"/>
        <v>370104</v>
      </c>
      <c r="T731" s="84">
        <f t="shared" si="47"/>
        <v>390385</v>
      </c>
    </row>
    <row r="732" spans="1:20" ht="32.25" customHeight="1" x14ac:dyDescent="0.3">
      <c r="B732" s="84">
        <v>391319</v>
      </c>
      <c r="C732" s="85">
        <v>370104</v>
      </c>
      <c r="D732" s="84" t="s">
        <v>6</v>
      </c>
      <c r="E732" s="84" t="s">
        <v>345</v>
      </c>
      <c r="F732" s="86" t="s">
        <v>409</v>
      </c>
      <c r="G732" s="87" t="s">
        <v>1348</v>
      </c>
      <c r="H732" s="87">
        <v>1</v>
      </c>
      <c r="I732" s="89"/>
      <c r="J732" s="89"/>
      <c r="K732" s="89" t="s">
        <v>1614</v>
      </c>
      <c r="L732" s="84" t="s">
        <v>37</v>
      </c>
      <c r="M732" s="88" t="str">
        <f>VLOOKUP(L732,lookups!B:C,2,FALSE)</f>
        <v>Kent</v>
      </c>
      <c r="N732" s="89" t="str">
        <f>VLOOKUP(K732,TeamLookup[],2,0)</f>
        <v>Cyber</v>
      </c>
      <c r="O732" s="84" t="e">
        <f>VLOOKUP(VALUE($S732),lookups!I:J,2,FALSE)</f>
        <v>#N/A</v>
      </c>
      <c r="P732" s="84">
        <f>VLOOKUP(VALUE($S732),lookups!F:G,2,FALSE)</f>
        <v>41</v>
      </c>
      <c r="Q732" s="84" t="str">
        <f t="shared" si="44"/>
        <v>ParentNotInCyberQuery</v>
      </c>
      <c r="R732" s="84" t="str">
        <f t="shared" si="45"/>
        <v>MT</v>
      </c>
      <c r="S732" s="84">
        <f t="shared" si="46"/>
        <v>370104</v>
      </c>
      <c r="T732" s="84">
        <f t="shared" si="47"/>
        <v>391319</v>
      </c>
    </row>
    <row r="733" spans="1:20" ht="28.8" x14ac:dyDescent="0.3">
      <c r="B733" s="84">
        <v>391316</v>
      </c>
      <c r="C733" s="85">
        <v>370104</v>
      </c>
      <c r="D733" s="84" t="s">
        <v>6</v>
      </c>
      <c r="E733" s="84" t="s">
        <v>345</v>
      </c>
      <c r="F733" s="86" t="s">
        <v>410</v>
      </c>
      <c r="G733" s="87" t="s">
        <v>1347</v>
      </c>
      <c r="H733" s="87">
        <v>1</v>
      </c>
      <c r="I733" s="84"/>
      <c r="J733" s="84"/>
      <c r="K733" s="84" t="s">
        <v>1614</v>
      </c>
      <c r="L733" s="84" t="s">
        <v>37</v>
      </c>
      <c r="M733" s="88" t="str">
        <f>VLOOKUP(L733,lookups!B:C,2,FALSE)</f>
        <v>Kent</v>
      </c>
      <c r="N733" s="89" t="str">
        <f>VLOOKUP(K733,TeamLookup[],2,0)</f>
        <v>Cyber</v>
      </c>
      <c r="O733" s="84" t="e">
        <f>VLOOKUP(VALUE($S733),lookups!I:J,2,FALSE)</f>
        <v>#N/A</v>
      </c>
      <c r="P733" s="84">
        <f>VLOOKUP(VALUE($S733),lookups!F:G,2,FALSE)</f>
        <v>41</v>
      </c>
      <c r="Q733" s="84" t="str">
        <f t="shared" si="44"/>
        <v>ParentNotInCyberQuery</v>
      </c>
      <c r="R733" s="84" t="str">
        <f t="shared" si="45"/>
        <v>MT</v>
      </c>
      <c r="S733" s="84">
        <f t="shared" si="46"/>
        <v>370104</v>
      </c>
      <c r="T733" s="84">
        <f t="shared" si="47"/>
        <v>391316</v>
      </c>
    </row>
    <row r="734" spans="1:20" ht="49.5" customHeight="1" x14ac:dyDescent="0.3">
      <c r="A734" s="96"/>
      <c r="B734" s="84">
        <v>391322</v>
      </c>
      <c r="C734" s="85">
        <v>370104</v>
      </c>
      <c r="D734" s="84" t="s">
        <v>6</v>
      </c>
      <c r="E734" s="88" t="s">
        <v>345</v>
      </c>
      <c r="F734" s="86" t="s">
        <v>408</v>
      </c>
      <c r="G734" s="87" t="s">
        <v>1345</v>
      </c>
      <c r="H734" s="87">
        <v>1</v>
      </c>
      <c r="I734" s="89"/>
      <c r="J734" s="89"/>
      <c r="K734" s="89" t="s">
        <v>1614</v>
      </c>
      <c r="L734" s="84" t="s">
        <v>37</v>
      </c>
      <c r="M734" s="88" t="str">
        <f>VLOOKUP(L734,lookups!B:C,2,FALSE)</f>
        <v>Kent</v>
      </c>
      <c r="N734" s="89" t="str">
        <f>VLOOKUP(K734,TeamLookup[],2,0)</f>
        <v>Cyber</v>
      </c>
      <c r="O734" s="84" t="e">
        <f>VLOOKUP(VALUE($S734),lookups!I:J,2,FALSE)</f>
        <v>#N/A</v>
      </c>
      <c r="P734" s="84">
        <f>VLOOKUP(VALUE($S734),lookups!F:G,2,FALSE)</f>
        <v>41</v>
      </c>
      <c r="Q734" s="84" t="str">
        <f t="shared" si="44"/>
        <v>ParentNotInCyberQuery</v>
      </c>
      <c r="R734" s="84" t="str">
        <f t="shared" si="45"/>
        <v>MT</v>
      </c>
      <c r="S734" s="84">
        <f t="shared" si="46"/>
        <v>370104</v>
      </c>
      <c r="T734" s="84">
        <f t="shared" si="47"/>
        <v>391322</v>
      </c>
    </row>
    <row r="735" spans="1:20" x14ac:dyDescent="0.3">
      <c r="B735" s="84">
        <v>371040</v>
      </c>
      <c r="C735" s="85">
        <v>371037</v>
      </c>
      <c r="D735" s="84" t="s">
        <v>6</v>
      </c>
      <c r="E735" s="84" t="s">
        <v>345</v>
      </c>
      <c r="F735" s="91" t="s">
        <v>612</v>
      </c>
      <c r="G735" s="87" t="s">
        <v>482</v>
      </c>
      <c r="H735" s="87">
        <v>0</v>
      </c>
      <c r="I735" s="89"/>
      <c r="J735" s="89" t="s">
        <v>613</v>
      </c>
      <c r="K735" s="89" t="s">
        <v>1614</v>
      </c>
      <c r="L735" s="84" t="s">
        <v>125</v>
      </c>
      <c r="M735" s="88" t="str">
        <f>VLOOKUP(L735,lookups!B:C,2,FALSE)</f>
        <v>Dave C</v>
      </c>
      <c r="N735" s="89" t="str">
        <f>VLOOKUP(K735,TeamLookup[],2,0)</f>
        <v>Cyber</v>
      </c>
      <c r="O735" s="84" t="e">
        <f>VLOOKUP(VALUE($S735),lookups!I:J,2,FALSE)</f>
        <v>#N/A</v>
      </c>
      <c r="P735" s="84">
        <f>VLOOKUP(VALUE($S735),lookups!F:G,2,FALSE)</f>
        <v>3</v>
      </c>
      <c r="Q735" s="84" t="str">
        <f t="shared" si="44"/>
        <v>ParentNotInCyberQuery</v>
      </c>
      <c r="R735" s="84" t="str">
        <f t="shared" si="45"/>
        <v>MT</v>
      </c>
      <c r="S735" s="84">
        <f t="shared" si="46"/>
        <v>371037</v>
      </c>
      <c r="T735" s="84">
        <f t="shared" si="47"/>
        <v>371040</v>
      </c>
    </row>
    <row r="736" spans="1:20" x14ac:dyDescent="0.3">
      <c r="B736" s="84">
        <v>371352</v>
      </c>
      <c r="C736" s="85">
        <v>371344</v>
      </c>
      <c r="D736" s="84" t="s">
        <v>6</v>
      </c>
      <c r="E736" s="84" t="s">
        <v>345</v>
      </c>
      <c r="F736" s="86" t="s">
        <v>585</v>
      </c>
      <c r="G736" s="87" t="s">
        <v>508</v>
      </c>
      <c r="H736" s="87">
        <v>1</v>
      </c>
      <c r="I736" s="84"/>
      <c r="J736" s="84"/>
      <c r="K736" s="84" t="s">
        <v>1614</v>
      </c>
      <c r="L736" s="84" t="s">
        <v>88</v>
      </c>
      <c r="M736" s="88" t="str">
        <f>VLOOKUP(L736,lookups!B:C,2,FALSE)</f>
        <v>Will</v>
      </c>
      <c r="N736" s="89" t="str">
        <f>VLOOKUP(K736,TeamLookup[],2,0)</f>
        <v>Cyber</v>
      </c>
      <c r="O736" s="84" t="e">
        <f>VLOOKUP(VALUE($S736),lookups!I:J,2,FALSE)</f>
        <v>#N/A</v>
      </c>
      <c r="P736" s="84" t="e">
        <f>VLOOKUP(VALUE($S736),lookups!F:G,2,FALSE)</f>
        <v>#N/A</v>
      </c>
      <c r="Q736" s="84" t="str">
        <f t="shared" si="44"/>
        <v>ParentNotInCyberQuery</v>
      </c>
      <c r="R736" s="84" t="str">
        <f t="shared" si="45"/>
        <v>MT</v>
      </c>
      <c r="S736" s="84">
        <f t="shared" si="46"/>
        <v>371344</v>
      </c>
      <c r="T736" s="84">
        <f t="shared" si="47"/>
        <v>371352</v>
      </c>
    </row>
    <row r="737" spans="1:20" ht="32.25" customHeight="1" x14ac:dyDescent="0.3">
      <c r="A737" s="96"/>
      <c r="B737" s="84">
        <v>385603</v>
      </c>
      <c r="C737" s="85">
        <v>376446</v>
      </c>
      <c r="D737" s="84" t="s">
        <v>6</v>
      </c>
      <c r="E737" s="84" t="s">
        <v>345</v>
      </c>
      <c r="F737" s="86" t="s">
        <v>1357</v>
      </c>
      <c r="G737" s="87" t="s">
        <v>265</v>
      </c>
      <c r="H737" s="87">
        <v>3</v>
      </c>
      <c r="I737" s="84" t="s">
        <v>48</v>
      </c>
      <c r="J737" s="84"/>
      <c r="K737" s="84" t="s">
        <v>1614</v>
      </c>
      <c r="L737" s="84" t="s">
        <v>191</v>
      </c>
      <c r="M737" s="88" t="str">
        <f>VLOOKUP(L737,lookups!B:C,2,FALSE)</f>
        <v>Gerald V</v>
      </c>
      <c r="N737" s="89" t="str">
        <f>VLOOKUP(K737,TeamLookup[],2,0)</f>
        <v>Cyber</v>
      </c>
      <c r="O737" s="84">
        <f>VLOOKUP(VALUE($S737),lookups!I:J,2,FALSE)</f>
        <v>12</v>
      </c>
      <c r="P737" s="84" t="e">
        <f>VLOOKUP(VALUE($S737),lookups!F:G,2,FALSE)</f>
        <v>#N/A</v>
      </c>
      <c r="Q737" s="84" t="str">
        <f t="shared" si="44"/>
        <v>ParentNotInCyberQuery</v>
      </c>
      <c r="R737" s="84" t="str">
        <f t="shared" si="45"/>
        <v>MT</v>
      </c>
      <c r="S737" s="84">
        <f t="shared" si="46"/>
        <v>376446</v>
      </c>
      <c r="T737" s="84">
        <f t="shared" si="47"/>
        <v>385603</v>
      </c>
    </row>
    <row r="738" spans="1:20" ht="32.25" customHeight="1" x14ac:dyDescent="0.3">
      <c r="B738" s="84">
        <v>385602</v>
      </c>
      <c r="C738" s="85">
        <v>376446</v>
      </c>
      <c r="D738" s="84" t="s">
        <v>6</v>
      </c>
      <c r="E738" s="84" t="s">
        <v>345</v>
      </c>
      <c r="F738" s="86" t="s">
        <v>1398</v>
      </c>
      <c r="G738" s="87" t="s">
        <v>263</v>
      </c>
      <c r="H738" s="87">
        <v>1</v>
      </c>
      <c r="I738" s="84" t="s">
        <v>48</v>
      </c>
      <c r="J738" s="84"/>
      <c r="K738" s="84" t="s">
        <v>1614</v>
      </c>
      <c r="L738" s="84" t="s">
        <v>191</v>
      </c>
      <c r="M738" s="88" t="str">
        <f>VLOOKUP(L738,lookups!B:C,2,FALSE)</f>
        <v>Gerald V</v>
      </c>
      <c r="N738" s="89" t="str">
        <f>VLOOKUP(K738,TeamLookup[],2,0)</f>
        <v>Cyber</v>
      </c>
      <c r="O738" s="84">
        <f>VLOOKUP(VALUE($S738),lookups!I:J,2,FALSE)</f>
        <v>12</v>
      </c>
      <c r="P738" s="84" t="e">
        <f>VLOOKUP(VALUE($S738),lookups!F:G,2,FALSE)</f>
        <v>#N/A</v>
      </c>
      <c r="Q738" s="84" t="str">
        <f t="shared" si="44"/>
        <v>ParentNotInCyberQuery</v>
      </c>
      <c r="R738" s="84" t="str">
        <f t="shared" si="45"/>
        <v>MT</v>
      </c>
      <c r="S738" s="84">
        <f t="shared" si="46"/>
        <v>376446</v>
      </c>
      <c r="T738" s="84">
        <f t="shared" si="47"/>
        <v>385602</v>
      </c>
    </row>
    <row r="739" spans="1:20" ht="28.8" x14ac:dyDescent="0.3">
      <c r="B739" s="84">
        <v>1006453</v>
      </c>
      <c r="C739" s="85">
        <v>376446</v>
      </c>
      <c r="D739" s="84" t="s">
        <v>6</v>
      </c>
      <c r="E739" s="84" t="s">
        <v>345</v>
      </c>
      <c r="F739" s="86" t="s">
        <v>1355</v>
      </c>
      <c r="G739" s="87" t="s">
        <v>259</v>
      </c>
      <c r="H739" s="87">
        <v>2</v>
      </c>
      <c r="I739" s="84" t="s">
        <v>48</v>
      </c>
      <c r="J739" s="84"/>
      <c r="K739" s="84" t="s">
        <v>1614</v>
      </c>
      <c r="L739" s="84" t="s">
        <v>214</v>
      </c>
      <c r="M739" s="88" t="str">
        <f>VLOOKUP(L739,lookups!B:C,2,FALSE)</f>
        <v>Dave G</v>
      </c>
      <c r="N739" s="89" t="str">
        <f>VLOOKUP(K739,TeamLookup[],2,0)</f>
        <v>Cyber</v>
      </c>
      <c r="O739" s="84">
        <f>VLOOKUP(VALUE($S739),lookups!I:J,2,FALSE)</f>
        <v>12</v>
      </c>
      <c r="P739" s="84" t="e">
        <f>VLOOKUP(VALUE($S739),lookups!F:G,2,FALSE)</f>
        <v>#N/A</v>
      </c>
      <c r="Q739" s="84" t="str">
        <f t="shared" si="44"/>
        <v>ParentNotInCyberQuery</v>
      </c>
      <c r="R739" s="84" t="str">
        <f t="shared" si="45"/>
        <v>MT</v>
      </c>
      <c r="S739" s="84">
        <f t="shared" si="46"/>
        <v>376446</v>
      </c>
      <c r="T739" s="84">
        <f t="shared" si="47"/>
        <v>1006453</v>
      </c>
    </row>
    <row r="740" spans="1:20" ht="18.600000000000001" customHeight="1" x14ac:dyDescent="0.3">
      <c r="B740" s="84">
        <v>377438</v>
      </c>
      <c r="C740" s="85">
        <v>377437</v>
      </c>
      <c r="D740" s="84" t="s">
        <v>6</v>
      </c>
      <c r="E740" s="84" t="s">
        <v>345</v>
      </c>
      <c r="F740" s="86" t="s">
        <v>1429</v>
      </c>
      <c r="G740" s="87" t="s">
        <v>260</v>
      </c>
      <c r="H740" s="87">
        <v>3</v>
      </c>
      <c r="I740" s="89" t="s">
        <v>277</v>
      </c>
      <c r="J740" s="89" t="s">
        <v>545</v>
      </c>
      <c r="K740" s="89" t="s">
        <v>1614</v>
      </c>
      <c r="L740" s="84" t="s">
        <v>191</v>
      </c>
      <c r="M740" s="88" t="str">
        <f>VLOOKUP(L740,lookups!B:C,2,FALSE)</f>
        <v>Gerald V</v>
      </c>
      <c r="N740" s="89" t="str">
        <f>VLOOKUP(K740,TeamLookup[],2,0)</f>
        <v>Cyber</v>
      </c>
      <c r="O740" s="84">
        <f>VLOOKUP(VALUE($S740),lookups!I:J,2,FALSE)</f>
        <v>46</v>
      </c>
      <c r="P740" s="84" t="e">
        <f>VLOOKUP(VALUE($S740),lookups!F:G,2,FALSE)</f>
        <v>#N/A</v>
      </c>
      <c r="Q740" s="84" t="str">
        <f t="shared" si="44"/>
        <v>ParentNotInCyberQuery</v>
      </c>
      <c r="R740" s="84" t="str">
        <f t="shared" si="45"/>
        <v>MT</v>
      </c>
      <c r="S740" s="84">
        <f t="shared" si="46"/>
        <v>377437</v>
      </c>
      <c r="T740" s="84">
        <f t="shared" si="47"/>
        <v>377438</v>
      </c>
    </row>
    <row r="741" spans="1:20" ht="28.8" x14ac:dyDescent="0.3">
      <c r="A741" s="96"/>
      <c r="B741" s="84">
        <v>1018510</v>
      </c>
      <c r="C741" s="85">
        <v>379001</v>
      </c>
      <c r="D741" s="84" t="s">
        <v>6</v>
      </c>
      <c r="E741" s="84" t="s">
        <v>7</v>
      </c>
      <c r="F741" s="86" t="s">
        <v>1524</v>
      </c>
      <c r="G741" s="87" t="s">
        <v>8</v>
      </c>
      <c r="H741" s="87">
        <v>2</v>
      </c>
      <c r="I741" s="89"/>
      <c r="J741" s="89"/>
      <c r="K741" s="89" t="s">
        <v>1614</v>
      </c>
      <c r="L741" s="84" t="s">
        <v>8</v>
      </c>
      <c r="M741" s="88" t="str">
        <f>VLOOKUP(L741,lookups!B:C,2,FALSE)</f>
        <v>TBD</v>
      </c>
      <c r="N741" s="89" t="str">
        <f>VLOOKUP(K741,TeamLookup[],2,0)</f>
        <v>Cyber</v>
      </c>
      <c r="O741" s="84" t="e">
        <f>VLOOKUP(VALUE($S741),lookups!I:J,2,FALSE)</f>
        <v>#N/A</v>
      </c>
      <c r="P741" s="84" t="e">
        <f>VLOOKUP(VALUE($S741),lookups!F:G,2,FALSE)</f>
        <v>#N/A</v>
      </c>
      <c r="Q741" s="84" t="str">
        <f t="shared" si="44"/>
        <v>ParentNotInCyberQuery</v>
      </c>
      <c r="R741" s="84" t="str">
        <f t="shared" si="45"/>
        <v>MT</v>
      </c>
      <c r="S741" s="84">
        <f t="shared" si="46"/>
        <v>379001</v>
      </c>
      <c r="T741" s="84">
        <f t="shared" si="47"/>
        <v>1018510</v>
      </c>
    </row>
    <row r="742" spans="1:20" x14ac:dyDescent="0.3">
      <c r="B742" s="88">
        <v>380601</v>
      </c>
      <c r="C742" s="92">
        <v>380598</v>
      </c>
      <c r="D742" s="88" t="s">
        <v>6</v>
      </c>
      <c r="E742" s="88" t="s">
        <v>7</v>
      </c>
      <c r="F742" s="91" t="s">
        <v>537</v>
      </c>
      <c r="G742" s="87" t="s">
        <v>8</v>
      </c>
      <c r="H742" s="93">
        <v>8</v>
      </c>
      <c r="I742" s="95"/>
      <c r="J742" s="95" t="s">
        <v>538</v>
      </c>
      <c r="K742" s="95" t="s">
        <v>1614</v>
      </c>
      <c r="L742" s="88" t="s">
        <v>129</v>
      </c>
      <c r="M742" s="88" t="str">
        <f>VLOOKUP(L742,lookups!B:C,2,FALSE)</f>
        <v>Derek</v>
      </c>
      <c r="N742" s="89" t="str">
        <f>VLOOKUP(K742,TeamLookup[],2,0)</f>
        <v>Cyber</v>
      </c>
      <c r="O742" s="84" t="e">
        <f>VLOOKUP(VALUE($S742),lookups!I:J,2,FALSE)</f>
        <v>#N/A</v>
      </c>
      <c r="P742" s="84" t="e">
        <f>VLOOKUP(VALUE($S742),lookups!F:G,2,FALSE)</f>
        <v>#N/A</v>
      </c>
      <c r="Q742" s="84" t="str">
        <f t="shared" si="44"/>
        <v>ParentNotInCyberQuery</v>
      </c>
      <c r="R742" s="84" t="str">
        <f t="shared" si="45"/>
        <v>MT</v>
      </c>
      <c r="S742" s="84">
        <f t="shared" si="46"/>
        <v>380598</v>
      </c>
      <c r="T742" s="84">
        <f t="shared" si="47"/>
        <v>380601</v>
      </c>
    </row>
    <row r="743" spans="1:20" x14ac:dyDescent="0.3">
      <c r="B743" s="84">
        <v>1012406</v>
      </c>
      <c r="C743" s="85">
        <v>380808</v>
      </c>
      <c r="D743" s="84" t="s">
        <v>6</v>
      </c>
      <c r="E743" s="84" t="s">
        <v>7</v>
      </c>
      <c r="F743" s="86" t="s">
        <v>1664</v>
      </c>
      <c r="G743" s="87" t="s">
        <v>353</v>
      </c>
      <c r="H743" s="87">
        <v>8</v>
      </c>
      <c r="I743" s="89"/>
      <c r="J743" s="89"/>
      <c r="K743" s="89" t="s">
        <v>1614</v>
      </c>
      <c r="L743" s="84" t="s">
        <v>8</v>
      </c>
      <c r="M743" s="88" t="str">
        <f>VLOOKUP(L743,lookups!B:C,2,FALSE)</f>
        <v>TBD</v>
      </c>
      <c r="N743" s="89" t="str">
        <f>VLOOKUP(K743,TeamLookup[],2,0)</f>
        <v>Cyber</v>
      </c>
      <c r="O743" s="84">
        <f>VLOOKUP(VALUE($S743),lookups!I:J,2,FALSE)</f>
        <v>36</v>
      </c>
      <c r="P743" s="84" t="e">
        <f>VLOOKUP(VALUE($S743),lookups!F:G,2,FALSE)</f>
        <v>#N/A</v>
      </c>
      <c r="Q743" s="84" t="str">
        <f t="shared" si="44"/>
        <v>ParentNotInCyberQuery</v>
      </c>
      <c r="R743" s="84" t="str">
        <f t="shared" si="45"/>
        <v>MT</v>
      </c>
      <c r="S743" s="84">
        <f t="shared" si="46"/>
        <v>380808</v>
      </c>
      <c r="T743" s="84">
        <f t="shared" si="47"/>
        <v>1012406</v>
      </c>
    </row>
    <row r="744" spans="1:20" x14ac:dyDescent="0.3">
      <c r="B744" s="84">
        <v>381830</v>
      </c>
      <c r="C744" s="85">
        <v>381216</v>
      </c>
      <c r="D744" s="84" t="s">
        <v>6</v>
      </c>
      <c r="E744" s="84" t="s">
        <v>345</v>
      </c>
      <c r="F744" s="86" t="s">
        <v>490</v>
      </c>
      <c r="G744" s="87" t="s">
        <v>1349</v>
      </c>
      <c r="H744" s="87">
        <v>2</v>
      </c>
      <c r="I744" s="89"/>
      <c r="J744" s="89"/>
      <c r="K744" s="89" t="s">
        <v>1614</v>
      </c>
      <c r="L744" s="84" t="s">
        <v>107</v>
      </c>
      <c r="M744" s="88" t="str">
        <f>VLOOKUP(L744,lookups!B:C,2,FALSE)</f>
        <v>Chris</v>
      </c>
      <c r="N744" s="89" t="str">
        <f>VLOOKUP(K744,TeamLookup[],2,0)</f>
        <v>Cyber</v>
      </c>
      <c r="O744" s="84" t="e">
        <f>VLOOKUP(VALUE($S744),lookups!I:J,2,FALSE)</f>
        <v>#N/A</v>
      </c>
      <c r="P744" s="84">
        <f>VLOOKUP(VALUE($S744),lookups!F:G,2,FALSE)</f>
        <v>14</v>
      </c>
      <c r="Q744" s="84" t="str">
        <f t="shared" si="44"/>
        <v>ParentNotInCyberQuery</v>
      </c>
      <c r="R744" s="84" t="str">
        <f t="shared" si="45"/>
        <v>MT</v>
      </c>
      <c r="S744" s="84">
        <f t="shared" si="46"/>
        <v>381216</v>
      </c>
      <c r="T744" s="84">
        <f t="shared" si="47"/>
        <v>381830</v>
      </c>
    </row>
    <row r="745" spans="1:20" x14ac:dyDescent="0.3">
      <c r="B745" s="84">
        <v>381826</v>
      </c>
      <c r="C745" s="85">
        <v>381216</v>
      </c>
      <c r="D745" s="84" t="s">
        <v>6</v>
      </c>
      <c r="E745" s="84" t="s">
        <v>345</v>
      </c>
      <c r="F745" s="86" t="s">
        <v>494</v>
      </c>
      <c r="G745" s="87" t="s">
        <v>1349</v>
      </c>
      <c r="H745" s="87">
        <v>2</v>
      </c>
      <c r="I745" s="89"/>
      <c r="J745" s="89"/>
      <c r="K745" s="89" t="s">
        <v>1614</v>
      </c>
      <c r="L745" s="84" t="s">
        <v>37</v>
      </c>
      <c r="M745" s="88" t="str">
        <f>VLOOKUP(L745,lookups!B:C,2,FALSE)</f>
        <v>Kent</v>
      </c>
      <c r="N745" s="89" t="str">
        <f>VLOOKUP(K745,TeamLookup[],2,0)</f>
        <v>Cyber</v>
      </c>
      <c r="O745" s="84" t="e">
        <f>VLOOKUP(VALUE($S745),lookups!I:J,2,FALSE)</f>
        <v>#N/A</v>
      </c>
      <c r="P745" s="84">
        <f>VLOOKUP(VALUE($S745),lookups!F:G,2,FALSE)</f>
        <v>14</v>
      </c>
      <c r="Q745" s="84" t="str">
        <f t="shared" si="44"/>
        <v>ParentNotInCyberQuery</v>
      </c>
      <c r="R745" s="84" t="str">
        <f t="shared" si="45"/>
        <v>MT</v>
      </c>
      <c r="S745" s="84">
        <f t="shared" si="46"/>
        <v>381216</v>
      </c>
      <c r="T745" s="84">
        <f t="shared" si="47"/>
        <v>381826</v>
      </c>
    </row>
    <row r="746" spans="1:20" x14ac:dyDescent="0.3">
      <c r="B746" s="84">
        <v>395557</v>
      </c>
      <c r="C746" s="85">
        <v>381216</v>
      </c>
      <c r="D746" s="84" t="s">
        <v>6</v>
      </c>
      <c r="E746" s="84" t="s">
        <v>345</v>
      </c>
      <c r="F746" s="86" t="s">
        <v>376</v>
      </c>
      <c r="G746" s="87" t="s">
        <v>1348</v>
      </c>
      <c r="H746" s="87">
        <v>1</v>
      </c>
      <c r="I746" s="84"/>
      <c r="J746" s="84"/>
      <c r="K746" s="84" t="s">
        <v>1614</v>
      </c>
      <c r="L746" s="84" t="s">
        <v>107</v>
      </c>
      <c r="M746" s="88" t="str">
        <f>VLOOKUP(L746,lookups!B:C,2,FALSE)</f>
        <v>Chris</v>
      </c>
      <c r="N746" s="89" t="str">
        <f>VLOOKUP(K746,TeamLookup[],2,0)</f>
        <v>Cyber</v>
      </c>
      <c r="O746" s="84" t="e">
        <f>VLOOKUP(VALUE($S746),lookups!I:J,2,FALSE)</f>
        <v>#N/A</v>
      </c>
      <c r="P746" s="84">
        <f>VLOOKUP(VALUE($S746),lookups!F:G,2,FALSE)</f>
        <v>14</v>
      </c>
      <c r="Q746" s="84" t="str">
        <f t="shared" si="44"/>
        <v>ParentNotInCyberQuery</v>
      </c>
      <c r="R746" s="84" t="str">
        <f t="shared" si="45"/>
        <v>MT</v>
      </c>
      <c r="S746" s="84">
        <f t="shared" si="46"/>
        <v>381216</v>
      </c>
      <c r="T746" s="84">
        <f t="shared" si="47"/>
        <v>395557</v>
      </c>
    </row>
    <row r="747" spans="1:20" x14ac:dyDescent="0.3">
      <c r="B747" s="84">
        <v>381827</v>
      </c>
      <c r="C747" s="85">
        <v>381216</v>
      </c>
      <c r="D747" s="84" t="s">
        <v>6</v>
      </c>
      <c r="E747" s="84" t="s">
        <v>345</v>
      </c>
      <c r="F747" s="86" t="s">
        <v>493</v>
      </c>
      <c r="G747" s="87" t="s">
        <v>1348</v>
      </c>
      <c r="H747" s="87">
        <v>2</v>
      </c>
      <c r="I747" s="89"/>
      <c r="J747" s="89"/>
      <c r="K747" s="89" t="s">
        <v>1614</v>
      </c>
      <c r="L747" s="84" t="s">
        <v>214</v>
      </c>
      <c r="M747" s="88" t="str">
        <f>VLOOKUP(L747,lookups!B:C,2,FALSE)</f>
        <v>Dave G</v>
      </c>
      <c r="N747" s="89" t="str">
        <f>VLOOKUP(K747,TeamLookup[],2,0)</f>
        <v>Cyber</v>
      </c>
      <c r="O747" s="84" t="e">
        <f>VLOOKUP(VALUE($S747),lookups!I:J,2,FALSE)</f>
        <v>#N/A</v>
      </c>
      <c r="P747" s="84">
        <f>VLOOKUP(VALUE($S747),lookups!F:G,2,FALSE)</f>
        <v>14</v>
      </c>
      <c r="Q747" s="84" t="str">
        <f t="shared" si="44"/>
        <v>ParentNotInCyberQuery</v>
      </c>
      <c r="R747" s="84" t="str">
        <f t="shared" si="45"/>
        <v>MT</v>
      </c>
      <c r="S747" s="84">
        <f t="shared" si="46"/>
        <v>381216</v>
      </c>
      <c r="T747" s="84">
        <f t="shared" si="47"/>
        <v>381827</v>
      </c>
    </row>
    <row r="748" spans="1:20" x14ac:dyDescent="0.3">
      <c r="B748" s="84">
        <v>381828</v>
      </c>
      <c r="C748" s="85">
        <v>381216</v>
      </c>
      <c r="D748" s="84" t="s">
        <v>6</v>
      </c>
      <c r="E748" s="84" t="s">
        <v>345</v>
      </c>
      <c r="F748" s="86" t="s">
        <v>492</v>
      </c>
      <c r="G748" s="87" t="s">
        <v>1347</v>
      </c>
      <c r="H748" s="87">
        <v>2</v>
      </c>
      <c r="I748" s="89"/>
      <c r="J748" s="89"/>
      <c r="K748" s="89" t="s">
        <v>1614</v>
      </c>
      <c r="L748" s="84" t="s">
        <v>107</v>
      </c>
      <c r="M748" s="88" t="str">
        <f>VLOOKUP(L748,lookups!B:C,2,FALSE)</f>
        <v>Chris</v>
      </c>
      <c r="N748" s="89" t="str">
        <f>VLOOKUP(K748,TeamLookup[],2,0)</f>
        <v>Cyber</v>
      </c>
      <c r="O748" s="84" t="e">
        <f>VLOOKUP(VALUE($S748),lookups!I:J,2,FALSE)</f>
        <v>#N/A</v>
      </c>
      <c r="P748" s="84">
        <f>VLOOKUP(VALUE($S748),lookups!F:G,2,FALSE)</f>
        <v>14</v>
      </c>
      <c r="Q748" s="84" t="str">
        <f t="shared" si="44"/>
        <v>ParentNotInCyberQuery</v>
      </c>
      <c r="R748" s="84" t="str">
        <f t="shared" si="45"/>
        <v>MT</v>
      </c>
      <c r="S748" s="84">
        <f t="shared" si="46"/>
        <v>381216</v>
      </c>
      <c r="T748" s="84">
        <f t="shared" si="47"/>
        <v>381828</v>
      </c>
    </row>
    <row r="749" spans="1:20" x14ac:dyDescent="0.3">
      <c r="B749" s="84">
        <v>1002515</v>
      </c>
      <c r="C749" s="85">
        <v>381216</v>
      </c>
      <c r="D749" s="84" t="s">
        <v>6</v>
      </c>
      <c r="E749" s="84" t="s">
        <v>345</v>
      </c>
      <c r="F749" s="86" t="s">
        <v>367</v>
      </c>
      <c r="G749" s="87" t="s">
        <v>1345</v>
      </c>
      <c r="H749" s="87">
        <v>2</v>
      </c>
      <c r="I749" s="84"/>
      <c r="J749" s="84"/>
      <c r="K749" s="84" t="s">
        <v>1614</v>
      </c>
      <c r="L749" s="84" t="s">
        <v>214</v>
      </c>
      <c r="M749" s="88" t="str">
        <f>VLOOKUP(L749,lookups!B:C,2,FALSE)</f>
        <v>Dave G</v>
      </c>
      <c r="N749" s="89" t="str">
        <f>VLOOKUP(K749,TeamLookup[],2,0)</f>
        <v>Cyber</v>
      </c>
      <c r="O749" s="84" t="e">
        <f>VLOOKUP(VALUE($S749),lookups!I:J,2,FALSE)</f>
        <v>#N/A</v>
      </c>
      <c r="P749" s="84">
        <f>VLOOKUP(VALUE($S749),lookups!F:G,2,FALSE)</f>
        <v>14</v>
      </c>
      <c r="Q749" s="84" t="str">
        <f t="shared" si="44"/>
        <v>ParentNotInCyberQuery</v>
      </c>
      <c r="R749" s="84" t="str">
        <f t="shared" si="45"/>
        <v>MT</v>
      </c>
      <c r="S749" s="84">
        <f t="shared" si="46"/>
        <v>381216</v>
      </c>
      <c r="T749" s="84">
        <f t="shared" si="47"/>
        <v>1002515</v>
      </c>
    </row>
    <row r="750" spans="1:20" x14ac:dyDescent="0.3">
      <c r="B750" s="84">
        <v>381846</v>
      </c>
      <c r="C750" s="85">
        <v>381216</v>
      </c>
      <c r="D750" s="84" t="s">
        <v>6</v>
      </c>
      <c r="E750" s="84" t="s">
        <v>345</v>
      </c>
      <c r="F750" s="86" t="s">
        <v>487</v>
      </c>
      <c r="G750" s="87" t="s">
        <v>1345</v>
      </c>
      <c r="H750" s="87">
        <v>1</v>
      </c>
      <c r="I750" s="84"/>
      <c r="J750" s="84"/>
      <c r="K750" s="84" t="s">
        <v>1614</v>
      </c>
      <c r="L750" s="84" t="s">
        <v>214</v>
      </c>
      <c r="M750" s="88" t="str">
        <f>VLOOKUP(L750,lookups!B:C,2,FALSE)</f>
        <v>Dave G</v>
      </c>
      <c r="N750" s="89" t="str">
        <f>VLOOKUP(K750,TeamLookup[],2,0)</f>
        <v>Cyber</v>
      </c>
      <c r="O750" s="84" t="e">
        <f>VLOOKUP(VALUE($S750),lookups!I:J,2,FALSE)</f>
        <v>#N/A</v>
      </c>
      <c r="P750" s="84">
        <f>VLOOKUP(VALUE($S750),lookups!F:G,2,FALSE)</f>
        <v>14</v>
      </c>
      <c r="Q750" s="84" t="str">
        <f t="shared" si="44"/>
        <v>ParentNotInCyberQuery</v>
      </c>
      <c r="R750" s="84" t="str">
        <f t="shared" si="45"/>
        <v>MT</v>
      </c>
      <c r="S750" s="84">
        <f t="shared" si="46"/>
        <v>381216</v>
      </c>
      <c r="T750" s="84">
        <f t="shared" si="47"/>
        <v>381846</v>
      </c>
    </row>
    <row r="751" spans="1:20" x14ac:dyDescent="0.3">
      <c r="B751" s="84">
        <v>381829</v>
      </c>
      <c r="C751" s="85">
        <v>381216</v>
      </c>
      <c r="D751" s="84" t="s">
        <v>6</v>
      </c>
      <c r="E751" s="84" t="s">
        <v>345</v>
      </c>
      <c r="F751" s="86" t="s">
        <v>491</v>
      </c>
      <c r="G751" s="87" t="s">
        <v>1345</v>
      </c>
      <c r="H751" s="87">
        <v>2</v>
      </c>
      <c r="I751" s="89"/>
      <c r="J751" s="89"/>
      <c r="K751" s="89" t="s">
        <v>1614</v>
      </c>
      <c r="L751" s="84" t="s">
        <v>107</v>
      </c>
      <c r="M751" s="88" t="str">
        <f>VLOOKUP(L751,lookups!B:C,2,FALSE)</f>
        <v>Chris</v>
      </c>
      <c r="N751" s="89" t="str">
        <f>VLOOKUP(K751,TeamLookup[],2,0)</f>
        <v>Cyber</v>
      </c>
      <c r="O751" s="84" t="e">
        <f>VLOOKUP(VALUE($S751),lookups!I:J,2,FALSE)</f>
        <v>#N/A</v>
      </c>
      <c r="P751" s="84">
        <f>VLOOKUP(VALUE($S751),lookups!F:G,2,FALSE)</f>
        <v>14</v>
      </c>
      <c r="Q751" s="84" t="str">
        <f t="shared" si="44"/>
        <v>ParentNotInCyberQuery</v>
      </c>
      <c r="R751" s="84" t="str">
        <f t="shared" si="45"/>
        <v>MT</v>
      </c>
      <c r="S751" s="84">
        <f t="shared" si="46"/>
        <v>381216</v>
      </c>
      <c r="T751" s="84">
        <f t="shared" si="47"/>
        <v>381829</v>
      </c>
    </row>
    <row r="752" spans="1:20" ht="27" customHeight="1" x14ac:dyDescent="0.3">
      <c r="B752" s="84">
        <v>1002529</v>
      </c>
      <c r="C752" s="85">
        <v>381216</v>
      </c>
      <c r="D752" s="84" t="s">
        <v>6</v>
      </c>
      <c r="E752" s="84" t="s">
        <v>345</v>
      </c>
      <c r="F752" s="86" t="s">
        <v>366</v>
      </c>
      <c r="G752" s="87" t="s">
        <v>1344</v>
      </c>
      <c r="H752" s="87">
        <v>3</v>
      </c>
      <c r="I752" s="89"/>
      <c r="J752" s="89"/>
      <c r="K752" s="89" t="s">
        <v>1614</v>
      </c>
      <c r="L752" s="84" t="s">
        <v>214</v>
      </c>
      <c r="M752" s="88" t="str">
        <f>VLOOKUP(L752,lookups!B:C,2,FALSE)</f>
        <v>Dave G</v>
      </c>
      <c r="N752" s="89" t="str">
        <f>VLOOKUP(K752,TeamLookup[],2,0)</f>
        <v>Cyber</v>
      </c>
      <c r="O752" s="84" t="e">
        <f>VLOOKUP(VALUE($S752),lookups!I:J,2,FALSE)</f>
        <v>#N/A</v>
      </c>
      <c r="P752" s="84">
        <f>VLOOKUP(VALUE($S752),lookups!F:G,2,FALSE)</f>
        <v>14</v>
      </c>
      <c r="Q752" s="84" t="str">
        <f t="shared" si="44"/>
        <v>ParentNotInCyberQuery</v>
      </c>
      <c r="R752" s="84" t="str">
        <f t="shared" si="45"/>
        <v>MT</v>
      </c>
      <c r="S752" s="84">
        <f t="shared" si="46"/>
        <v>381216</v>
      </c>
      <c r="T752" s="84">
        <f t="shared" si="47"/>
        <v>1002529</v>
      </c>
    </row>
    <row r="753" spans="1:20" x14ac:dyDescent="0.3">
      <c r="A753" s="96"/>
      <c r="B753" s="84">
        <v>381847</v>
      </c>
      <c r="C753" s="85">
        <v>381216</v>
      </c>
      <c r="D753" s="84" t="s">
        <v>6</v>
      </c>
      <c r="E753" s="84" t="s">
        <v>345</v>
      </c>
      <c r="F753" s="86" t="s">
        <v>487</v>
      </c>
      <c r="G753" s="87" t="s">
        <v>1344</v>
      </c>
      <c r="H753" s="87">
        <v>1</v>
      </c>
      <c r="I753" s="89"/>
      <c r="J753" s="89"/>
      <c r="K753" s="89" t="s">
        <v>1614</v>
      </c>
      <c r="L753" s="84" t="s">
        <v>214</v>
      </c>
      <c r="M753" s="88" t="str">
        <f>VLOOKUP(L753,lookups!B:C,2,FALSE)</f>
        <v>Dave G</v>
      </c>
      <c r="N753" s="89" t="str">
        <f>VLOOKUP(K753,TeamLookup[],2,0)</f>
        <v>Cyber</v>
      </c>
      <c r="O753" s="84" t="e">
        <f>VLOOKUP(VALUE($S753),lookups!I:J,2,FALSE)</f>
        <v>#N/A</v>
      </c>
      <c r="P753" s="84">
        <f>VLOOKUP(VALUE($S753),lookups!F:G,2,FALSE)</f>
        <v>14</v>
      </c>
      <c r="Q753" s="84" t="str">
        <f t="shared" si="44"/>
        <v>ParentNotInCyberQuery</v>
      </c>
      <c r="R753" s="84" t="str">
        <f t="shared" si="45"/>
        <v>MT</v>
      </c>
      <c r="S753" s="84">
        <f t="shared" si="46"/>
        <v>381216</v>
      </c>
      <c r="T753" s="84">
        <f t="shared" si="47"/>
        <v>381847</v>
      </c>
    </row>
    <row r="754" spans="1:20" x14ac:dyDescent="0.3">
      <c r="A754" s="96"/>
      <c r="B754" s="84">
        <v>381831</v>
      </c>
      <c r="C754" s="85">
        <v>381216</v>
      </c>
      <c r="D754" s="84" t="s">
        <v>6</v>
      </c>
      <c r="E754" s="84" t="s">
        <v>345</v>
      </c>
      <c r="F754" s="86" t="s">
        <v>489</v>
      </c>
      <c r="G754" s="87" t="s">
        <v>1344</v>
      </c>
      <c r="H754" s="87">
        <v>2</v>
      </c>
      <c r="I754" s="89"/>
      <c r="J754" s="89"/>
      <c r="K754" s="89" t="s">
        <v>1614</v>
      </c>
      <c r="L754" s="84" t="s">
        <v>107</v>
      </c>
      <c r="M754" s="88" t="str">
        <f>VLOOKUP(L754,lookups!B:C,2,FALSE)</f>
        <v>Chris</v>
      </c>
      <c r="N754" s="89" t="str">
        <f>VLOOKUP(K754,TeamLookup[],2,0)</f>
        <v>Cyber</v>
      </c>
      <c r="O754" s="84" t="e">
        <f>VLOOKUP(VALUE($S754),lookups!I:J,2,FALSE)</f>
        <v>#N/A</v>
      </c>
      <c r="P754" s="84">
        <f>VLOOKUP(VALUE($S754),lookups!F:G,2,FALSE)</f>
        <v>14</v>
      </c>
      <c r="Q754" s="84" t="str">
        <f t="shared" si="44"/>
        <v>ParentNotInCyberQuery</v>
      </c>
      <c r="R754" s="84" t="str">
        <f t="shared" si="45"/>
        <v>MT</v>
      </c>
      <c r="S754" s="84">
        <f t="shared" si="46"/>
        <v>381216</v>
      </c>
      <c r="T754" s="84">
        <f t="shared" si="47"/>
        <v>381831</v>
      </c>
    </row>
    <row r="755" spans="1:20" x14ac:dyDescent="0.3">
      <c r="B755" s="84">
        <v>381832</v>
      </c>
      <c r="C755" s="85">
        <v>381216</v>
      </c>
      <c r="D755" s="84" t="s">
        <v>6</v>
      </c>
      <c r="E755" s="84" t="s">
        <v>345</v>
      </c>
      <c r="F755" s="86" t="s">
        <v>488</v>
      </c>
      <c r="G755" s="87" t="s">
        <v>1343</v>
      </c>
      <c r="H755" s="87">
        <v>2</v>
      </c>
      <c r="I755" s="84"/>
      <c r="J755" s="84"/>
      <c r="K755" s="84" t="s">
        <v>1614</v>
      </c>
      <c r="L755" s="84" t="s">
        <v>107</v>
      </c>
      <c r="M755" s="88" t="str">
        <f>VLOOKUP(L755,lookups!B:C,2,FALSE)</f>
        <v>Chris</v>
      </c>
      <c r="N755" s="89" t="str">
        <f>VLOOKUP(K755,TeamLookup[],2,0)</f>
        <v>Cyber</v>
      </c>
      <c r="O755" s="84" t="e">
        <f>VLOOKUP(VALUE($S755),lookups!I:J,2,FALSE)</f>
        <v>#N/A</v>
      </c>
      <c r="P755" s="84">
        <f>VLOOKUP(VALUE($S755),lookups!F:G,2,FALSE)</f>
        <v>14</v>
      </c>
      <c r="Q755" s="84" t="str">
        <f t="shared" si="44"/>
        <v>ParentNotInCyberQuery</v>
      </c>
      <c r="R755" s="84" t="str">
        <f t="shared" si="45"/>
        <v>MT</v>
      </c>
      <c r="S755" s="84">
        <f t="shared" si="46"/>
        <v>381216</v>
      </c>
      <c r="T755" s="84">
        <f t="shared" si="47"/>
        <v>381832</v>
      </c>
    </row>
    <row r="756" spans="1:20" x14ac:dyDescent="0.3">
      <c r="B756" s="84">
        <v>381611</v>
      </c>
      <c r="C756" s="85">
        <v>381608</v>
      </c>
      <c r="D756" s="84" t="s">
        <v>6</v>
      </c>
      <c r="E756" s="84" t="s">
        <v>345</v>
      </c>
      <c r="F756" s="86" t="s">
        <v>499</v>
      </c>
      <c r="G756" s="87" t="s">
        <v>1349</v>
      </c>
      <c r="H756" s="87">
        <v>1</v>
      </c>
      <c r="I756" s="89"/>
      <c r="J756" s="89" t="s">
        <v>500</v>
      </c>
      <c r="K756" s="89" t="s">
        <v>1614</v>
      </c>
      <c r="L756" s="84" t="s">
        <v>107</v>
      </c>
      <c r="M756" s="88" t="str">
        <f>VLOOKUP(L756,lookups!B:C,2,FALSE)</f>
        <v>Chris</v>
      </c>
      <c r="N756" s="89" t="str">
        <f>VLOOKUP(K756,TeamLookup[],2,0)</f>
        <v>Cyber</v>
      </c>
      <c r="O756" s="84" t="e">
        <f>VLOOKUP(VALUE($S756),lookups!I:J,2,FALSE)</f>
        <v>#N/A</v>
      </c>
      <c r="P756" s="84">
        <f>VLOOKUP(VALUE($S756),lookups!F:G,2,FALSE)</f>
        <v>65</v>
      </c>
      <c r="Q756" s="84" t="str">
        <f t="shared" si="44"/>
        <v>ParentNotInCyberQuery</v>
      </c>
      <c r="R756" s="84" t="str">
        <f t="shared" si="45"/>
        <v>MT</v>
      </c>
      <c r="S756" s="84">
        <f t="shared" si="46"/>
        <v>381608</v>
      </c>
      <c r="T756" s="84">
        <f t="shared" si="47"/>
        <v>381611</v>
      </c>
    </row>
    <row r="757" spans="1:20" x14ac:dyDescent="0.3">
      <c r="B757" s="84">
        <v>381630</v>
      </c>
      <c r="C757" s="85">
        <v>381627</v>
      </c>
      <c r="D757" s="84" t="s">
        <v>6</v>
      </c>
      <c r="E757" s="84" t="s">
        <v>7</v>
      </c>
      <c r="F757" s="91" t="s">
        <v>497</v>
      </c>
      <c r="G757" s="87" t="s">
        <v>8</v>
      </c>
      <c r="H757" s="87">
        <v>8</v>
      </c>
      <c r="I757" s="89"/>
      <c r="J757" s="89" t="s">
        <v>498</v>
      </c>
      <c r="K757" s="89" t="s">
        <v>1614</v>
      </c>
      <c r="L757" s="84" t="s">
        <v>106</v>
      </c>
      <c r="M757" s="88" t="str">
        <f>VLOOKUP(L757,lookups!B:C,2,FALSE)</f>
        <v>Hemant</v>
      </c>
      <c r="N757" s="89" t="str">
        <f>VLOOKUP(K757,TeamLookup[],2,0)</f>
        <v>Cyber</v>
      </c>
      <c r="O757" s="84" t="e">
        <f>VLOOKUP(VALUE($S757),lookups!I:J,2,FALSE)</f>
        <v>#N/A</v>
      </c>
      <c r="P757" s="84" t="e">
        <f>VLOOKUP(VALUE($S757),lookups!F:G,2,FALSE)</f>
        <v>#N/A</v>
      </c>
      <c r="Q757" s="84" t="str">
        <f t="shared" si="44"/>
        <v>ParentNotInCyberQuery</v>
      </c>
      <c r="R757" s="84" t="str">
        <f t="shared" si="45"/>
        <v>MT</v>
      </c>
      <c r="S757" s="84">
        <f t="shared" si="46"/>
        <v>381627</v>
      </c>
      <c r="T757" s="84">
        <f t="shared" si="47"/>
        <v>381630</v>
      </c>
    </row>
    <row r="758" spans="1:20" x14ac:dyDescent="0.3">
      <c r="B758" s="84">
        <v>381662</v>
      </c>
      <c r="C758" s="85">
        <v>381659</v>
      </c>
      <c r="D758" s="84" t="s">
        <v>6</v>
      </c>
      <c r="E758" s="84" t="s">
        <v>7</v>
      </c>
      <c r="F758" s="86" t="s">
        <v>495</v>
      </c>
      <c r="G758" s="87" t="s">
        <v>8</v>
      </c>
      <c r="H758" s="87">
        <v>8</v>
      </c>
      <c r="I758" s="89"/>
      <c r="J758" s="89" t="s">
        <v>496</v>
      </c>
      <c r="K758" s="89" t="s">
        <v>1614</v>
      </c>
      <c r="L758" s="84" t="s">
        <v>106</v>
      </c>
      <c r="M758" s="88" t="str">
        <f>VLOOKUP(L758,lookups!B:C,2,FALSE)</f>
        <v>Hemant</v>
      </c>
      <c r="N758" s="89" t="str">
        <f>VLOOKUP(K758,TeamLookup[],2,0)</f>
        <v>Cyber</v>
      </c>
      <c r="O758" s="84" t="e">
        <f>VLOOKUP(VALUE($S758),lookups!I:J,2,FALSE)</f>
        <v>#N/A</v>
      </c>
      <c r="P758" s="84" t="e">
        <f>VLOOKUP(VALUE($S758),lookups!F:G,2,FALSE)</f>
        <v>#N/A</v>
      </c>
      <c r="Q758" s="84" t="str">
        <f t="shared" si="44"/>
        <v>ParentNotInCyberQuery</v>
      </c>
      <c r="R758" s="84" t="str">
        <f t="shared" si="45"/>
        <v>MT</v>
      </c>
      <c r="S758" s="84">
        <f t="shared" si="46"/>
        <v>381659</v>
      </c>
      <c r="T758" s="84">
        <f t="shared" si="47"/>
        <v>381662</v>
      </c>
    </row>
    <row r="759" spans="1:20" ht="43.2" customHeight="1" x14ac:dyDescent="0.3">
      <c r="B759" s="84">
        <v>384804</v>
      </c>
      <c r="C759" s="85">
        <v>382682</v>
      </c>
      <c r="D759" s="84" t="s">
        <v>6</v>
      </c>
      <c r="E759" s="84" t="s">
        <v>345</v>
      </c>
      <c r="F759" s="86" t="s">
        <v>468</v>
      </c>
      <c r="G759" s="87" t="s">
        <v>446</v>
      </c>
      <c r="H759" s="87">
        <v>1</v>
      </c>
      <c r="I759" s="89"/>
      <c r="J759" s="89"/>
      <c r="K759" s="89" t="s">
        <v>1614</v>
      </c>
      <c r="L759" s="84" t="s">
        <v>125</v>
      </c>
      <c r="M759" s="88" t="str">
        <f>VLOOKUP(L759,lookups!B:C,2,FALSE)</f>
        <v>Dave C</v>
      </c>
      <c r="N759" s="89" t="str">
        <f>VLOOKUP(K759,TeamLookup[],2,0)</f>
        <v>Cyber</v>
      </c>
      <c r="O759" s="84" t="e">
        <f>VLOOKUP(VALUE($S759),lookups!I:J,2,FALSE)</f>
        <v>#N/A</v>
      </c>
      <c r="P759" s="84" t="e">
        <f>VLOOKUP(VALUE($S759),lookups!F:G,2,FALSE)</f>
        <v>#N/A</v>
      </c>
      <c r="Q759" s="84" t="str">
        <f t="shared" si="44"/>
        <v>ParentNotInCyberQuery</v>
      </c>
      <c r="R759" s="84" t="str">
        <f t="shared" si="45"/>
        <v>MT</v>
      </c>
      <c r="S759" s="84">
        <f t="shared" si="46"/>
        <v>382682</v>
      </c>
      <c r="T759" s="84">
        <f t="shared" si="47"/>
        <v>384804</v>
      </c>
    </row>
    <row r="760" spans="1:20" ht="15" customHeight="1" x14ac:dyDescent="0.3">
      <c r="B760" s="84">
        <v>391302</v>
      </c>
      <c r="C760" s="85">
        <v>383332</v>
      </c>
      <c r="D760" s="84" t="s">
        <v>6</v>
      </c>
      <c r="E760" s="84" t="s">
        <v>345</v>
      </c>
      <c r="F760" s="86" t="s">
        <v>416</v>
      </c>
      <c r="G760" s="87" t="s">
        <v>1349</v>
      </c>
      <c r="H760" s="87">
        <v>1</v>
      </c>
      <c r="I760" s="89" t="s">
        <v>48</v>
      </c>
      <c r="J760" s="89"/>
      <c r="K760" s="89" t="s">
        <v>1614</v>
      </c>
      <c r="L760" s="84" t="s">
        <v>107</v>
      </c>
      <c r="M760" s="88" t="str">
        <f>VLOOKUP(L760,lookups!B:C,2,FALSE)</f>
        <v>Chris</v>
      </c>
      <c r="N760" s="89" t="str">
        <f>VLOOKUP(K760,TeamLookup[],2,0)</f>
        <v>Cyber</v>
      </c>
      <c r="O760" s="84" t="e">
        <f>VLOOKUP(VALUE($S760),lookups!I:J,2,FALSE)</f>
        <v>#N/A</v>
      </c>
      <c r="P760" s="84">
        <f>VLOOKUP(VALUE($S760),lookups!F:G,2,FALSE)</f>
        <v>15</v>
      </c>
      <c r="Q760" s="84" t="str">
        <f t="shared" si="44"/>
        <v>ParentNotInCyberQuery</v>
      </c>
      <c r="R760" s="84" t="str">
        <f t="shared" si="45"/>
        <v>MT</v>
      </c>
      <c r="S760" s="84">
        <f t="shared" si="46"/>
        <v>383332</v>
      </c>
      <c r="T760" s="84">
        <f t="shared" si="47"/>
        <v>391302</v>
      </c>
    </row>
    <row r="761" spans="1:20" ht="15.75" customHeight="1" x14ac:dyDescent="0.3">
      <c r="B761" s="84">
        <v>383405</v>
      </c>
      <c r="C761" s="85">
        <v>383332</v>
      </c>
      <c r="D761" s="84" t="s">
        <v>6</v>
      </c>
      <c r="E761" s="84" t="s">
        <v>345</v>
      </c>
      <c r="F761" s="86" t="s">
        <v>483</v>
      </c>
      <c r="G761" s="87" t="s">
        <v>1349</v>
      </c>
      <c r="H761" s="87">
        <v>0</v>
      </c>
      <c r="I761" s="89" t="s">
        <v>48</v>
      </c>
      <c r="J761" s="89"/>
      <c r="K761" s="89" t="s">
        <v>1614</v>
      </c>
      <c r="L761" s="84" t="s">
        <v>107</v>
      </c>
      <c r="M761" s="88" t="str">
        <f>VLOOKUP(L761,lookups!B:C,2,FALSE)</f>
        <v>Chris</v>
      </c>
      <c r="N761" s="89" t="str">
        <f>VLOOKUP(K761,TeamLookup[],2,0)</f>
        <v>Cyber</v>
      </c>
      <c r="O761" s="84" t="e">
        <f>VLOOKUP(VALUE($S761),lookups!I:J,2,FALSE)</f>
        <v>#N/A</v>
      </c>
      <c r="P761" s="84">
        <f>VLOOKUP(VALUE($S761),lookups!F:G,2,FALSE)</f>
        <v>15</v>
      </c>
      <c r="Q761" s="84" t="str">
        <f t="shared" si="44"/>
        <v>ParentNotInCyberQuery</v>
      </c>
      <c r="R761" s="84" t="str">
        <f t="shared" si="45"/>
        <v>MT</v>
      </c>
      <c r="S761" s="84">
        <f t="shared" si="46"/>
        <v>383332</v>
      </c>
      <c r="T761" s="84">
        <f t="shared" si="47"/>
        <v>383405</v>
      </c>
    </row>
    <row r="762" spans="1:20" x14ac:dyDescent="0.3">
      <c r="B762" s="84">
        <v>391304</v>
      </c>
      <c r="C762" s="85">
        <v>383332</v>
      </c>
      <c r="D762" s="84" t="s">
        <v>6</v>
      </c>
      <c r="E762" s="84" t="s">
        <v>345</v>
      </c>
      <c r="F762" s="86" t="s">
        <v>415</v>
      </c>
      <c r="G762" s="87" t="s">
        <v>1348</v>
      </c>
      <c r="H762" s="87">
        <v>1</v>
      </c>
      <c r="I762" s="89" t="s">
        <v>48</v>
      </c>
      <c r="J762" s="89"/>
      <c r="K762" s="89" t="s">
        <v>1614</v>
      </c>
      <c r="L762" s="84" t="s">
        <v>107</v>
      </c>
      <c r="M762" s="88" t="str">
        <f>VLOOKUP(L762,lookups!B:C,2,FALSE)</f>
        <v>Chris</v>
      </c>
      <c r="N762" s="89" t="str">
        <f>VLOOKUP(K762,TeamLookup[],2,0)</f>
        <v>Cyber</v>
      </c>
      <c r="O762" s="84" t="e">
        <f>VLOOKUP(VALUE($S762),lookups!I:J,2,FALSE)</f>
        <v>#N/A</v>
      </c>
      <c r="P762" s="84">
        <f>VLOOKUP(VALUE($S762),lookups!F:G,2,FALSE)</f>
        <v>15</v>
      </c>
      <c r="Q762" s="84" t="str">
        <f t="shared" si="44"/>
        <v>ParentNotInCyberQuery</v>
      </c>
      <c r="R762" s="84" t="str">
        <f t="shared" si="45"/>
        <v>MT</v>
      </c>
      <c r="S762" s="84">
        <f t="shared" si="46"/>
        <v>383332</v>
      </c>
      <c r="T762" s="84">
        <f t="shared" si="47"/>
        <v>391304</v>
      </c>
    </row>
    <row r="763" spans="1:20" x14ac:dyDescent="0.3">
      <c r="B763" s="84">
        <v>391306</v>
      </c>
      <c r="C763" s="85">
        <v>383332</v>
      </c>
      <c r="D763" s="84" t="s">
        <v>6</v>
      </c>
      <c r="E763" s="84" t="s">
        <v>345</v>
      </c>
      <c r="F763" s="86" t="s">
        <v>414</v>
      </c>
      <c r="G763" s="87" t="s">
        <v>1347</v>
      </c>
      <c r="H763" s="87">
        <v>1</v>
      </c>
      <c r="I763" s="89" t="s">
        <v>48</v>
      </c>
      <c r="J763" s="89"/>
      <c r="K763" s="89" t="s">
        <v>1614</v>
      </c>
      <c r="L763" s="84" t="s">
        <v>107</v>
      </c>
      <c r="M763" s="88" t="str">
        <f>VLOOKUP(L763,lookups!B:C,2,FALSE)</f>
        <v>Chris</v>
      </c>
      <c r="N763" s="89" t="str">
        <f>VLOOKUP(K763,TeamLookup[],2,0)</f>
        <v>Cyber</v>
      </c>
      <c r="O763" s="84" t="e">
        <f>VLOOKUP(VALUE($S763),lookups!I:J,2,FALSE)</f>
        <v>#N/A</v>
      </c>
      <c r="P763" s="84">
        <f>VLOOKUP(VALUE($S763),lookups!F:G,2,FALSE)</f>
        <v>15</v>
      </c>
      <c r="Q763" s="84" t="str">
        <f t="shared" si="44"/>
        <v>ParentNotInCyberQuery</v>
      </c>
      <c r="R763" s="84" t="str">
        <f t="shared" si="45"/>
        <v>MT</v>
      </c>
      <c r="S763" s="84">
        <f t="shared" si="46"/>
        <v>383332</v>
      </c>
      <c r="T763" s="84">
        <f t="shared" si="47"/>
        <v>391306</v>
      </c>
    </row>
    <row r="764" spans="1:20" x14ac:dyDescent="0.3">
      <c r="B764" s="84">
        <v>391308</v>
      </c>
      <c r="C764" s="85">
        <v>383332</v>
      </c>
      <c r="D764" s="84" t="s">
        <v>6</v>
      </c>
      <c r="E764" s="84" t="s">
        <v>345</v>
      </c>
      <c r="F764" s="86" t="s">
        <v>413</v>
      </c>
      <c r="G764" s="87" t="s">
        <v>1345</v>
      </c>
      <c r="H764" s="87">
        <v>1</v>
      </c>
      <c r="I764" s="89" t="s">
        <v>48</v>
      </c>
      <c r="J764" s="89"/>
      <c r="K764" s="89" t="s">
        <v>1614</v>
      </c>
      <c r="L764" s="84" t="s">
        <v>107</v>
      </c>
      <c r="M764" s="88" t="str">
        <f>VLOOKUP(L764,lookups!B:C,2,FALSE)</f>
        <v>Chris</v>
      </c>
      <c r="N764" s="89" t="str">
        <f>VLOOKUP(K764,TeamLookup[],2,0)</f>
        <v>Cyber</v>
      </c>
      <c r="O764" s="84" t="e">
        <f>VLOOKUP(VALUE($S764),lookups!I:J,2,FALSE)</f>
        <v>#N/A</v>
      </c>
      <c r="P764" s="84">
        <f>VLOOKUP(VALUE($S764),lookups!F:G,2,FALSE)</f>
        <v>15</v>
      </c>
      <c r="Q764" s="84" t="str">
        <f t="shared" si="44"/>
        <v>ParentNotInCyberQuery</v>
      </c>
      <c r="R764" s="84" t="str">
        <f t="shared" si="45"/>
        <v>MT</v>
      </c>
      <c r="S764" s="84">
        <f t="shared" si="46"/>
        <v>383332</v>
      </c>
      <c r="T764" s="84">
        <f t="shared" si="47"/>
        <v>391308</v>
      </c>
    </row>
    <row r="765" spans="1:20" x14ac:dyDescent="0.3">
      <c r="A765" s="96"/>
      <c r="B765" s="84">
        <v>391309</v>
      </c>
      <c r="C765" s="85">
        <v>383332</v>
      </c>
      <c r="D765" s="84" t="s">
        <v>6</v>
      </c>
      <c r="E765" s="84" t="s">
        <v>345</v>
      </c>
      <c r="F765" s="86" t="s">
        <v>412</v>
      </c>
      <c r="G765" s="87" t="s">
        <v>1346</v>
      </c>
      <c r="H765" s="87">
        <v>1</v>
      </c>
      <c r="I765" s="89" t="s">
        <v>48</v>
      </c>
      <c r="J765" s="89"/>
      <c r="K765" s="89" t="s">
        <v>1614</v>
      </c>
      <c r="L765" s="84" t="s">
        <v>107</v>
      </c>
      <c r="M765" s="88" t="str">
        <f>VLOOKUP(L765,lookups!B:C,2,FALSE)</f>
        <v>Chris</v>
      </c>
      <c r="N765" s="89" t="str">
        <f>VLOOKUP(K765,TeamLookup[],2,0)</f>
        <v>Cyber</v>
      </c>
      <c r="O765" s="84" t="e">
        <f>VLOOKUP(VALUE($S765),lookups!I:J,2,FALSE)</f>
        <v>#N/A</v>
      </c>
      <c r="P765" s="84">
        <f>VLOOKUP(VALUE($S765),lookups!F:G,2,FALSE)</f>
        <v>15</v>
      </c>
      <c r="Q765" s="84" t="str">
        <f t="shared" si="44"/>
        <v>ParentNotInCyberQuery</v>
      </c>
      <c r="R765" s="84" t="str">
        <f t="shared" si="45"/>
        <v>MT</v>
      </c>
      <c r="S765" s="84">
        <f t="shared" si="46"/>
        <v>383332</v>
      </c>
      <c r="T765" s="84">
        <f t="shared" si="47"/>
        <v>391309</v>
      </c>
    </row>
    <row r="766" spans="1:20" x14ac:dyDescent="0.3">
      <c r="B766" s="84">
        <v>391310</v>
      </c>
      <c r="C766" s="85">
        <v>383332</v>
      </c>
      <c r="D766" s="84" t="s">
        <v>6</v>
      </c>
      <c r="E766" s="84" t="s">
        <v>345</v>
      </c>
      <c r="F766" s="86" t="s">
        <v>411</v>
      </c>
      <c r="G766" s="87" t="s">
        <v>1344</v>
      </c>
      <c r="H766" s="87">
        <v>1</v>
      </c>
      <c r="I766" s="89" t="s">
        <v>48</v>
      </c>
      <c r="J766" s="89"/>
      <c r="K766" s="89" t="s">
        <v>1614</v>
      </c>
      <c r="L766" s="84" t="s">
        <v>107</v>
      </c>
      <c r="M766" s="88" t="str">
        <f>VLOOKUP(L766,lookups!B:C,2,FALSE)</f>
        <v>Chris</v>
      </c>
      <c r="N766" s="89" t="str">
        <f>VLOOKUP(K766,TeamLookup[],2,0)</f>
        <v>Cyber</v>
      </c>
      <c r="O766" s="84" t="e">
        <f>VLOOKUP(VALUE($S766),lookups!I:J,2,FALSE)</f>
        <v>#N/A</v>
      </c>
      <c r="P766" s="84">
        <f>VLOOKUP(VALUE($S766),lookups!F:G,2,FALSE)</f>
        <v>15</v>
      </c>
      <c r="Q766" s="84" t="str">
        <f t="shared" si="44"/>
        <v>ParentNotInCyberQuery</v>
      </c>
      <c r="R766" s="84" t="str">
        <f t="shared" si="45"/>
        <v>MT</v>
      </c>
      <c r="S766" s="84">
        <f t="shared" si="46"/>
        <v>383332</v>
      </c>
      <c r="T766" s="84">
        <f t="shared" si="47"/>
        <v>391310</v>
      </c>
    </row>
    <row r="767" spans="1:20" ht="28.8" x14ac:dyDescent="0.3">
      <c r="B767" s="84">
        <v>383911</v>
      </c>
      <c r="C767" s="85">
        <v>383908</v>
      </c>
      <c r="D767" s="84" t="s">
        <v>6</v>
      </c>
      <c r="E767" s="84" t="s">
        <v>7</v>
      </c>
      <c r="F767" s="86" t="s">
        <v>479</v>
      </c>
      <c r="G767" s="87" t="s">
        <v>8</v>
      </c>
      <c r="H767" s="87">
        <v>5</v>
      </c>
      <c r="I767" s="89"/>
      <c r="J767" s="89" t="s">
        <v>480</v>
      </c>
      <c r="K767" s="89" t="s">
        <v>1614</v>
      </c>
      <c r="L767" s="84" t="s">
        <v>8</v>
      </c>
      <c r="M767" s="88" t="str">
        <f>VLOOKUP(L767,lookups!B:C,2,FALSE)</f>
        <v>TBD</v>
      </c>
      <c r="N767" s="89" t="str">
        <f>VLOOKUP(K767,TeamLookup[],2,0)</f>
        <v>Cyber</v>
      </c>
      <c r="O767" s="84" t="e">
        <f>VLOOKUP(VALUE($S767),lookups!I:J,2,FALSE)</f>
        <v>#N/A</v>
      </c>
      <c r="P767" s="84" t="e">
        <f>VLOOKUP(VALUE($S767),lookups!F:G,2,FALSE)</f>
        <v>#N/A</v>
      </c>
      <c r="Q767" s="84" t="str">
        <f t="shared" si="44"/>
        <v>ParentNotInCyberQuery</v>
      </c>
      <c r="R767" s="84" t="str">
        <f t="shared" si="45"/>
        <v>MT</v>
      </c>
      <c r="S767" s="84">
        <f t="shared" si="46"/>
        <v>383908</v>
      </c>
      <c r="T767" s="84">
        <f t="shared" si="47"/>
        <v>383911</v>
      </c>
    </row>
    <row r="768" spans="1:20" x14ac:dyDescent="0.3">
      <c r="B768" s="84">
        <v>392652</v>
      </c>
      <c r="C768" s="85">
        <v>384036</v>
      </c>
      <c r="D768" s="84" t="s">
        <v>6</v>
      </c>
      <c r="E768" s="84" t="s">
        <v>345</v>
      </c>
      <c r="F768" s="86" t="s">
        <v>392</v>
      </c>
      <c r="G768" s="87" t="s">
        <v>1349</v>
      </c>
      <c r="H768" s="87">
        <v>2</v>
      </c>
      <c r="I768" s="84"/>
      <c r="J768" s="84"/>
      <c r="K768" s="84" t="s">
        <v>1614</v>
      </c>
      <c r="L768" s="84" t="s">
        <v>107</v>
      </c>
      <c r="M768" s="88" t="str">
        <f>VLOOKUP(L768,lookups!B:C,2,FALSE)</f>
        <v>Chris</v>
      </c>
      <c r="N768" s="89" t="str">
        <f>VLOOKUP(K768,TeamLookup[],2,0)</f>
        <v>Cyber</v>
      </c>
      <c r="O768" s="84" t="e">
        <f>VLOOKUP(VALUE($S768),lookups!I:J,2,FALSE)</f>
        <v>#N/A</v>
      </c>
      <c r="P768" s="84">
        <f>VLOOKUP(VALUE($S768),lookups!F:G,2,FALSE)</f>
        <v>4</v>
      </c>
      <c r="Q768" s="84" t="str">
        <f t="shared" si="44"/>
        <v>ParentNotInCyberQuery</v>
      </c>
      <c r="R768" s="84" t="str">
        <f t="shared" si="45"/>
        <v>MT</v>
      </c>
      <c r="S768" s="84">
        <f t="shared" si="46"/>
        <v>384036</v>
      </c>
      <c r="T768" s="84">
        <f t="shared" si="47"/>
        <v>392652</v>
      </c>
    </row>
    <row r="769" spans="1:21" x14ac:dyDescent="0.3">
      <c r="B769" s="84">
        <v>393491</v>
      </c>
      <c r="C769" s="85">
        <v>384036</v>
      </c>
      <c r="D769" s="84" t="s">
        <v>6</v>
      </c>
      <c r="E769" s="84" t="s">
        <v>345</v>
      </c>
      <c r="F769" s="86" t="s">
        <v>382</v>
      </c>
      <c r="G769" s="87" t="s">
        <v>1345</v>
      </c>
      <c r="H769" s="87">
        <v>1</v>
      </c>
      <c r="I769" s="89"/>
      <c r="J769" s="89"/>
      <c r="K769" s="89" t="s">
        <v>1614</v>
      </c>
      <c r="L769" s="84" t="s">
        <v>107</v>
      </c>
      <c r="M769" s="88" t="str">
        <f>VLOOKUP(L769,lookups!B:C,2,FALSE)</f>
        <v>Chris</v>
      </c>
      <c r="N769" s="89" t="str">
        <f>VLOOKUP(K769,TeamLookup[],2,0)</f>
        <v>Cyber</v>
      </c>
      <c r="O769" s="84" t="e">
        <f>VLOOKUP(VALUE($S769),lookups!I:J,2,FALSE)</f>
        <v>#N/A</v>
      </c>
      <c r="P769" s="84">
        <f>VLOOKUP(VALUE($S769),lookups!F:G,2,FALSE)</f>
        <v>4</v>
      </c>
      <c r="Q769" s="84" t="str">
        <f t="shared" si="44"/>
        <v>ParentNotInCyberQuery</v>
      </c>
      <c r="R769" s="84" t="str">
        <f t="shared" si="45"/>
        <v>MT</v>
      </c>
      <c r="S769" s="84">
        <f t="shared" si="46"/>
        <v>384036</v>
      </c>
      <c r="T769" s="84">
        <f t="shared" si="47"/>
        <v>393491</v>
      </c>
    </row>
    <row r="770" spans="1:21" x14ac:dyDescent="0.3">
      <c r="B770" s="84">
        <v>391120</v>
      </c>
      <c r="C770" s="85">
        <v>384036</v>
      </c>
      <c r="D770" s="84" t="s">
        <v>6</v>
      </c>
      <c r="E770" s="84" t="s">
        <v>345</v>
      </c>
      <c r="F770" s="86" t="s">
        <v>422</v>
      </c>
      <c r="G770" s="93" t="s">
        <v>1345</v>
      </c>
      <c r="H770" s="87">
        <v>2</v>
      </c>
      <c r="I770" s="89"/>
      <c r="J770" s="89"/>
      <c r="K770" s="89" t="s">
        <v>1614</v>
      </c>
      <c r="L770" s="84" t="s">
        <v>107</v>
      </c>
      <c r="M770" s="88" t="str">
        <f>VLOOKUP(L770,lookups!B:C,2,FALSE)</f>
        <v>Chris</v>
      </c>
      <c r="N770" s="89" t="str">
        <f>VLOOKUP(K770,TeamLookup[],2,0)</f>
        <v>Cyber</v>
      </c>
      <c r="O770" s="84" t="e">
        <f>VLOOKUP(VALUE($S770),lookups!I:J,2,FALSE)</f>
        <v>#N/A</v>
      </c>
      <c r="P770" s="84">
        <f>VLOOKUP(VALUE($S770),lookups!F:G,2,FALSE)</f>
        <v>4</v>
      </c>
      <c r="Q770" s="84" t="str">
        <f t="shared" ref="Q770:Q833" si="48">IF($B770="","ZeroEntry",
IF($D770="Program Epic","",
IF(OR($D770="Feature",$D770="Story",$D770="Task"),
  IF($C770="","Missing_ParentEntry",
IF(ISERROR(MATCH(VALUE($C770),$B:$B,0)),"ParentNotInCyberQuery",
IF(AND($D770="Story",VLOOKUP(VALUE($C770),$B:$D,3,FALSE)&lt;&gt;"Feature"),"Warning: StoryParentIs_"&amp;VLOOKUP(VALUE($C770),$B:$D,3,FALSE)&amp;"_NotFeature",
IF(AND(OR($D770="Story",$D770="Task"),VLOOKUP(VALUE($C770),$B:$C,2,FALSE)=""),"MissingGrandparent",
IF(AND($D770="Feature",ISERROR(MATCH("#"&amp;$B770,$C:$C,0))),"FeatureHasNoStories",
IF(AND($D770="Feature",VLOOKUP(VALUE($C770),$B:$D,3,FALSE)&lt;&gt;"Program Epic"),"FeatureParentIs_"&amp;VLOOKUP(VALUE($C770),$B:$D,3,FALSE)&amp;"_NotEpic","")))))),"")))</f>
        <v>ParentNotInCyberQuery</v>
      </c>
      <c r="R770" s="84" t="str">
        <f t="shared" ref="R770:R833" si="49">IF(AND($Q770&lt;&gt;"FeatureHasNoStories","Warning: StoryParentIs_Program Epic_NotFeature"&lt;&gt;$Q770,$Q770&lt;&gt;"ParentNotInCyberQuery",$Q770&lt;&gt;""),$Q770,
IF($D770="Program Epic",B770,
IF($D770="Feature",VALUE($C770),
IF("Warning: StoryParentIs_Program Epic_NotFeature"=$Q770,VALUE($C770),
IF(AND($D770="Story",$Q770="ParentNotInCyberQuery"),"MT",
IF($C770=0,"N/A",
IF(OR($D770="Story",$D770="Task"),VALUE(VLOOKUP(VALUE($C770),$B:$C,2,FALSE)),"N/A")))))))</f>
        <v>MT</v>
      </c>
      <c r="S770" s="84">
        <f t="shared" ref="S770:S833" si="50">IF($D770="Program Epic",0,
IF($D770="Feature",$B770,
IF($C770=0,"NoParentFeature",VALUE($C770))))</f>
        <v>384036</v>
      </c>
      <c r="T770" s="84">
        <f t="shared" ref="T770:T833" si="51">IF(OR($D770="Story",$D770="Task"),$B770,0)</f>
        <v>391120</v>
      </c>
    </row>
    <row r="771" spans="1:21" x14ac:dyDescent="0.3">
      <c r="B771" s="84">
        <v>384042</v>
      </c>
      <c r="C771" s="85">
        <v>384036</v>
      </c>
      <c r="D771" s="84" t="s">
        <v>6</v>
      </c>
      <c r="E771" s="84" t="s">
        <v>345</v>
      </c>
      <c r="F771" s="86" t="s">
        <v>422</v>
      </c>
      <c r="G771" s="87" t="s">
        <v>1345</v>
      </c>
      <c r="H771" s="87">
        <v>2</v>
      </c>
      <c r="I771" s="84"/>
      <c r="J771" s="84" t="s">
        <v>478</v>
      </c>
      <c r="K771" s="84" t="s">
        <v>1614</v>
      </c>
      <c r="L771" s="84" t="s">
        <v>107</v>
      </c>
      <c r="M771" s="88" t="str">
        <f>VLOOKUP(L771,lookups!B:C,2,FALSE)</f>
        <v>Chris</v>
      </c>
      <c r="N771" s="89" t="str">
        <f>VLOOKUP(K771,TeamLookup[],2,0)</f>
        <v>Cyber</v>
      </c>
      <c r="O771" s="84" t="e">
        <f>VLOOKUP(VALUE($S771),lookups!I:J,2,FALSE)</f>
        <v>#N/A</v>
      </c>
      <c r="P771" s="84">
        <f>VLOOKUP(VALUE($S771),lookups!F:G,2,FALSE)</f>
        <v>4</v>
      </c>
      <c r="Q771" s="84" t="str">
        <f t="shared" si="48"/>
        <v>ParentNotInCyberQuery</v>
      </c>
      <c r="R771" s="84" t="str">
        <f t="shared" si="49"/>
        <v>MT</v>
      </c>
      <c r="S771" s="84">
        <f t="shared" si="50"/>
        <v>384036</v>
      </c>
      <c r="T771" s="84">
        <f t="shared" si="51"/>
        <v>384042</v>
      </c>
    </row>
    <row r="772" spans="1:21" x14ac:dyDescent="0.3">
      <c r="B772" s="84">
        <v>1004104</v>
      </c>
      <c r="C772" s="85">
        <v>384036</v>
      </c>
      <c r="D772" s="84" t="s">
        <v>6</v>
      </c>
      <c r="E772" s="84" t="s">
        <v>345</v>
      </c>
      <c r="F772" s="86" t="s">
        <v>363</v>
      </c>
      <c r="G772" s="87" t="s">
        <v>1344</v>
      </c>
      <c r="H772" s="87">
        <v>3</v>
      </c>
      <c r="I772" s="89"/>
      <c r="J772" s="89"/>
      <c r="K772" s="89" t="s">
        <v>1614</v>
      </c>
      <c r="L772" s="84" t="s">
        <v>107</v>
      </c>
      <c r="M772" s="88" t="str">
        <f>VLOOKUP(L772,lookups!B:C,2,FALSE)</f>
        <v>Chris</v>
      </c>
      <c r="N772" s="89" t="str">
        <f>VLOOKUP(K772,TeamLookup[],2,0)</f>
        <v>Cyber</v>
      </c>
      <c r="O772" s="84" t="e">
        <f>VLOOKUP(VALUE($S772),lookups!I:J,2,FALSE)</f>
        <v>#N/A</v>
      </c>
      <c r="P772" s="84">
        <f>VLOOKUP(VALUE($S772),lookups!F:G,2,FALSE)</f>
        <v>4</v>
      </c>
      <c r="Q772" s="84" t="str">
        <f t="shared" si="48"/>
        <v>ParentNotInCyberQuery</v>
      </c>
      <c r="R772" s="84" t="str">
        <f t="shared" si="49"/>
        <v>MT</v>
      </c>
      <c r="S772" s="84">
        <f t="shared" si="50"/>
        <v>384036</v>
      </c>
      <c r="T772" s="84">
        <f t="shared" si="51"/>
        <v>1004104</v>
      </c>
    </row>
    <row r="773" spans="1:21" ht="28.8" x14ac:dyDescent="0.3">
      <c r="B773" s="84">
        <v>1007082</v>
      </c>
      <c r="C773" s="85">
        <v>384036</v>
      </c>
      <c r="D773" s="84" t="s">
        <v>6</v>
      </c>
      <c r="E773" s="84" t="s">
        <v>345</v>
      </c>
      <c r="F773" s="86" t="s">
        <v>348</v>
      </c>
      <c r="G773" s="87" t="s">
        <v>1343</v>
      </c>
      <c r="H773" s="87">
        <v>2</v>
      </c>
      <c r="I773" s="89"/>
      <c r="J773" s="89"/>
      <c r="K773" s="89" t="s">
        <v>1614</v>
      </c>
      <c r="L773" s="84" t="s">
        <v>349</v>
      </c>
      <c r="M773" s="88" t="str">
        <f>VLOOKUP(L773,lookups!B:C,2,FALSE)</f>
        <v>Salazar, Charlie</v>
      </c>
      <c r="N773" s="89" t="str">
        <f>VLOOKUP(K773,TeamLookup[],2,0)</f>
        <v>Cyber</v>
      </c>
      <c r="O773" s="84" t="e">
        <f>VLOOKUP(VALUE($S773),lookups!I:J,2,FALSE)</f>
        <v>#N/A</v>
      </c>
      <c r="P773" s="84">
        <f>VLOOKUP(VALUE($S773),lookups!F:G,2,FALSE)</f>
        <v>4</v>
      </c>
      <c r="Q773" s="84" t="str">
        <f t="shared" si="48"/>
        <v>ParentNotInCyberQuery</v>
      </c>
      <c r="R773" s="84" t="str">
        <f t="shared" si="49"/>
        <v>MT</v>
      </c>
      <c r="S773" s="84">
        <f t="shared" si="50"/>
        <v>384036</v>
      </c>
      <c r="T773" s="84">
        <f t="shared" si="51"/>
        <v>1007082</v>
      </c>
    </row>
    <row r="774" spans="1:21" x14ac:dyDescent="0.3">
      <c r="B774" s="84">
        <v>1003561</v>
      </c>
      <c r="C774" s="85">
        <v>384136</v>
      </c>
      <c r="D774" s="84" t="s">
        <v>6</v>
      </c>
      <c r="E774" s="84" t="s">
        <v>345</v>
      </c>
      <c r="F774" s="86" t="s">
        <v>364</v>
      </c>
      <c r="G774" s="87" t="s">
        <v>1344</v>
      </c>
      <c r="H774" s="87">
        <v>3</v>
      </c>
      <c r="I774" s="84"/>
      <c r="J774" s="84"/>
      <c r="K774" s="84" t="s">
        <v>1614</v>
      </c>
      <c r="L774" s="84" t="s">
        <v>37</v>
      </c>
      <c r="M774" s="88" t="str">
        <f>VLOOKUP(L774,lookups!B:C,2,FALSE)</f>
        <v>Kent</v>
      </c>
      <c r="N774" s="89" t="str">
        <f>VLOOKUP(K774,TeamLookup[],2,0)</f>
        <v>Cyber</v>
      </c>
      <c r="O774" s="84" t="e">
        <f>VLOOKUP(VALUE($S774),lookups!I:J,2,FALSE)</f>
        <v>#N/A</v>
      </c>
      <c r="P774" s="84">
        <f>VLOOKUP(VALUE($S774),lookups!F:G,2,FALSE)</f>
        <v>11</v>
      </c>
      <c r="Q774" s="84" t="str">
        <f t="shared" si="48"/>
        <v>ParentNotInCyberQuery</v>
      </c>
      <c r="R774" s="84" t="str">
        <f t="shared" si="49"/>
        <v>MT</v>
      </c>
      <c r="S774" s="84">
        <f t="shared" si="50"/>
        <v>384136</v>
      </c>
      <c r="T774" s="84">
        <f t="shared" si="51"/>
        <v>1003561</v>
      </c>
    </row>
    <row r="775" spans="1:21" x14ac:dyDescent="0.3">
      <c r="B775" s="84">
        <v>387227</v>
      </c>
      <c r="C775" s="85">
        <v>384136</v>
      </c>
      <c r="D775" s="84" t="s">
        <v>6</v>
      </c>
      <c r="E775" s="84" t="s">
        <v>345</v>
      </c>
      <c r="F775" s="86" t="s">
        <v>447</v>
      </c>
      <c r="G775" s="109" t="s">
        <v>1344</v>
      </c>
      <c r="H775" s="87">
        <v>2</v>
      </c>
      <c r="I775" s="84"/>
      <c r="J775" s="84"/>
      <c r="K775" s="84" t="s">
        <v>1614</v>
      </c>
      <c r="L775" s="84" t="s">
        <v>37</v>
      </c>
      <c r="M775" s="88" t="str">
        <f>VLOOKUP(L775,lookups!B:C,2,FALSE)</f>
        <v>Kent</v>
      </c>
      <c r="N775" s="89" t="str">
        <f>VLOOKUP(K775,TeamLookup[],2,0)</f>
        <v>Cyber</v>
      </c>
      <c r="O775" s="84" t="e">
        <f>VLOOKUP(VALUE($S775),lookups!I:J,2,FALSE)</f>
        <v>#N/A</v>
      </c>
      <c r="P775" s="84">
        <f>VLOOKUP(VALUE($S775),lookups!F:G,2,FALSE)</f>
        <v>11</v>
      </c>
      <c r="Q775" s="84" t="str">
        <f t="shared" si="48"/>
        <v>ParentNotInCyberQuery</v>
      </c>
      <c r="R775" s="84" t="str">
        <f t="shared" si="49"/>
        <v>MT</v>
      </c>
      <c r="S775" s="84">
        <f t="shared" si="50"/>
        <v>384136</v>
      </c>
      <c r="T775" s="84">
        <f t="shared" si="51"/>
        <v>387227</v>
      </c>
    </row>
    <row r="776" spans="1:21" x14ac:dyDescent="0.3">
      <c r="B776" s="84">
        <v>1006413</v>
      </c>
      <c r="C776" s="85">
        <v>384136</v>
      </c>
      <c r="D776" s="84" t="s">
        <v>6</v>
      </c>
      <c r="E776" s="84" t="s">
        <v>345</v>
      </c>
      <c r="F776" s="86" t="s">
        <v>354</v>
      </c>
      <c r="G776" s="109" t="s">
        <v>1343</v>
      </c>
      <c r="H776" s="87">
        <v>3</v>
      </c>
      <c r="I776" s="84"/>
      <c r="J776" s="84"/>
      <c r="K776" s="84" t="s">
        <v>1614</v>
      </c>
      <c r="L776" s="84" t="s">
        <v>182</v>
      </c>
      <c r="M776" s="88" t="str">
        <f>VLOOKUP(L776,lookups!B:C,2,FALSE)</f>
        <v>Ted</v>
      </c>
      <c r="N776" s="89" t="str">
        <f>VLOOKUP(K776,TeamLookup[],2,0)</f>
        <v>Cyber</v>
      </c>
      <c r="O776" s="84" t="e">
        <f>VLOOKUP(VALUE($S776),lookups!I:J,2,FALSE)</f>
        <v>#N/A</v>
      </c>
      <c r="P776" s="84">
        <f>VLOOKUP(VALUE($S776),lookups!F:G,2,FALSE)</f>
        <v>11</v>
      </c>
      <c r="Q776" s="84" t="str">
        <f t="shared" si="48"/>
        <v>ParentNotInCyberQuery</v>
      </c>
      <c r="R776" s="84" t="str">
        <f t="shared" si="49"/>
        <v>MT</v>
      </c>
      <c r="S776" s="84">
        <f t="shared" si="50"/>
        <v>384136</v>
      </c>
      <c r="T776" s="84">
        <f t="shared" si="51"/>
        <v>1006413</v>
      </c>
    </row>
    <row r="777" spans="1:21" x14ac:dyDescent="0.3">
      <c r="A777" s="96"/>
      <c r="B777" s="84">
        <v>1006401</v>
      </c>
      <c r="C777" s="85">
        <v>384136</v>
      </c>
      <c r="D777" s="84" t="s">
        <v>6</v>
      </c>
      <c r="E777" s="84" t="s">
        <v>345</v>
      </c>
      <c r="F777" s="86" t="s">
        <v>355</v>
      </c>
      <c r="G777" s="87" t="s">
        <v>1343</v>
      </c>
      <c r="H777" s="87">
        <v>3</v>
      </c>
      <c r="I777" s="89"/>
      <c r="J777" s="89"/>
      <c r="K777" s="89" t="s">
        <v>1614</v>
      </c>
      <c r="L777" s="84" t="s">
        <v>37</v>
      </c>
      <c r="M777" s="88" t="str">
        <f>VLOOKUP(L777,lookups!B:C,2,FALSE)</f>
        <v>Kent</v>
      </c>
      <c r="N777" s="89" t="str">
        <f>VLOOKUP(K777,TeamLookup[],2,0)</f>
        <v>Cyber</v>
      </c>
      <c r="O777" s="84" t="e">
        <f>VLOOKUP(VALUE($S777),lookups!I:J,2,FALSE)</f>
        <v>#N/A</v>
      </c>
      <c r="P777" s="84">
        <f>VLOOKUP(VALUE($S777),lookups!F:G,2,FALSE)</f>
        <v>11</v>
      </c>
      <c r="Q777" s="84" t="str">
        <f t="shared" si="48"/>
        <v>ParentNotInCyberQuery</v>
      </c>
      <c r="R777" s="84" t="str">
        <f t="shared" si="49"/>
        <v>MT</v>
      </c>
      <c r="S777" s="84">
        <f t="shared" si="50"/>
        <v>384136</v>
      </c>
      <c r="T777" s="84">
        <f t="shared" si="51"/>
        <v>1006401</v>
      </c>
    </row>
    <row r="778" spans="1:21" ht="28.8" x14ac:dyDescent="0.3">
      <c r="B778" s="84">
        <v>1008486</v>
      </c>
      <c r="C778" s="85">
        <v>384136</v>
      </c>
      <c r="D778" s="84" t="s">
        <v>6</v>
      </c>
      <c r="E778" s="84" t="s">
        <v>345</v>
      </c>
      <c r="F778" s="86" t="s">
        <v>309</v>
      </c>
      <c r="G778" s="87" t="s">
        <v>217</v>
      </c>
      <c r="H778" s="87">
        <v>5</v>
      </c>
      <c r="I778" s="89"/>
      <c r="J778" s="89"/>
      <c r="K778" s="89" t="s">
        <v>1614</v>
      </c>
      <c r="L778" s="84" t="s">
        <v>182</v>
      </c>
      <c r="M778" s="88" t="str">
        <f>VLOOKUP(L778,lookups!B:C,2,FALSE)</f>
        <v>Ted</v>
      </c>
      <c r="N778" s="89" t="str">
        <f>VLOOKUP(K778,TeamLookup[],2,0)</f>
        <v>Cyber</v>
      </c>
      <c r="O778" s="84" t="e">
        <f>VLOOKUP(VALUE($S778),lookups!I:J,2,FALSE)</f>
        <v>#N/A</v>
      </c>
      <c r="P778" s="84">
        <f>VLOOKUP(VALUE($S778),lookups!F:G,2,FALSE)</f>
        <v>11</v>
      </c>
      <c r="Q778" s="84" t="str">
        <f t="shared" si="48"/>
        <v>ParentNotInCyberQuery</v>
      </c>
      <c r="R778" s="84" t="str">
        <f t="shared" si="49"/>
        <v>MT</v>
      </c>
      <c r="S778" s="84">
        <f t="shared" si="50"/>
        <v>384136</v>
      </c>
      <c r="T778" s="84">
        <f t="shared" si="51"/>
        <v>1008486</v>
      </c>
    </row>
    <row r="779" spans="1:21" ht="28.8" x14ac:dyDescent="0.3">
      <c r="B779" s="84">
        <v>390238</v>
      </c>
      <c r="C779" s="85">
        <v>384136</v>
      </c>
      <c r="D779" s="84" t="s">
        <v>6</v>
      </c>
      <c r="E779" s="84" t="s">
        <v>345</v>
      </c>
      <c r="F779" s="86" t="s">
        <v>1356</v>
      </c>
      <c r="G779" s="87" t="s">
        <v>267</v>
      </c>
      <c r="H779" s="87">
        <v>2</v>
      </c>
      <c r="I779" s="89"/>
      <c r="J779" s="89"/>
      <c r="K779" s="89" t="s">
        <v>1614</v>
      </c>
      <c r="L779" s="84" t="s">
        <v>182</v>
      </c>
      <c r="M779" s="88" t="str">
        <f>VLOOKUP(L779,lookups!B:C,2,FALSE)</f>
        <v>Ted</v>
      </c>
      <c r="N779" s="89" t="str">
        <f>VLOOKUP(K779,TeamLookup[],2,0)</f>
        <v>Cyber</v>
      </c>
      <c r="O779" s="84" t="e">
        <f>VLOOKUP(VALUE($S779),lookups!I:J,2,FALSE)</f>
        <v>#N/A</v>
      </c>
      <c r="P779" s="84">
        <f>VLOOKUP(VALUE($S779),lookups!F:G,2,FALSE)</f>
        <v>11</v>
      </c>
      <c r="Q779" s="84" t="str">
        <f t="shared" si="48"/>
        <v>ParentNotInCyberQuery</v>
      </c>
      <c r="R779" s="84" t="str">
        <f t="shared" si="49"/>
        <v>MT</v>
      </c>
      <c r="S779" s="84">
        <f t="shared" si="50"/>
        <v>384136</v>
      </c>
      <c r="T779" s="84">
        <f t="shared" si="51"/>
        <v>390238</v>
      </c>
    </row>
    <row r="780" spans="1:21" ht="45" customHeight="1" x14ac:dyDescent="0.3">
      <c r="B780" s="84">
        <v>390232</v>
      </c>
      <c r="C780" s="85">
        <v>384136</v>
      </c>
      <c r="D780" s="84" t="s">
        <v>6</v>
      </c>
      <c r="E780" s="84" t="s">
        <v>345</v>
      </c>
      <c r="F780" s="86" t="s">
        <v>1350</v>
      </c>
      <c r="G780" s="87" t="s">
        <v>267</v>
      </c>
      <c r="H780" s="87">
        <v>5</v>
      </c>
      <c r="I780" s="84"/>
      <c r="J780" s="84" t="s">
        <v>337</v>
      </c>
      <c r="K780" s="84" t="s">
        <v>1614</v>
      </c>
      <c r="L780" s="84" t="s">
        <v>182</v>
      </c>
      <c r="M780" s="88" t="str">
        <f>VLOOKUP(L780,lookups!B:C,2,FALSE)</f>
        <v>Ted</v>
      </c>
      <c r="N780" s="89" t="str">
        <f>VLOOKUP(K780,TeamLookup[],2,0)</f>
        <v>Cyber</v>
      </c>
      <c r="O780" s="84" t="e">
        <f>VLOOKUP(VALUE($S780),lookups!I:J,2,FALSE)</f>
        <v>#N/A</v>
      </c>
      <c r="P780" s="84">
        <f>VLOOKUP(VALUE($S780),lookups!F:G,2,FALSE)</f>
        <v>11</v>
      </c>
      <c r="Q780" s="84" t="str">
        <f t="shared" si="48"/>
        <v>ParentNotInCyberQuery</v>
      </c>
      <c r="R780" s="84" t="str">
        <f t="shared" si="49"/>
        <v>MT</v>
      </c>
      <c r="S780" s="84">
        <f t="shared" si="50"/>
        <v>384136</v>
      </c>
      <c r="T780" s="84">
        <f t="shared" si="51"/>
        <v>390232</v>
      </c>
      <c r="U780" s="94"/>
    </row>
    <row r="781" spans="1:21" x14ac:dyDescent="0.3">
      <c r="B781" s="84">
        <v>384138</v>
      </c>
      <c r="C781" s="85">
        <v>384136</v>
      </c>
      <c r="D781" s="84" t="s">
        <v>6</v>
      </c>
      <c r="E781" s="84" t="s">
        <v>345</v>
      </c>
      <c r="F781" s="86" t="s">
        <v>1414</v>
      </c>
      <c r="G781" s="87" t="s">
        <v>265</v>
      </c>
      <c r="H781" s="87">
        <v>2</v>
      </c>
      <c r="I781" s="89"/>
      <c r="J781" s="89"/>
      <c r="K781" s="89" t="s">
        <v>1614</v>
      </c>
      <c r="L781" s="84" t="s">
        <v>182</v>
      </c>
      <c r="M781" s="88" t="str">
        <f>VLOOKUP(L781,lookups!B:C,2,FALSE)</f>
        <v>Ted</v>
      </c>
      <c r="N781" s="89" t="str">
        <f>VLOOKUP(K781,TeamLookup[],2,0)</f>
        <v>Cyber</v>
      </c>
      <c r="O781" s="84" t="e">
        <f>VLOOKUP(VALUE($S781),lookups!I:J,2,FALSE)</f>
        <v>#N/A</v>
      </c>
      <c r="P781" s="84">
        <f>VLOOKUP(VALUE($S781),lookups!F:G,2,FALSE)</f>
        <v>11</v>
      </c>
      <c r="Q781" s="84" t="str">
        <f t="shared" si="48"/>
        <v>ParentNotInCyberQuery</v>
      </c>
      <c r="R781" s="84" t="str">
        <f t="shared" si="49"/>
        <v>MT</v>
      </c>
      <c r="S781" s="84">
        <f t="shared" si="50"/>
        <v>384136</v>
      </c>
      <c r="T781" s="84">
        <f t="shared" si="51"/>
        <v>384138</v>
      </c>
    </row>
    <row r="782" spans="1:21" ht="28.8" x14ac:dyDescent="0.3">
      <c r="A782" s="96"/>
      <c r="B782" s="84">
        <v>388307</v>
      </c>
      <c r="C782" s="85">
        <v>385422</v>
      </c>
      <c r="D782" s="84" t="s">
        <v>6</v>
      </c>
      <c r="E782" s="84" t="s">
        <v>7</v>
      </c>
      <c r="F782" s="86" t="s">
        <v>441</v>
      </c>
      <c r="G782" s="87" t="s">
        <v>442</v>
      </c>
      <c r="H782" s="87">
        <v>3</v>
      </c>
      <c r="I782" s="89"/>
      <c r="J782" s="89"/>
      <c r="K782" s="89" t="s">
        <v>1614</v>
      </c>
      <c r="L782" s="84" t="s">
        <v>8</v>
      </c>
      <c r="M782" s="88" t="str">
        <f>VLOOKUP(L782,lookups!B:C,2,FALSE)</f>
        <v>TBD</v>
      </c>
      <c r="N782" s="89" t="str">
        <f>VLOOKUP(K782,TeamLookup[],2,0)</f>
        <v>Cyber</v>
      </c>
      <c r="O782" s="84" t="e">
        <f>VLOOKUP(VALUE($S782),lookups!I:J,2,FALSE)</f>
        <v>#N/A</v>
      </c>
      <c r="P782" s="84" t="e">
        <f>VLOOKUP(VALUE($S782),lookups!F:G,2,FALSE)</f>
        <v>#N/A</v>
      </c>
      <c r="Q782" s="84" t="str">
        <f t="shared" si="48"/>
        <v>ParentNotInCyberQuery</v>
      </c>
      <c r="R782" s="84" t="str">
        <f t="shared" si="49"/>
        <v>MT</v>
      </c>
      <c r="S782" s="84">
        <f t="shared" si="50"/>
        <v>385422</v>
      </c>
      <c r="T782" s="84">
        <f t="shared" si="51"/>
        <v>388307</v>
      </c>
    </row>
    <row r="783" spans="1:21" ht="35.25" customHeight="1" x14ac:dyDescent="0.3">
      <c r="B783" s="84">
        <v>385424</v>
      </c>
      <c r="C783" s="85">
        <v>385422</v>
      </c>
      <c r="D783" s="84" t="s">
        <v>6</v>
      </c>
      <c r="E783" s="84" t="s">
        <v>7</v>
      </c>
      <c r="F783" s="86" t="s">
        <v>441</v>
      </c>
      <c r="G783" s="87" t="s">
        <v>442</v>
      </c>
      <c r="H783" s="87">
        <v>2</v>
      </c>
      <c r="I783" s="89"/>
      <c r="J783" s="89"/>
      <c r="K783" s="89" t="s">
        <v>1614</v>
      </c>
      <c r="L783" s="84" t="s">
        <v>8</v>
      </c>
      <c r="M783" s="88" t="str">
        <f>VLOOKUP(L783,lookups!B:C,2,FALSE)</f>
        <v>TBD</v>
      </c>
      <c r="N783" s="89" t="str">
        <f>VLOOKUP(K783,TeamLookup[],2,0)</f>
        <v>Cyber</v>
      </c>
      <c r="O783" s="84" t="e">
        <f>VLOOKUP(VALUE($S783),lookups!I:J,2,FALSE)</f>
        <v>#N/A</v>
      </c>
      <c r="P783" s="84" t="e">
        <f>VLOOKUP(VALUE($S783),lookups!F:G,2,FALSE)</f>
        <v>#N/A</v>
      </c>
      <c r="Q783" s="84" t="str">
        <f t="shared" si="48"/>
        <v>ParentNotInCyberQuery</v>
      </c>
      <c r="R783" s="84" t="str">
        <f t="shared" si="49"/>
        <v>MT</v>
      </c>
      <c r="S783" s="84">
        <f t="shared" si="50"/>
        <v>385422</v>
      </c>
      <c r="T783" s="84">
        <f t="shared" si="51"/>
        <v>385424</v>
      </c>
    </row>
    <row r="784" spans="1:21" x14ac:dyDescent="0.3">
      <c r="B784" s="84">
        <v>385882</v>
      </c>
      <c r="C784" s="85">
        <v>385856</v>
      </c>
      <c r="D784" s="84" t="s">
        <v>6</v>
      </c>
      <c r="E784" s="84" t="s">
        <v>345</v>
      </c>
      <c r="F784" s="86" t="s">
        <v>452</v>
      </c>
      <c r="G784" s="93" t="s">
        <v>1345</v>
      </c>
      <c r="H784" s="87">
        <v>1</v>
      </c>
      <c r="I784" s="84" t="s">
        <v>48</v>
      </c>
      <c r="J784" s="84"/>
      <c r="K784" s="84" t="s">
        <v>1614</v>
      </c>
      <c r="L784" s="84" t="s">
        <v>213</v>
      </c>
      <c r="M784" s="88" t="str">
        <f>VLOOKUP(L784,lookups!B:C,2,FALSE)</f>
        <v>Alice</v>
      </c>
      <c r="N784" s="89" t="str">
        <f>VLOOKUP(K784,TeamLookup[],2,0)</f>
        <v>Cyber</v>
      </c>
      <c r="O784" s="84" t="e">
        <f>VLOOKUP(VALUE($S784),lookups!I:J,2,FALSE)</f>
        <v>#N/A</v>
      </c>
      <c r="P784" s="84">
        <f>VLOOKUP(VALUE($S784),lookups!F:G,2,FALSE)</f>
        <v>46</v>
      </c>
      <c r="Q784" s="84" t="str">
        <f t="shared" si="48"/>
        <v>ParentNotInCyberQuery</v>
      </c>
      <c r="R784" s="84" t="str">
        <f t="shared" si="49"/>
        <v>MT</v>
      </c>
      <c r="S784" s="84">
        <f t="shared" si="50"/>
        <v>385856</v>
      </c>
      <c r="T784" s="84">
        <f t="shared" si="51"/>
        <v>385882</v>
      </c>
    </row>
    <row r="785" spans="2:21" ht="30" customHeight="1" x14ac:dyDescent="0.3">
      <c r="B785" s="84">
        <v>392476</v>
      </c>
      <c r="C785" s="85">
        <v>385856</v>
      </c>
      <c r="D785" s="84" t="s">
        <v>6</v>
      </c>
      <c r="E785" s="84" t="s">
        <v>345</v>
      </c>
      <c r="F785" s="86" t="s">
        <v>398</v>
      </c>
      <c r="G785" s="87" t="s">
        <v>1344</v>
      </c>
      <c r="H785" s="87">
        <v>2</v>
      </c>
      <c r="I785" s="89" t="s">
        <v>48</v>
      </c>
      <c r="J785" s="89"/>
      <c r="K785" s="89" t="s">
        <v>1614</v>
      </c>
      <c r="L785" s="84" t="s">
        <v>213</v>
      </c>
      <c r="M785" s="88" t="str">
        <f>VLOOKUP(L785,lookups!B:C,2,FALSE)</f>
        <v>Alice</v>
      </c>
      <c r="N785" s="89" t="str">
        <f>VLOOKUP(K785,TeamLookup[],2,0)</f>
        <v>Cyber</v>
      </c>
      <c r="O785" s="84" t="e">
        <f>VLOOKUP(VALUE($S785),lookups!I:J,2,FALSE)</f>
        <v>#N/A</v>
      </c>
      <c r="P785" s="84">
        <f>VLOOKUP(VALUE($S785),lookups!F:G,2,FALSE)</f>
        <v>46</v>
      </c>
      <c r="Q785" s="84" t="str">
        <f t="shared" si="48"/>
        <v>ParentNotInCyberQuery</v>
      </c>
      <c r="R785" s="84" t="str">
        <f t="shared" si="49"/>
        <v>MT</v>
      </c>
      <c r="S785" s="84">
        <f t="shared" si="50"/>
        <v>385856</v>
      </c>
      <c r="T785" s="84">
        <f t="shared" si="51"/>
        <v>392476</v>
      </c>
    </row>
    <row r="786" spans="2:21" ht="14.4" customHeight="1" x14ac:dyDescent="0.3">
      <c r="B786" s="84">
        <v>385883</v>
      </c>
      <c r="C786" s="85">
        <v>385856</v>
      </c>
      <c r="D786" s="84" t="s">
        <v>6</v>
      </c>
      <c r="E786" s="84" t="s">
        <v>345</v>
      </c>
      <c r="F786" s="86" t="s">
        <v>216</v>
      </c>
      <c r="G786" s="87" t="s">
        <v>217</v>
      </c>
      <c r="H786" s="87">
        <v>1</v>
      </c>
      <c r="I786" s="89" t="s">
        <v>48</v>
      </c>
      <c r="J786" s="89"/>
      <c r="K786" s="89" t="s">
        <v>1614</v>
      </c>
      <c r="L786" s="84" t="s">
        <v>107</v>
      </c>
      <c r="M786" s="88" t="str">
        <f>VLOOKUP(L786,lookups!B:C,2,FALSE)</f>
        <v>Chris</v>
      </c>
      <c r="N786" s="89" t="str">
        <f>VLOOKUP(K786,TeamLookup[],2,0)</f>
        <v>Cyber</v>
      </c>
      <c r="O786" s="84" t="e">
        <f>VLOOKUP(VALUE($S786),lookups!I:J,2,FALSE)</f>
        <v>#N/A</v>
      </c>
      <c r="P786" s="84">
        <f>VLOOKUP(VALUE($S786),lookups!F:G,2,FALSE)</f>
        <v>46</v>
      </c>
      <c r="Q786" s="84" t="str">
        <f t="shared" si="48"/>
        <v>ParentNotInCyberQuery</v>
      </c>
      <c r="R786" s="84" t="str">
        <f t="shared" si="49"/>
        <v>MT</v>
      </c>
      <c r="S786" s="84">
        <f t="shared" si="50"/>
        <v>385856</v>
      </c>
      <c r="T786" s="84">
        <f t="shared" si="51"/>
        <v>385883</v>
      </c>
    </row>
    <row r="787" spans="2:21" x14ac:dyDescent="0.3">
      <c r="B787" s="84">
        <v>1007606</v>
      </c>
      <c r="C787" s="85">
        <v>385856</v>
      </c>
      <c r="D787" s="84" t="s">
        <v>6</v>
      </c>
      <c r="E787" s="84" t="s">
        <v>345</v>
      </c>
      <c r="F787" s="86" t="s">
        <v>325</v>
      </c>
      <c r="G787" s="87" t="s">
        <v>267</v>
      </c>
      <c r="H787" s="87">
        <v>1</v>
      </c>
      <c r="I787" s="89" t="s">
        <v>48</v>
      </c>
      <c r="J787" s="89"/>
      <c r="K787" s="89" t="s">
        <v>1614</v>
      </c>
      <c r="L787" s="84" t="s">
        <v>107</v>
      </c>
      <c r="M787" s="88" t="str">
        <f>VLOOKUP(L787,lookups!B:C,2,FALSE)</f>
        <v>Chris</v>
      </c>
      <c r="N787" s="89" t="str">
        <f>VLOOKUP(K787,TeamLookup[],2,0)</f>
        <v>Cyber</v>
      </c>
      <c r="O787" s="84" t="e">
        <f>VLOOKUP(VALUE($S787),lookups!I:J,2,FALSE)</f>
        <v>#N/A</v>
      </c>
      <c r="P787" s="84">
        <f>VLOOKUP(VALUE($S787),lookups!F:G,2,FALSE)</f>
        <v>46</v>
      </c>
      <c r="Q787" s="84" t="str">
        <f t="shared" si="48"/>
        <v>ParentNotInCyberQuery</v>
      </c>
      <c r="R787" s="84" t="str">
        <f t="shared" si="49"/>
        <v>MT</v>
      </c>
      <c r="S787" s="84">
        <f t="shared" si="50"/>
        <v>385856</v>
      </c>
      <c r="T787" s="84">
        <f t="shared" si="51"/>
        <v>1007606</v>
      </c>
    </row>
    <row r="788" spans="2:21" x14ac:dyDescent="0.3">
      <c r="B788" s="84">
        <v>1007607</v>
      </c>
      <c r="C788" s="85">
        <v>385856</v>
      </c>
      <c r="D788" s="84" t="s">
        <v>6</v>
      </c>
      <c r="E788" s="84" t="s">
        <v>345</v>
      </c>
      <c r="F788" s="86" t="s">
        <v>325</v>
      </c>
      <c r="G788" s="87" t="s">
        <v>265</v>
      </c>
      <c r="H788" s="87">
        <v>1</v>
      </c>
      <c r="I788" s="89" t="s">
        <v>48</v>
      </c>
      <c r="J788" s="89"/>
      <c r="K788" s="89" t="s">
        <v>1614</v>
      </c>
      <c r="L788" s="84" t="s">
        <v>107</v>
      </c>
      <c r="M788" s="88" t="str">
        <f>VLOOKUP(L788,lookups!B:C,2,FALSE)</f>
        <v>Chris</v>
      </c>
      <c r="N788" s="89" t="str">
        <f>VLOOKUP(K788,TeamLookup[],2,0)</f>
        <v>Cyber</v>
      </c>
      <c r="O788" s="84" t="e">
        <f>VLOOKUP(VALUE($S788),lookups!I:J,2,FALSE)</f>
        <v>#N/A</v>
      </c>
      <c r="P788" s="84">
        <f>VLOOKUP(VALUE($S788),lookups!F:G,2,FALSE)</f>
        <v>46</v>
      </c>
      <c r="Q788" s="84" t="str">
        <f t="shared" si="48"/>
        <v>ParentNotInCyberQuery</v>
      </c>
      <c r="R788" s="84" t="str">
        <f t="shared" si="49"/>
        <v>MT</v>
      </c>
      <c r="S788" s="84">
        <f t="shared" si="50"/>
        <v>385856</v>
      </c>
      <c r="T788" s="84">
        <f t="shared" si="51"/>
        <v>1007607</v>
      </c>
    </row>
    <row r="789" spans="2:21" x14ac:dyDescent="0.3">
      <c r="B789" s="84">
        <v>1006452</v>
      </c>
      <c r="C789" s="85">
        <v>386935</v>
      </c>
      <c r="D789" s="84" t="s">
        <v>6</v>
      </c>
      <c r="E789" s="84" t="s">
        <v>345</v>
      </c>
      <c r="F789" s="86" t="s">
        <v>1425</v>
      </c>
      <c r="G789" s="87" t="s">
        <v>267</v>
      </c>
      <c r="H789" s="87">
        <v>2</v>
      </c>
      <c r="I789" s="89" t="s">
        <v>48</v>
      </c>
      <c r="J789" s="89"/>
      <c r="K789" s="89" t="s">
        <v>1614</v>
      </c>
      <c r="L789" s="84" t="s">
        <v>191</v>
      </c>
      <c r="M789" s="88" t="str">
        <f>VLOOKUP(L789,lookups!B:C,2,FALSE)</f>
        <v>Gerald V</v>
      </c>
      <c r="N789" s="89" t="str">
        <f>VLOOKUP(K789,TeamLookup[],2,0)</f>
        <v>Cyber</v>
      </c>
      <c r="O789" s="84" t="e">
        <f>VLOOKUP(VALUE($S789),lookups!I:J,2,FALSE)</f>
        <v>#N/A</v>
      </c>
      <c r="P789" s="84">
        <f>VLOOKUP(VALUE($S789),lookups!F:G,2,FALSE)</f>
        <v>16</v>
      </c>
      <c r="Q789" s="84" t="str">
        <f t="shared" si="48"/>
        <v>ParentNotInCyberQuery</v>
      </c>
      <c r="R789" s="84" t="str">
        <f t="shared" si="49"/>
        <v>MT</v>
      </c>
      <c r="S789" s="84">
        <f t="shared" si="50"/>
        <v>386935</v>
      </c>
      <c r="T789" s="84">
        <f t="shared" si="51"/>
        <v>1006452</v>
      </c>
    </row>
    <row r="790" spans="2:21" x14ac:dyDescent="0.3">
      <c r="B790" s="84">
        <v>1015146</v>
      </c>
      <c r="C790" s="85">
        <v>386935</v>
      </c>
      <c r="D790" s="84" t="s">
        <v>6</v>
      </c>
      <c r="E790" s="84" t="s">
        <v>345</v>
      </c>
      <c r="F790" s="86" t="s">
        <v>1445</v>
      </c>
      <c r="G790" s="87" t="s">
        <v>263</v>
      </c>
      <c r="H790" s="87">
        <v>2</v>
      </c>
      <c r="I790" s="89" t="s">
        <v>336</v>
      </c>
      <c r="J790" s="89"/>
      <c r="K790" s="89" t="s">
        <v>1614</v>
      </c>
      <c r="L790" s="84" t="s">
        <v>191</v>
      </c>
      <c r="M790" s="88" t="str">
        <f>VLOOKUP(L790,lookups!B:C,2,FALSE)</f>
        <v>Gerald V</v>
      </c>
      <c r="N790" s="89" t="str">
        <f>VLOOKUP(K790,TeamLookup[],2,0)</f>
        <v>Cyber</v>
      </c>
      <c r="O790" s="84" t="e">
        <f>VLOOKUP(VALUE($S790),lookups!I:J,2,FALSE)</f>
        <v>#N/A</v>
      </c>
      <c r="P790" s="84">
        <f>VLOOKUP(VALUE($S790),lookups!F:G,2,FALSE)</f>
        <v>16</v>
      </c>
      <c r="Q790" s="84" t="str">
        <f t="shared" si="48"/>
        <v>ParentNotInCyberQuery</v>
      </c>
      <c r="R790" s="84" t="str">
        <f t="shared" si="49"/>
        <v>MT</v>
      </c>
      <c r="S790" s="84">
        <f t="shared" si="50"/>
        <v>386935</v>
      </c>
      <c r="T790" s="84">
        <f t="shared" si="51"/>
        <v>1015146</v>
      </c>
    </row>
    <row r="791" spans="2:21" x14ac:dyDescent="0.3">
      <c r="B791" s="84">
        <v>388155</v>
      </c>
      <c r="C791" s="85">
        <v>388053</v>
      </c>
      <c r="D791" s="84" t="s">
        <v>6</v>
      </c>
      <c r="E791" s="84" t="s">
        <v>345</v>
      </c>
      <c r="F791" s="86" t="s">
        <v>190</v>
      </c>
      <c r="G791" s="87" t="s">
        <v>263</v>
      </c>
      <c r="H791" s="87">
        <v>5</v>
      </c>
      <c r="I791" s="89"/>
      <c r="J791" s="89"/>
      <c r="K791" s="89" t="s">
        <v>1614</v>
      </c>
      <c r="L791" s="84" t="s">
        <v>107</v>
      </c>
      <c r="M791" s="88" t="str">
        <f>VLOOKUP(L791,lookups!B:C,2,FALSE)</f>
        <v>Chris</v>
      </c>
      <c r="N791" s="89" t="str">
        <f>VLOOKUP(K791,TeamLookup[],2,0)</f>
        <v>Cyber</v>
      </c>
      <c r="O791" s="84">
        <f>VLOOKUP(VALUE($S791),lookups!I:J,2,FALSE)</f>
        <v>44</v>
      </c>
      <c r="P791" s="84" t="e">
        <f>VLOOKUP(VALUE($S791),lookups!F:G,2,FALSE)</f>
        <v>#N/A</v>
      </c>
      <c r="Q791" s="84" t="str">
        <f t="shared" si="48"/>
        <v>ParentNotInCyberQuery</v>
      </c>
      <c r="R791" s="84" t="str">
        <f t="shared" si="49"/>
        <v>MT</v>
      </c>
      <c r="S791" s="84">
        <f t="shared" si="50"/>
        <v>388053</v>
      </c>
      <c r="T791" s="84">
        <f t="shared" si="51"/>
        <v>388155</v>
      </c>
    </row>
    <row r="792" spans="2:21" x14ac:dyDescent="0.3">
      <c r="B792" s="84">
        <v>391324</v>
      </c>
      <c r="C792" s="85">
        <v>388549</v>
      </c>
      <c r="D792" s="84" t="s">
        <v>6</v>
      </c>
      <c r="E792" s="84" t="s">
        <v>345</v>
      </c>
      <c r="F792" s="86" t="s">
        <v>407</v>
      </c>
      <c r="G792" s="87" t="s">
        <v>1344</v>
      </c>
      <c r="H792" s="87">
        <v>2</v>
      </c>
      <c r="I792" s="89"/>
      <c r="J792" s="89"/>
      <c r="K792" s="89" t="s">
        <v>1614</v>
      </c>
      <c r="L792" s="84" t="s">
        <v>37</v>
      </c>
      <c r="M792" s="88" t="str">
        <f>VLOOKUP(L792,lookups!B:C,2,FALSE)</f>
        <v>Kent</v>
      </c>
      <c r="N792" s="89" t="str">
        <f>VLOOKUP(K792,TeamLookup[],2,0)</f>
        <v>Cyber</v>
      </c>
      <c r="O792" s="84" t="e">
        <f>VLOOKUP(VALUE($S792),lookups!I:J,2,FALSE)</f>
        <v>#N/A</v>
      </c>
      <c r="P792" s="84">
        <f>VLOOKUP(VALUE($S792),lookups!F:G,2,FALSE)</f>
        <v>44</v>
      </c>
      <c r="Q792" s="84" t="str">
        <f t="shared" si="48"/>
        <v>ParentNotInCyberQuery</v>
      </c>
      <c r="R792" s="84" t="str">
        <f t="shared" si="49"/>
        <v>MT</v>
      </c>
      <c r="S792" s="84">
        <f t="shared" si="50"/>
        <v>388549</v>
      </c>
      <c r="T792" s="84">
        <f t="shared" si="51"/>
        <v>391324</v>
      </c>
    </row>
    <row r="793" spans="2:21" ht="28.8" x14ac:dyDescent="0.3">
      <c r="B793" s="84">
        <v>391328</v>
      </c>
      <c r="C793" s="85">
        <v>388549</v>
      </c>
      <c r="D793" s="84" t="s">
        <v>6</v>
      </c>
      <c r="E793" s="84" t="s">
        <v>345</v>
      </c>
      <c r="F793" s="86" t="s">
        <v>406</v>
      </c>
      <c r="G793" s="87" t="s">
        <v>1343</v>
      </c>
      <c r="H793" s="87">
        <v>1</v>
      </c>
      <c r="I793" s="89"/>
      <c r="J793" s="89"/>
      <c r="K793" s="89" t="s">
        <v>1614</v>
      </c>
      <c r="L793" s="84" t="s">
        <v>37</v>
      </c>
      <c r="M793" s="88" t="str">
        <f>VLOOKUP(L793,lookups!B:C,2,FALSE)</f>
        <v>Kent</v>
      </c>
      <c r="N793" s="89" t="str">
        <f>VLOOKUP(K793,TeamLookup[],2,0)</f>
        <v>Cyber</v>
      </c>
      <c r="O793" s="84" t="e">
        <f>VLOOKUP(VALUE($S793),lookups!I:J,2,FALSE)</f>
        <v>#N/A</v>
      </c>
      <c r="P793" s="84">
        <f>VLOOKUP(VALUE($S793),lookups!F:G,2,FALSE)</f>
        <v>44</v>
      </c>
      <c r="Q793" s="84" t="str">
        <f t="shared" si="48"/>
        <v>ParentNotInCyberQuery</v>
      </c>
      <c r="R793" s="84" t="str">
        <f t="shared" si="49"/>
        <v>MT</v>
      </c>
      <c r="S793" s="84">
        <f t="shared" si="50"/>
        <v>388549</v>
      </c>
      <c r="T793" s="84">
        <f t="shared" si="51"/>
        <v>391328</v>
      </c>
      <c r="U793" s="94"/>
    </row>
    <row r="794" spans="2:21" ht="28.8" x14ac:dyDescent="0.3">
      <c r="B794" s="84">
        <v>1005770</v>
      </c>
      <c r="C794" s="85">
        <v>388549</v>
      </c>
      <c r="D794" s="84" t="s">
        <v>6</v>
      </c>
      <c r="E794" s="84" t="s">
        <v>345</v>
      </c>
      <c r="F794" s="86" t="s">
        <v>329</v>
      </c>
      <c r="G794" s="87" t="s">
        <v>217</v>
      </c>
      <c r="H794" s="87">
        <v>5</v>
      </c>
      <c r="I794" s="89"/>
      <c r="J794" s="89"/>
      <c r="K794" s="89" t="s">
        <v>1614</v>
      </c>
      <c r="L794" s="84" t="s">
        <v>37</v>
      </c>
      <c r="M794" s="88" t="str">
        <f>VLOOKUP(L794,lookups!B:C,2,FALSE)</f>
        <v>Kent</v>
      </c>
      <c r="N794" s="89" t="str">
        <f>VLOOKUP(K794,TeamLookup[],2,0)</f>
        <v>Cyber</v>
      </c>
      <c r="O794" s="84" t="e">
        <f>VLOOKUP(VALUE($S794),lookups!I:J,2,FALSE)</f>
        <v>#N/A</v>
      </c>
      <c r="P794" s="84">
        <f>VLOOKUP(VALUE($S794),lookups!F:G,2,FALSE)</f>
        <v>44</v>
      </c>
      <c r="Q794" s="84" t="str">
        <f t="shared" si="48"/>
        <v>ParentNotInCyberQuery</v>
      </c>
      <c r="R794" s="84" t="str">
        <f t="shared" si="49"/>
        <v>MT</v>
      </c>
      <c r="S794" s="84">
        <f t="shared" si="50"/>
        <v>388549</v>
      </c>
      <c r="T794" s="84">
        <f t="shared" si="51"/>
        <v>1005770</v>
      </c>
    </row>
    <row r="795" spans="2:21" x14ac:dyDescent="0.3">
      <c r="B795" s="84">
        <v>1006270</v>
      </c>
      <c r="C795" s="85">
        <v>388549</v>
      </c>
      <c r="D795" s="84" t="s">
        <v>6</v>
      </c>
      <c r="E795" s="84" t="s">
        <v>345</v>
      </c>
      <c r="F795" s="86" t="s">
        <v>328</v>
      </c>
      <c r="G795" s="87" t="s">
        <v>267</v>
      </c>
      <c r="H795" s="87">
        <v>5</v>
      </c>
      <c r="I795" s="89"/>
      <c r="J795" s="89"/>
      <c r="K795" s="89" t="s">
        <v>1614</v>
      </c>
      <c r="L795" s="84" t="s">
        <v>37</v>
      </c>
      <c r="M795" s="88" t="str">
        <f>VLOOKUP(L795,lookups!B:C,2,FALSE)</f>
        <v>Kent</v>
      </c>
      <c r="N795" s="89" t="str">
        <f>VLOOKUP(K795,TeamLookup[],2,0)</f>
        <v>Cyber</v>
      </c>
      <c r="O795" s="84" t="e">
        <f>VLOOKUP(VALUE($S795),lookups!I:J,2,FALSE)</f>
        <v>#N/A</v>
      </c>
      <c r="P795" s="84">
        <f>VLOOKUP(VALUE($S795),lookups!F:G,2,FALSE)</f>
        <v>44</v>
      </c>
      <c r="Q795" s="84" t="str">
        <f t="shared" si="48"/>
        <v>ParentNotInCyberQuery</v>
      </c>
      <c r="R795" s="84" t="str">
        <f t="shared" si="49"/>
        <v>MT</v>
      </c>
      <c r="S795" s="84">
        <f t="shared" si="50"/>
        <v>388549</v>
      </c>
      <c r="T795" s="84">
        <f t="shared" si="51"/>
        <v>1006270</v>
      </c>
    </row>
    <row r="796" spans="2:21" x14ac:dyDescent="0.3">
      <c r="B796" s="84">
        <v>1006271</v>
      </c>
      <c r="C796" s="85">
        <v>388549</v>
      </c>
      <c r="D796" s="84" t="s">
        <v>6</v>
      </c>
      <c r="E796" s="84" t="s">
        <v>345</v>
      </c>
      <c r="F796" s="86" t="s">
        <v>327</v>
      </c>
      <c r="G796" s="87" t="s">
        <v>265</v>
      </c>
      <c r="H796" s="87">
        <v>5</v>
      </c>
      <c r="I796" s="89"/>
      <c r="J796" s="89"/>
      <c r="K796" s="89" t="s">
        <v>1614</v>
      </c>
      <c r="L796" s="84" t="s">
        <v>37</v>
      </c>
      <c r="M796" s="88" t="str">
        <f>VLOOKUP(L796,lookups!B:C,2,FALSE)</f>
        <v>Kent</v>
      </c>
      <c r="N796" s="89" t="str">
        <f>VLOOKUP(K796,TeamLookup[],2,0)</f>
        <v>Cyber</v>
      </c>
      <c r="O796" s="84" t="e">
        <f>VLOOKUP(VALUE($S796),lookups!I:J,2,FALSE)</f>
        <v>#N/A</v>
      </c>
      <c r="P796" s="84">
        <f>VLOOKUP(VALUE($S796),lookups!F:G,2,FALSE)</f>
        <v>44</v>
      </c>
      <c r="Q796" s="84" t="str">
        <f t="shared" si="48"/>
        <v>ParentNotInCyberQuery</v>
      </c>
      <c r="R796" s="84" t="str">
        <f t="shared" si="49"/>
        <v>MT</v>
      </c>
      <c r="S796" s="84">
        <f t="shared" si="50"/>
        <v>388549</v>
      </c>
      <c r="T796" s="84">
        <f t="shared" si="51"/>
        <v>1006271</v>
      </c>
    </row>
    <row r="797" spans="2:21" ht="28.8" x14ac:dyDescent="0.3">
      <c r="B797" s="84">
        <v>1006272</v>
      </c>
      <c r="C797" s="85">
        <v>388549</v>
      </c>
      <c r="D797" s="84" t="s">
        <v>6</v>
      </c>
      <c r="E797" s="84" t="s">
        <v>345</v>
      </c>
      <c r="F797" s="86" t="s">
        <v>326</v>
      </c>
      <c r="G797" s="87" t="s">
        <v>263</v>
      </c>
      <c r="H797" s="87">
        <v>5</v>
      </c>
      <c r="I797" s="89"/>
      <c r="J797" s="89"/>
      <c r="K797" s="89" t="s">
        <v>1614</v>
      </c>
      <c r="L797" s="84" t="s">
        <v>37</v>
      </c>
      <c r="M797" s="88" t="str">
        <f>VLOOKUP(L797,lookups!B:C,2,FALSE)</f>
        <v>Kent</v>
      </c>
      <c r="N797" s="89" t="str">
        <f>VLOOKUP(K797,TeamLookup[],2,0)</f>
        <v>Cyber</v>
      </c>
      <c r="O797" s="84" t="e">
        <f>VLOOKUP(VALUE($S797),lookups!I:J,2,FALSE)</f>
        <v>#N/A</v>
      </c>
      <c r="P797" s="84">
        <f>VLOOKUP(VALUE($S797),lookups!F:G,2,FALSE)</f>
        <v>44</v>
      </c>
      <c r="Q797" s="84" t="str">
        <f t="shared" si="48"/>
        <v>ParentNotInCyberQuery</v>
      </c>
      <c r="R797" s="84" t="str">
        <f t="shared" si="49"/>
        <v>MT</v>
      </c>
      <c r="S797" s="84">
        <f t="shared" si="50"/>
        <v>388549</v>
      </c>
      <c r="T797" s="84">
        <f t="shared" si="51"/>
        <v>1006272</v>
      </c>
    </row>
    <row r="798" spans="2:21" ht="28.8" x14ac:dyDescent="0.3">
      <c r="B798" s="84">
        <v>1017324</v>
      </c>
      <c r="C798" s="85">
        <v>388549</v>
      </c>
      <c r="D798" s="84" t="s">
        <v>6</v>
      </c>
      <c r="E798" s="84" t="s">
        <v>345</v>
      </c>
      <c r="F798" s="86" t="s">
        <v>326</v>
      </c>
      <c r="G798" s="87" t="s">
        <v>262</v>
      </c>
      <c r="H798" s="87">
        <v>3</v>
      </c>
      <c r="I798" s="89"/>
      <c r="J798" s="89"/>
      <c r="K798" s="89" t="s">
        <v>1614</v>
      </c>
      <c r="L798" s="84" t="s">
        <v>37</v>
      </c>
      <c r="M798" s="88" t="str">
        <f>VLOOKUP(L798,lookups!B:C,2,FALSE)</f>
        <v>Kent</v>
      </c>
      <c r="N798" s="89" t="str">
        <f>VLOOKUP(K798,TeamLookup[],2,0)</f>
        <v>Cyber</v>
      </c>
      <c r="O798" s="84" t="e">
        <f>VLOOKUP(VALUE($S798),lookups!I:J,2,FALSE)</f>
        <v>#N/A</v>
      </c>
      <c r="P798" s="84">
        <f>VLOOKUP(VALUE($S798),lookups!F:G,2,FALSE)</f>
        <v>44</v>
      </c>
      <c r="Q798" s="84" t="str">
        <f t="shared" si="48"/>
        <v>ParentNotInCyberQuery</v>
      </c>
      <c r="R798" s="84" t="str">
        <f t="shared" si="49"/>
        <v>MT</v>
      </c>
      <c r="S798" s="84">
        <f t="shared" si="50"/>
        <v>388549</v>
      </c>
      <c r="T798" s="84">
        <f t="shared" si="51"/>
        <v>1017324</v>
      </c>
    </row>
    <row r="799" spans="2:21" x14ac:dyDescent="0.3">
      <c r="B799" s="84">
        <v>1013983</v>
      </c>
      <c r="C799" s="85">
        <v>389941</v>
      </c>
      <c r="D799" s="84" t="s">
        <v>6</v>
      </c>
      <c r="E799" s="84" t="s">
        <v>7</v>
      </c>
      <c r="F799" s="86" t="s">
        <v>1391</v>
      </c>
      <c r="G799" s="87" t="s">
        <v>442</v>
      </c>
      <c r="H799" s="87">
        <v>5</v>
      </c>
      <c r="I799" s="89"/>
      <c r="J799" s="89"/>
      <c r="K799" s="89" t="s">
        <v>1614</v>
      </c>
      <c r="L799" s="84" t="s">
        <v>108</v>
      </c>
      <c r="M799" s="88" t="str">
        <f>VLOOKUP(L799,lookups!B:C,2,FALSE)</f>
        <v>Conan</v>
      </c>
      <c r="N799" s="89" t="str">
        <f>VLOOKUP(K799,TeamLookup[],2,0)</f>
        <v>Cyber</v>
      </c>
      <c r="O799" s="84" t="e">
        <f>VLOOKUP(VALUE($S799),lookups!I:J,2,FALSE)</f>
        <v>#N/A</v>
      </c>
      <c r="P799" s="84" t="e">
        <f>VLOOKUP(VALUE($S799),lookups!F:G,2,FALSE)</f>
        <v>#N/A</v>
      </c>
      <c r="Q799" s="84" t="str">
        <f t="shared" si="48"/>
        <v>ParentNotInCyberQuery</v>
      </c>
      <c r="R799" s="84" t="str">
        <f t="shared" si="49"/>
        <v>MT</v>
      </c>
      <c r="S799" s="84">
        <f t="shared" si="50"/>
        <v>389941</v>
      </c>
      <c r="T799" s="84">
        <f t="shared" si="51"/>
        <v>1013983</v>
      </c>
    </row>
    <row r="800" spans="2:21" x14ac:dyDescent="0.3">
      <c r="B800" s="84">
        <v>1013764</v>
      </c>
      <c r="C800" s="85">
        <v>389965</v>
      </c>
      <c r="D800" s="84" t="s">
        <v>6</v>
      </c>
      <c r="E800" s="84" t="s">
        <v>7</v>
      </c>
      <c r="F800" s="86" t="s">
        <v>1394</v>
      </c>
      <c r="G800" s="87" t="s">
        <v>442</v>
      </c>
      <c r="H800" s="87">
        <v>13</v>
      </c>
      <c r="I800" s="89"/>
      <c r="J800" s="89"/>
      <c r="K800" s="89" t="s">
        <v>1614</v>
      </c>
      <c r="L800" s="84" t="s">
        <v>108</v>
      </c>
      <c r="M800" s="88" t="str">
        <f>VLOOKUP(L800,lookups!B:C,2,FALSE)</f>
        <v>Conan</v>
      </c>
      <c r="N800" s="89" t="str">
        <f>VLOOKUP(K800,TeamLookup[],2,0)</f>
        <v>Cyber</v>
      </c>
      <c r="O800" s="84" t="e">
        <f>VLOOKUP(VALUE($S800),lookups!I:J,2,FALSE)</f>
        <v>#N/A</v>
      </c>
      <c r="P800" s="84" t="e">
        <f>VLOOKUP(VALUE($S800),lookups!F:G,2,FALSE)</f>
        <v>#N/A</v>
      </c>
      <c r="Q800" s="84" t="str">
        <f t="shared" si="48"/>
        <v>ParentNotInCyberQuery</v>
      </c>
      <c r="R800" s="84" t="str">
        <f t="shared" si="49"/>
        <v>MT</v>
      </c>
      <c r="S800" s="84">
        <f t="shared" si="50"/>
        <v>389965</v>
      </c>
      <c r="T800" s="84">
        <f t="shared" si="51"/>
        <v>1013764</v>
      </c>
    </row>
    <row r="801" spans="1:20" x14ac:dyDescent="0.3">
      <c r="B801" s="84">
        <v>1001584</v>
      </c>
      <c r="C801" s="85">
        <v>393391</v>
      </c>
      <c r="D801" s="84" t="s">
        <v>6</v>
      </c>
      <c r="E801" s="84" t="s">
        <v>7</v>
      </c>
      <c r="F801" s="86" t="s">
        <v>1682</v>
      </c>
      <c r="G801" s="93" t="s">
        <v>1599</v>
      </c>
      <c r="H801" s="87">
        <v>1</v>
      </c>
      <c r="I801" s="89"/>
      <c r="J801" s="89"/>
      <c r="K801" s="89" t="s">
        <v>1614</v>
      </c>
      <c r="L801" s="84" t="s">
        <v>8</v>
      </c>
      <c r="M801" s="88" t="str">
        <f>VLOOKUP(L801,lookups!B:C,2,FALSE)</f>
        <v>TBD</v>
      </c>
      <c r="N801" s="89" t="str">
        <f>VLOOKUP(K801,TeamLookup[],2,0)</f>
        <v>Cyber</v>
      </c>
      <c r="O801" s="84" t="e">
        <f>VLOOKUP(VALUE($S801),lookups!I:J,2,FALSE)</f>
        <v>#N/A</v>
      </c>
      <c r="P801" s="84" t="e">
        <f>VLOOKUP(VALUE($S801),lookups!F:G,2,FALSE)</f>
        <v>#N/A</v>
      </c>
      <c r="Q801" s="84" t="str">
        <f t="shared" si="48"/>
        <v>ParentNotInCyberQuery</v>
      </c>
      <c r="R801" s="84" t="str">
        <f t="shared" si="49"/>
        <v>MT</v>
      </c>
      <c r="S801" s="84">
        <f t="shared" si="50"/>
        <v>393391</v>
      </c>
      <c r="T801" s="84">
        <f t="shared" si="51"/>
        <v>1001584</v>
      </c>
    </row>
    <row r="802" spans="1:20" x14ac:dyDescent="0.3">
      <c r="B802" s="84">
        <v>1008480</v>
      </c>
      <c r="C802" s="85">
        <v>395174</v>
      </c>
      <c r="D802" s="84" t="s">
        <v>6</v>
      </c>
      <c r="E802" s="84" t="s">
        <v>345</v>
      </c>
      <c r="F802" s="86" t="s">
        <v>311</v>
      </c>
      <c r="G802" s="87" t="s">
        <v>217</v>
      </c>
      <c r="H802" s="87">
        <v>1</v>
      </c>
      <c r="I802" s="84" t="s">
        <v>48</v>
      </c>
      <c r="J802" s="84"/>
      <c r="K802" s="84" t="s">
        <v>1614</v>
      </c>
      <c r="L802" s="84" t="s">
        <v>1342</v>
      </c>
      <c r="M802" s="88" t="str">
        <f>VLOOKUP(L802,lookups!B:C,2,FALSE)</f>
        <v>John</v>
      </c>
      <c r="N802" s="89" t="str">
        <f>VLOOKUP(K802,TeamLookup[],2,0)</f>
        <v>Cyber</v>
      </c>
      <c r="O802" s="84" t="e">
        <f>VLOOKUP(VALUE($S802),lookups!I:J,2,FALSE)</f>
        <v>#N/A</v>
      </c>
      <c r="P802" s="84" t="e">
        <f>VLOOKUP(VALUE($S802),lookups!F:G,2,FALSE)</f>
        <v>#N/A</v>
      </c>
      <c r="Q802" s="84" t="str">
        <f t="shared" si="48"/>
        <v>ParentNotInCyberQuery</v>
      </c>
      <c r="R802" s="84" t="str">
        <f t="shared" si="49"/>
        <v>MT</v>
      </c>
      <c r="S802" s="84">
        <f t="shared" si="50"/>
        <v>395174</v>
      </c>
      <c r="T802" s="84">
        <f t="shared" si="51"/>
        <v>1008480</v>
      </c>
    </row>
    <row r="803" spans="1:20" x14ac:dyDescent="0.3">
      <c r="B803" s="84">
        <v>1008482</v>
      </c>
      <c r="C803" s="85">
        <v>395174</v>
      </c>
      <c r="D803" s="84" t="s">
        <v>6</v>
      </c>
      <c r="E803" s="84" t="s">
        <v>345</v>
      </c>
      <c r="F803" s="86" t="s">
        <v>310</v>
      </c>
      <c r="G803" s="87" t="s">
        <v>267</v>
      </c>
      <c r="H803" s="87">
        <v>1</v>
      </c>
      <c r="I803" s="89" t="s">
        <v>48</v>
      </c>
      <c r="J803" s="89"/>
      <c r="K803" s="89" t="s">
        <v>1614</v>
      </c>
      <c r="L803" s="84" t="s">
        <v>1342</v>
      </c>
      <c r="M803" s="88" t="str">
        <f>VLOOKUP(L803,lookups!B:C,2,FALSE)</f>
        <v>John</v>
      </c>
      <c r="N803" s="89" t="str">
        <f>VLOOKUP(K803,TeamLookup[],2,0)</f>
        <v>Cyber</v>
      </c>
      <c r="O803" s="84" t="e">
        <f>VLOOKUP(VALUE($S803),lookups!I:J,2,FALSE)</f>
        <v>#N/A</v>
      </c>
      <c r="P803" s="84" t="e">
        <f>VLOOKUP(VALUE($S803),lookups!F:G,2,FALSE)</f>
        <v>#N/A</v>
      </c>
      <c r="Q803" s="84" t="str">
        <f t="shared" si="48"/>
        <v>ParentNotInCyberQuery</v>
      </c>
      <c r="R803" s="84" t="str">
        <f t="shared" si="49"/>
        <v>MT</v>
      </c>
      <c r="S803" s="84">
        <f t="shared" si="50"/>
        <v>395174</v>
      </c>
      <c r="T803" s="84">
        <f t="shared" si="51"/>
        <v>1008482</v>
      </c>
    </row>
    <row r="804" spans="1:20" x14ac:dyDescent="0.3">
      <c r="B804" s="84">
        <v>395329</v>
      </c>
      <c r="C804" s="85">
        <v>395538</v>
      </c>
      <c r="D804" s="84" t="s">
        <v>6</v>
      </c>
      <c r="E804" s="84" t="s">
        <v>7</v>
      </c>
      <c r="F804" s="86" t="s">
        <v>380</v>
      </c>
      <c r="G804" s="87" t="s">
        <v>8</v>
      </c>
      <c r="H804" s="87">
        <v>5</v>
      </c>
      <c r="I804" s="84"/>
      <c r="J804" s="84"/>
      <c r="K804" s="84" t="s">
        <v>1614</v>
      </c>
      <c r="L804" s="84" t="s">
        <v>8</v>
      </c>
      <c r="M804" s="88" t="str">
        <f>VLOOKUP(L804,lookups!B:C,2,FALSE)</f>
        <v>TBD</v>
      </c>
      <c r="N804" s="89" t="str">
        <f>VLOOKUP(K804,TeamLookup[],2,0)</f>
        <v>Cyber</v>
      </c>
      <c r="O804" s="84" t="e">
        <f>VLOOKUP(VALUE($S804),lookups!I:J,2,FALSE)</f>
        <v>#N/A</v>
      </c>
      <c r="P804" s="84" t="e">
        <f>VLOOKUP(VALUE($S804),lookups!F:G,2,FALSE)</f>
        <v>#N/A</v>
      </c>
      <c r="Q804" s="84" t="str">
        <f t="shared" si="48"/>
        <v>ParentNotInCyberQuery</v>
      </c>
      <c r="R804" s="84" t="str">
        <f t="shared" si="49"/>
        <v>MT</v>
      </c>
      <c r="S804" s="84">
        <f t="shared" si="50"/>
        <v>395538</v>
      </c>
      <c r="T804" s="84">
        <f t="shared" si="51"/>
        <v>395329</v>
      </c>
    </row>
    <row r="805" spans="1:20" x14ac:dyDescent="0.3">
      <c r="B805" s="84">
        <v>396361</v>
      </c>
      <c r="C805" s="85">
        <v>396308</v>
      </c>
      <c r="D805" s="84" t="s">
        <v>6</v>
      </c>
      <c r="E805" s="84" t="s">
        <v>345</v>
      </c>
      <c r="F805" s="86" t="s">
        <v>273</v>
      </c>
      <c r="G805" s="87" t="s">
        <v>217</v>
      </c>
      <c r="H805" s="87">
        <v>2</v>
      </c>
      <c r="I805" s="84"/>
      <c r="J805" s="84"/>
      <c r="K805" s="84" t="s">
        <v>1614</v>
      </c>
      <c r="L805" s="84" t="s">
        <v>214</v>
      </c>
      <c r="M805" s="88" t="str">
        <f>VLOOKUP(L805,lookups!B:C,2,FALSE)</f>
        <v>Dave G</v>
      </c>
      <c r="N805" s="89" t="str">
        <f>VLOOKUP(K805,TeamLookup[],2,0)</f>
        <v>Cyber</v>
      </c>
      <c r="O805" s="84" t="e">
        <f>VLOOKUP(VALUE($S805),lookups!I:J,2,FALSE)</f>
        <v>#N/A</v>
      </c>
      <c r="P805" s="84" t="e">
        <f>VLOOKUP(VALUE($S805),lookups!F:G,2,FALSE)</f>
        <v>#N/A</v>
      </c>
      <c r="Q805" s="84" t="str">
        <f t="shared" si="48"/>
        <v>ParentNotInCyberQuery</v>
      </c>
      <c r="R805" s="84" t="str">
        <f t="shared" si="49"/>
        <v>MT</v>
      </c>
      <c r="S805" s="84">
        <f t="shared" si="50"/>
        <v>396308</v>
      </c>
      <c r="T805" s="84">
        <f t="shared" si="51"/>
        <v>396361</v>
      </c>
    </row>
    <row r="806" spans="1:20" x14ac:dyDescent="0.3">
      <c r="B806" s="84">
        <v>396362</v>
      </c>
      <c r="C806" s="85">
        <v>396308</v>
      </c>
      <c r="D806" s="84" t="s">
        <v>6</v>
      </c>
      <c r="E806" s="84" t="s">
        <v>345</v>
      </c>
      <c r="F806" s="86" t="s">
        <v>272</v>
      </c>
      <c r="G806" s="87" t="s">
        <v>267</v>
      </c>
      <c r="H806" s="87">
        <v>2</v>
      </c>
      <c r="I806" s="84"/>
      <c r="J806" s="84"/>
      <c r="K806" s="84" t="s">
        <v>1614</v>
      </c>
      <c r="L806" s="84" t="s">
        <v>107</v>
      </c>
      <c r="M806" s="88" t="str">
        <f>VLOOKUP(L806,lookups!B:C,2,FALSE)</f>
        <v>Chris</v>
      </c>
      <c r="N806" s="89" t="str">
        <f>VLOOKUP(K806,TeamLookup[],2,0)</f>
        <v>Cyber</v>
      </c>
      <c r="O806" s="84" t="e">
        <f>VLOOKUP(VALUE($S806),lookups!I:J,2,FALSE)</f>
        <v>#N/A</v>
      </c>
      <c r="P806" s="84" t="e">
        <f>VLOOKUP(VALUE($S806),lookups!F:G,2,FALSE)</f>
        <v>#N/A</v>
      </c>
      <c r="Q806" s="84" t="str">
        <f t="shared" si="48"/>
        <v>ParentNotInCyberQuery</v>
      </c>
      <c r="R806" s="84" t="str">
        <f t="shared" si="49"/>
        <v>MT</v>
      </c>
      <c r="S806" s="84">
        <f t="shared" si="50"/>
        <v>396308</v>
      </c>
      <c r="T806" s="84">
        <f t="shared" si="51"/>
        <v>396362</v>
      </c>
    </row>
    <row r="807" spans="1:20" x14ac:dyDescent="0.3">
      <c r="A807" s="96"/>
      <c r="B807" s="84">
        <v>396363</v>
      </c>
      <c r="C807" s="85">
        <v>396308</v>
      </c>
      <c r="D807" s="84" t="s">
        <v>6</v>
      </c>
      <c r="E807" s="84" t="s">
        <v>345</v>
      </c>
      <c r="F807" s="86" t="s">
        <v>271</v>
      </c>
      <c r="G807" s="87" t="s">
        <v>265</v>
      </c>
      <c r="H807" s="87">
        <v>2</v>
      </c>
      <c r="I807" s="89"/>
      <c r="J807" s="89"/>
      <c r="K807" s="89" t="s">
        <v>1614</v>
      </c>
      <c r="L807" s="84" t="s">
        <v>214</v>
      </c>
      <c r="M807" s="88" t="str">
        <f>VLOOKUP(L807,lookups!B:C,2,FALSE)</f>
        <v>Dave G</v>
      </c>
      <c r="N807" s="89" t="str">
        <f>VLOOKUP(K807,TeamLookup[],2,0)</f>
        <v>Cyber</v>
      </c>
      <c r="O807" s="84" t="e">
        <f>VLOOKUP(VALUE($S807),lookups!I:J,2,FALSE)</f>
        <v>#N/A</v>
      </c>
      <c r="P807" s="84" t="e">
        <f>VLOOKUP(VALUE($S807),lookups!F:G,2,FALSE)</f>
        <v>#N/A</v>
      </c>
      <c r="Q807" s="84" t="str">
        <f t="shared" si="48"/>
        <v>ParentNotInCyberQuery</v>
      </c>
      <c r="R807" s="84" t="str">
        <f t="shared" si="49"/>
        <v>MT</v>
      </c>
      <c r="S807" s="84">
        <f t="shared" si="50"/>
        <v>396308</v>
      </c>
      <c r="T807" s="84">
        <f t="shared" si="51"/>
        <v>396363</v>
      </c>
    </row>
    <row r="808" spans="1:20" x14ac:dyDescent="0.3">
      <c r="B808" s="84">
        <v>396364</v>
      </c>
      <c r="C808" s="85">
        <v>396308</v>
      </c>
      <c r="D808" s="84" t="s">
        <v>6</v>
      </c>
      <c r="E808" s="84" t="s">
        <v>345</v>
      </c>
      <c r="F808" s="86" t="s">
        <v>270</v>
      </c>
      <c r="G808" s="87" t="s">
        <v>263</v>
      </c>
      <c r="H808" s="87">
        <v>2</v>
      </c>
      <c r="I808" s="89"/>
      <c r="J808" s="89"/>
      <c r="K808" s="89" t="s">
        <v>1614</v>
      </c>
      <c r="L808" s="84" t="s">
        <v>107</v>
      </c>
      <c r="M808" s="88" t="str">
        <f>VLOOKUP(L808,lookups!B:C,2,FALSE)</f>
        <v>Chris</v>
      </c>
      <c r="N808" s="89" t="str">
        <f>VLOOKUP(K808,TeamLookup[],2,0)</f>
        <v>Cyber</v>
      </c>
      <c r="O808" s="84" t="e">
        <f>VLOOKUP(VALUE($S808),lookups!I:J,2,FALSE)</f>
        <v>#N/A</v>
      </c>
      <c r="P808" s="84" t="e">
        <f>VLOOKUP(VALUE($S808),lookups!F:G,2,FALSE)</f>
        <v>#N/A</v>
      </c>
      <c r="Q808" s="84" t="str">
        <f t="shared" si="48"/>
        <v>ParentNotInCyberQuery</v>
      </c>
      <c r="R808" s="84" t="str">
        <f t="shared" si="49"/>
        <v>MT</v>
      </c>
      <c r="S808" s="84">
        <f t="shared" si="50"/>
        <v>396308</v>
      </c>
      <c r="T808" s="84">
        <f t="shared" si="51"/>
        <v>396364</v>
      </c>
    </row>
    <row r="809" spans="1:20" x14ac:dyDescent="0.3">
      <c r="A809" s="96"/>
      <c r="B809" s="84">
        <v>396365</v>
      </c>
      <c r="C809" s="85">
        <v>396308</v>
      </c>
      <c r="D809" s="84" t="s">
        <v>6</v>
      </c>
      <c r="E809" s="84" t="s">
        <v>345</v>
      </c>
      <c r="F809" s="86" t="s">
        <v>269</v>
      </c>
      <c r="G809" s="87" t="s">
        <v>262</v>
      </c>
      <c r="H809" s="87">
        <v>0</v>
      </c>
      <c r="I809" s="89"/>
      <c r="J809" s="89"/>
      <c r="K809" s="89" t="s">
        <v>1614</v>
      </c>
      <c r="L809" s="84" t="s">
        <v>107</v>
      </c>
      <c r="M809" s="88" t="str">
        <f>VLOOKUP(L809,lookups!B:C,2,FALSE)</f>
        <v>Chris</v>
      </c>
      <c r="N809" s="89" t="str">
        <f>VLOOKUP(K809,TeamLookup[],2,0)</f>
        <v>Cyber</v>
      </c>
      <c r="O809" s="84" t="e">
        <f>VLOOKUP(VALUE($S809),lookups!I:J,2,FALSE)</f>
        <v>#N/A</v>
      </c>
      <c r="P809" s="84" t="e">
        <f>VLOOKUP(VALUE($S809),lookups!F:G,2,FALSE)</f>
        <v>#N/A</v>
      </c>
      <c r="Q809" s="84" t="str">
        <f t="shared" si="48"/>
        <v>ParentNotInCyberQuery</v>
      </c>
      <c r="R809" s="84" t="str">
        <f t="shared" si="49"/>
        <v>MT</v>
      </c>
      <c r="S809" s="84">
        <f t="shared" si="50"/>
        <v>396308</v>
      </c>
      <c r="T809" s="84">
        <f t="shared" si="51"/>
        <v>396365</v>
      </c>
    </row>
    <row r="810" spans="1:20" x14ac:dyDescent="0.3">
      <c r="B810" s="84">
        <v>396498</v>
      </c>
      <c r="C810" s="85">
        <v>396492</v>
      </c>
      <c r="D810" s="84" t="s">
        <v>6</v>
      </c>
      <c r="E810" s="84" t="s">
        <v>345</v>
      </c>
      <c r="F810" s="86" t="s">
        <v>375</v>
      </c>
      <c r="G810" s="87" t="s">
        <v>1344</v>
      </c>
      <c r="H810" s="87">
        <v>1</v>
      </c>
      <c r="I810" s="84"/>
      <c r="J810" s="84"/>
      <c r="K810" s="84" t="s">
        <v>1614</v>
      </c>
      <c r="L810" s="84" t="s">
        <v>182</v>
      </c>
      <c r="M810" s="88" t="str">
        <f>VLOOKUP(L810,lookups!B:C,2,FALSE)</f>
        <v>Ted</v>
      </c>
      <c r="N810" s="89" t="str">
        <f>VLOOKUP(K810,TeamLookup[],2,0)</f>
        <v>Cyber</v>
      </c>
      <c r="O810" s="84" t="e">
        <f>VLOOKUP(VALUE($S810),lookups!I:J,2,FALSE)</f>
        <v>#N/A</v>
      </c>
      <c r="P810" s="84" t="e">
        <f>VLOOKUP(VALUE($S810),lookups!F:G,2,FALSE)</f>
        <v>#N/A</v>
      </c>
      <c r="Q810" s="84" t="str">
        <f t="shared" si="48"/>
        <v>ParentNotInCyberQuery</v>
      </c>
      <c r="R810" s="84" t="str">
        <f t="shared" si="49"/>
        <v>MT</v>
      </c>
      <c r="S810" s="84">
        <f t="shared" si="50"/>
        <v>396492</v>
      </c>
      <c r="T810" s="84">
        <f t="shared" si="51"/>
        <v>396498</v>
      </c>
    </row>
    <row r="811" spans="1:20" x14ac:dyDescent="0.3">
      <c r="B811" s="84">
        <v>1006787</v>
      </c>
      <c r="C811" s="85">
        <v>1000471</v>
      </c>
      <c r="D811" s="84" t="s">
        <v>6</v>
      </c>
      <c r="E811" s="84" t="s">
        <v>7</v>
      </c>
      <c r="F811" s="86" t="s">
        <v>352</v>
      </c>
      <c r="G811" s="87" t="s">
        <v>1388</v>
      </c>
      <c r="H811" s="87">
        <v>8</v>
      </c>
      <c r="I811" s="89"/>
      <c r="J811" s="89"/>
      <c r="K811" s="89" t="s">
        <v>1614</v>
      </c>
      <c r="L811" s="84" t="s">
        <v>11</v>
      </c>
      <c r="M811" s="88" t="str">
        <f>VLOOKUP(L811,lookups!B:C,2,FALSE)</f>
        <v>Randy</v>
      </c>
      <c r="N811" s="89" t="str">
        <f>VLOOKUP(K811,TeamLookup[],2,0)</f>
        <v>Cyber</v>
      </c>
      <c r="O811" s="84" t="e">
        <f>VLOOKUP(VALUE($S811),lookups!I:J,2,FALSE)</f>
        <v>#N/A</v>
      </c>
      <c r="P811" s="84" t="e">
        <f>VLOOKUP(VALUE($S811),lookups!F:G,2,FALSE)</f>
        <v>#N/A</v>
      </c>
      <c r="Q811" s="84" t="str">
        <f t="shared" si="48"/>
        <v>ParentNotInCyberQuery</v>
      </c>
      <c r="R811" s="84" t="str">
        <f t="shared" si="49"/>
        <v>MT</v>
      </c>
      <c r="S811" s="84">
        <f t="shared" si="50"/>
        <v>1000471</v>
      </c>
      <c r="T811" s="84">
        <f t="shared" si="51"/>
        <v>1006787</v>
      </c>
    </row>
    <row r="812" spans="1:20" x14ac:dyDescent="0.3">
      <c r="B812" s="84">
        <v>1006134</v>
      </c>
      <c r="C812" s="85">
        <v>1000471</v>
      </c>
      <c r="D812" s="84" t="s">
        <v>6</v>
      </c>
      <c r="E812" s="84" t="s">
        <v>7</v>
      </c>
      <c r="F812" s="86" t="s">
        <v>356</v>
      </c>
      <c r="G812" s="87" t="s">
        <v>1388</v>
      </c>
      <c r="H812" s="87">
        <v>13</v>
      </c>
      <c r="I812" s="84"/>
      <c r="J812" s="84"/>
      <c r="K812" s="84" t="s">
        <v>1614</v>
      </c>
      <c r="L812" s="84" t="s">
        <v>8</v>
      </c>
      <c r="M812" s="88" t="str">
        <f>VLOOKUP(L812,lookups!B:C,2,FALSE)</f>
        <v>TBD</v>
      </c>
      <c r="N812" s="89" t="str">
        <f>VLOOKUP(K812,TeamLookup[],2,0)</f>
        <v>Cyber</v>
      </c>
      <c r="O812" s="84" t="e">
        <f>VLOOKUP(VALUE($S812),lookups!I:J,2,FALSE)</f>
        <v>#N/A</v>
      </c>
      <c r="P812" s="84" t="e">
        <f>VLOOKUP(VALUE($S812),lookups!F:G,2,FALSE)</f>
        <v>#N/A</v>
      </c>
      <c r="Q812" s="84" t="str">
        <f t="shared" si="48"/>
        <v>ParentNotInCyberQuery</v>
      </c>
      <c r="R812" s="84" t="str">
        <f t="shared" si="49"/>
        <v>MT</v>
      </c>
      <c r="S812" s="84">
        <f t="shared" si="50"/>
        <v>1000471</v>
      </c>
      <c r="T812" s="84">
        <f t="shared" si="51"/>
        <v>1006134</v>
      </c>
    </row>
    <row r="813" spans="1:20" x14ac:dyDescent="0.3">
      <c r="B813" s="84">
        <v>1000484</v>
      </c>
      <c r="C813" s="85">
        <v>1000471</v>
      </c>
      <c r="D813" s="84" t="s">
        <v>6</v>
      </c>
      <c r="E813" s="84" t="s">
        <v>7</v>
      </c>
      <c r="F813" s="86" t="s">
        <v>371</v>
      </c>
      <c r="G813" s="87" t="s">
        <v>1388</v>
      </c>
      <c r="H813" s="87">
        <v>5</v>
      </c>
      <c r="I813" s="89"/>
      <c r="J813" s="89" t="s">
        <v>372</v>
      </c>
      <c r="K813" s="89" t="s">
        <v>1614</v>
      </c>
      <c r="L813" s="84" t="s">
        <v>8</v>
      </c>
      <c r="M813" s="88" t="str">
        <f>VLOOKUP(L813,lookups!B:C,2,FALSE)</f>
        <v>TBD</v>
      </c>
      <c r="N813" s="89" t="str">
        <f>VLOOKUP(K813,TeamLookup[],2,0)</f>
        <v>Cyber</v>
      </c>
      <c r="O813" s="84" t="e">
        <f>VLOOKUP(VALUE($S813),lookups!I:J,2,FALSE)</f>
        <v>#N/A</v>
      </c>
      <c r="P813" s="84" t="e">
        <f>VLOOKUP(VALUE($S813),lookups!F:G,2,FALSE)</f>
        <v>#N/A</v>
      </c>
      <c r="Q813" s="84" t="str">
        <f t="shared" si="48"/>
        <v>ParentNotInCyberQuery</v>
      </c>
      <c r="R813" s="84" t="str">
        <f t="shared" si="49"/>
        <v>MT</v>
      </c>
      <c r="S813" s="84">
        <f t="shared" si="50"/>
        <v>1000471</v>
      </c>
      <c r="T813" s="84">
        <f t="shared" si="51"/>
        <v>1000484</v>
      </c>
    </row>
    <row r="814" spans="1:20" ht="28.8" x14ac:dyDescent="0.3">
      <c r="B814" s="84">
        <v>1000477</v>
      </c>
      <c r="C814" s="85">
        <v>1000471</v>
      </c>
      <c r="D814" s="84" t="s">
        <v>6</v>
      </c>
      <c r="E814" s="84" t="s">
        <v>7</v>
      </c>
      <c r="F814" s="86" t="s">
        <v>373</v>
      </c>
      <c r="G814" s="87" t="s">
        <v>1388</v>
      </c>
      <c r="H814" s="87">
        <v>5</v>
      </c>
      <c r="I814" s="84"/>
      <c r="J814" s="84" t="s">
        <v>374</v>
      </c>
      <c r="K814" s="84" t="s">
        <v>1614</v>
      </c>
      <c r="L814" s="84" t="s">
        <v>8</v>
      </c>
      <c r="M814" s="88" t="str">
        <f>VLOOKUP(L814,lookups!B:C,2,FALSE)</f>
        <v>TBD</v>
      </c>
      <c r="N814" s="89" t="str">
        <f>VLOOKUP(K814,TeamLookup[],2,0)</f>
        <v>Cyber</v>
      </c>
      <c r="O814" s="84" t="e">
        <f>VLOOKUP(VALUE($S814),lookups!I:J,2,FALSE)</f>
        <v>#N/A</v>
      </c>
      <c r="P814" s="84" t="e">
        <f>VLOOKUP(VALUE($S814),lookups!F:G,2,FALSE)</f>
        <v>#N/A</v>
      </c>
      <c r="Q814" s="84" t="str">
        <f t="shared" si="48"/>
        <v>ParentNotInCyberQuery</v>
      </c>
      <c r="R814" s="84" t="str">
        <f t="shared" si="49"/>
        <v>MT</v>
      </c>
      <c r="S814" s="84">
        <f t="shared" si="50"/>
        <v>1000471</v>
      </c>
      <c r="T814" s="84">
        <f t="shared" si="51"/>
        <v>1000477</v>
      </c>
    </row>
    <row r="815" spans="1:20" x14ac:dyDescent="0.3">
      <c r="B815" s="84">
        <v>1002358</v>
      </c>
      <c r="C815" s="85">
        <v>1002345</v>
      </c>
      <c r="D815" s="84" t="s">
        <v>6</v>
      </c>
      <c r="E815" s="84" t="s">
        <v>7</v>
      </c>
      <c r="F815" s="86" t="s">
        <v>293</v>
      </c>
      <c r="G815" s="87" t="s">
        <v>1388</v>
      </c>
      <c r="H815" s="87">
        <v>5</v>
      </c>
      <c r="I815" s="89"/>
      <c r="J815" s="89" t="s">
        <v>291</v>
      </c>
      <c r="K815" s="89" t="s">
        <v>1614</v>
      </c>
      <c r="L815" s="84" t="s">
        <v>8</v>
      </c>
      <c r="M815" s="88" t="str">
        <f>VLOOKUP(L815,lookups!B:C,2,FALSE)</f>
        <v>TBD</v>
      </c>
      <c r="N815" s="89" t="str">
        <f>VLOOKUP(K815,TeamLookup[],2,0)</f>
        <v>Cyber</v>
      </c>
      <c r="O815" s="84">
        <f>VLOOKUP(VALUE($S815),lookups!I:J,2,FALSE)</f>
        <v>39</v>
      </c>
      <c r="P815" s="84" t="e">
        <f>VLOOKUP(VALUE($S815),lookups!F:G,2,FALSE)</f>
        <v>#N/A</v>
      </c>
      <c r="Q815" s="84" t="str">
        <f t="shared" si="48"/>
        <v>ParentNotInCyberQuery</v>
      </c>
      <c r="R815" s="84" t="str">
        <f t="shared" si="49"/>
        <v>MT</v>
      </c>
      <c r="S815" s="84">
        <f t="shared" si="50"/>
        <v>1002345</v>
      </c>
      <c r="T815" s="84">
        <f t="shared" si="51"/>
        <v>1002358</v>
      </c>
    </row>
    <row r="816" spans="1:20" x14ac:dyDescent="0.3">
      <c r="A816" s="96"/>
      <c r="B816" s="84">
        <v>1002351</v>
      </c>
      <c r="C816" s="85">
        <v>1002345</v>
      </c>
      <c r="D816" s="84" t="s">
        <v>6</v>
      </c>
      <c r="E816" s="84" t="s">
        <v>7</v>
      </c>
      <c r="F816" s="86" t="s">
        <v>294</v>
      </c>
      <c r="G816" s="87" t="s">
        <v>1388</v>
      </c>
      <c r="H816" s="87">
        <v>5</v>
      </c>
      <c r="I816" s="89"/>
      <c r="J816" s="89" t="s">
        <v>292</v>
      </c>
      <c r="K816" s="89" t="s">
        <v>1614</v>
      </c>
      <c r="L816" s="84" t="s">
        <v>8</v>
      </c>
      <c r="M816" s="88" t="str">
        <f>VLOOKUP(L816,lookups!B:C,2,FALSE)</f>
        <v>TBD</v>
      </c>
      <c r="N816" s="89" t="str">
        <f>VLOOKUP(K816,TeamLookup[],2,0)</f>
        <v>Cyber</v>
      </c>
      <c r="O816" s="84">
        <f>VLOOKUP(VALUE($S816),lookups!I:J,2,FALSE)</f>
        <v>39</v>
      </c>
      <c r="P816" s="84" t="e">
        <f>VLOOKUP(VALUE($S816),lookups!F:G,2,FALSE)</f>
        <v>#N/A</v>
      </c>
      <c r="Q816" s="84" t="str">
        <f t="shared" si="48"/>
        <v>ParentNotInCyberQuery</v>
      </c>
      <c r="R816" s="84" t="str">
        <f t="shared" si="49"/>
        <v>MT</v>
      </c>
      <c r="S816" s="84">
        <f t="shared" si="50"/>
        <v>1002345</v>
      </c>
      <c r="T816" s="84">
        <f t="shared" si="51"/>
        <v>1002351</v>
      </c>
    </row>
    <row r="817" spans="1:20" ht="28.8" x14ac:dyDescent="0.3">
      <c r="B817" s="84">
        <v>1004095</v>
      </c>
      <c r="C817" s="85">
        <v>1004094</v>
      </c>
      <c r="D817" s="84" t="s">
        <v>6</v>
      </c>
      <c r="E817" s="84" t="s">
        <v>7</v>
      </c>
      <c r="F817" s="86" t="s">
        <v>301</v>
      </c>
      <c r="G817" s="87" t="s">
        <v>1388</v>
      </c>
      <c r="H817" s="87">
        <v>5</v>
      </c>
      <c r="I817" s="84"/>
      <c r="J817" s="84"/>
      <c r="K817" s="84" t="s">
        <v>1614</v>
      </c>
      <c r="L817" s="84" t="s">
        <v>8</v>
      </c>
      <c r="M817" s="88" t="str">
        <f>VLOOKUP(L817,lookups!B:C,2,FALSE)</f>
        <v>TBD</v>
      </c>
      <c r="N817" s="89" t="str">
        <f>VLOOKUP(K817,TeamLookup[],2,0)</f>
        <v>Cyber</v>
      </c>
      <c r="O817" s="84" t="e">
        <f>VLOOKUP(VALUE($S817),lookups!I:J,2,FALSE)</f>
        <v>#N/A</v>
      </c>
      <c r="P817" s="84" t="e">
        <f>VLOOKUP(VALUE($S817),lookups!F:G,2,FALSE)</f>
        <v>#N/A</v>
      </c>
      <c r="Q817" s="84" t="str">
        <f t="shared" si="48"/>
        <v>ParentNotInCyberQuery</v>
      </c>
      <c r="R817" s="84" t="str">
        <f t="shared" si="49"/>
        <v>MT</v>
      </c>
      <c r="S817" s="84">
        <f t="shared" si="50"/>
        <v>1004094</v>
      </c>
      <c r="T817" s="84">
        <f t="shared" si="51"/>
        <v>1004095</v>
      </c>
    </row>
    <row r="818" spans="1:20" x14ac:dyDescent="0.3">
      <c r="B818" s="84">
        <v>1023524</v>
      </c>
      <c r="C818" s="85">
        <v>1004171</v>
      </c>
      <c r="D818" s="84" t="s">
        <v>6</v>
      </c>
      <c r="E818" s="84" t="s">
        <v>345</v>
      </c>
      <c r="F818" s="86" t="s">
        <v>1621</v>
      </c>
      <c r="G818" s="87" t="s">
        <v>258</v>
      </c>
      <c r="H818" s="87">
        <v>2</v>
      </c>
      <c r="I818" s="89"/>
      <c r="J818" s="89"/>
      <c r="K818" s="89" t="s">
        <v>1614</v>
      </c>
      <c r="L818" s="84" t="s">
        <v>214</v>
      </c>
      <c r="M818" s="88" t="str">
        <f>VLOOKUP(L818,lookups!B:C,2,FALSE)</f>
        <v>Dave G</v>
      </c>
      <c r="N818" s="89" t="str">
        <f>VLOOKUP(K818,TeamLookup[],2,0)</f>
        <v>Cyber</v>
      </c>
      <c r="O818" s="84">
        <f>VLOOKUP(VALUE($S818),lookups!I:J,2,FALSE)</f>
        <v>47</v>
      </c>
      <c r="P818" s="84" t="e">
        <f>VLOOKUP(VALUE($S818),lookups!F:G,2,FALSE)</f>
        <v>#N/A</v>
      </c>
      <c r="Q818" s="84" t="str">
        <f t="shared" si="48"/>
        <v>ParentNotInCyberQuery</v>
      </c>
      <c r="R818" s="84" t="str">
        <f t="shared" si="49"/>
        <v>MT</v>
      </c>
      <c r="S818" s="84">
        <f t="shared" si="50"/>
        <v>1004171</v>
      </c>
      <c r="T818" s="84">
        <f t="shared" si="51"/>
        <v>1023524</v>
      </c>
    </row>
    <row r="819" spans="1:20" ht="28.8" x14ac:dyDescent="0.3">
      <c r="B819" s="84">
        <v>1018060</v>
      </c>
      <c r="C819" s="85">
        <v>1005321</v>
      </c>
      <c r="D819" s="84" t="s">
        <v>6</v>
      </c>
      <c r="E819" s="84" t="s">
        <v>345</v>
      </c>
      <c r="F819" s="86" t="s">
        <v>299</v>
      </c>
      <c r="G819" s="87" t="s">
        <v>256</v>
      </c>
      <c r="H819" s="87">
        <v>3</v>
      </c>
      <c r="I819" s="89" t="s">
        <v>48</v>
      </c>
      <c r="J819" s="89"/>
      <c r="K819" s="89" t="s">
        <v>1614</v>
      </c>
      <c r="L819" s="84" t="s">
        <v>1375</v>
      </c>
      <c r="M819" s="88" t="str">
        <f>VLOOKUP(L819,lookups!B:C,2,FALSE)</f>
        <v>Kirk</v>
      </c>
      <c r="N819" s="89" t="str">
        <f>VLOOKUP(K819,TeamLookup[],2,0)</f>
        <v>Cyber</v>
      </c>
      <c r="O819" s="84">
        <f>VLOOKUP(VALUE($S819),lookups!I:J,2,FALSE)</f>
        <v>18</v>
      </c>
      <c r="P819" s="84" t="e">
        <f>VLOOKUP(VALUE($S819),lookups!F:G,2,FALSE)</f>
        <v>#N/A</v>
      </c>
      <c r="Q819" s="84" t="str">
        <f t="shared" si="48"/>
        <v>ParentNotInCyberQuery</v>
      </c>
      <c r="R819" s="84" t="str">
        <f t="shared" si="49"/>
        <v>MT</v>
      </c>
      <c r="S819" s="84">
        <f t="shared" si="50"/>
        <v>1005321</v>
      </c>
      <c r="T819" s="84">
        <f t="shared" si="51"/>
        <v>1018060</v>
      </c>
    </row>
    <row r="820" spans="1:20" ht="28.8" x14ac:dyDescent="0.3">
      <c r="B820" s="84">
        <v>1005333</v>
      </c>
      <c r="C820" s="85">
        <v>1005321</v>
      </c>
      <c r="D820" s="84" t="s">
        <v>6</v>
      </c>
      <c r="E820" s="84" t="s">
        <v>345</v>
      </c>
      <c r="F820" s="86" t="s">
        <v>299</v>
      </c>
      <c r="G820" s="87" t="s">
        <v>256</v>
      </c>
      <c r="H820" s="87">
        <v>3</v>
      </c>
      <c r="I820" s="89" t="s">
        <v>48</v>
      </c>
      <c r="J820" s="89"/>
      <c r="K820" s="89" t="s">
        <v>1614</v>
      </c>
      <c r="L820" s="84" t="s">
        <v>1342</v>
      </c>
      <c r="M820" s="88" t="str">
        <f>VLOOKUP(L820,lookups!B:C,2,FALSE)</f>
        <v>John</v>
      </c>
      <c r="N820" s="89" t="str">
        <f>VLOOKUP(K820,TeamLookup[],2,0)</f>
        <v>Cyber</v>
      </c>
      <c r="O820" s="84">
        <f>VLOOKUP(VALUE($S820),lookups!I:J,2,FALSE)</f>
        <v>18</v>
      </c>
      <c r="P820" s="84" t="e">
        <f>VLOOKUP(VALUE($S820),lookups!F:G,2,FALSE)</f>
        <v>#N/A</v>
      </c>
      <c r="Q820" s="84" t="str">
        <f t="shared" si="48"/>
        <v>ParentNotInCyberQuery</v>
      </c>
      <c r="R820" s="84" t="str">
        <f t="shared" si="49"/>
        <v>MT</v>
      </c>
      <c r="S820" s="84">
        <f t="shared" si="50"/>
        <v>1005321</v>
      </c>
      <c r="T820" s="84">
        <f t="shared" si="51"/>
        <v>1005333</v>
      </c>
    </row>
    <row r="821" spans="1:20" x14ac:dyDescent="0.3">
      <c r="B821" s="84">
        <v>1012000</v>
      </c>
      <c r="C821" s="85">
        <v>1005740</v>
      </c>
      <c r="D821" s="84" t="s">
        <v>6</v>
      </c>
      <c r="E821" s="84" t="s">
        <v>345</v>
      </c>
      <c r="F821" s="86" t="s">
        <v>1336</v>
      </c>
      <c r="G821" s="87" t="s">
        <v>267</v>
      </c>
      <c r="H821" s="87">
        <v>1</v>
      </c>
      <c r="I821" s="89"/>
      <c r="J821" s="89"/>
      <c r="K821" s="89" t="s">
        <v>1614</v>
      </c>
      <c r="L821" s="84" t="s">
        <v>37</v>
      </c>
      <c r="M821" s="88" t="str">
        <f>VLOOKUP(L821,lookups!B:C,2,FALSE)</f>
        <v>Kent</v>
      </c>
      <c r="N821" s="89" t="str">
        <f>VLOOKUP(K821,TeamLookup[],2,0)</f>
        <v>Cyber</v>
      </c>
      <c r="O821" s="84" t="e">
        <f>VLOOKUP(VALUE($S821),lookups!I:J,2,FALSE)</f>
        <v>#N/A</v>
      </c>
      <c r="P821" s="84" t="e">
        <f>VLOOKUP(VALUE($S821),lookups!F:G,2,FALSE)</f>
        <v>#N/A</v>
      </c>
      <c r="Q821" s="84" t="str">
        <f t="shared" si="48"/>
        <v>ParentNotInCyberQuery</v>
      </c>
      <c r="R821" s="84" t="str">
        <f t="shared" si="49"/>
        <v>MT</v>
      </c>
      <c r="S821" s="84">
        <f t="shared" si="50"/>
        <v>1005740</v>
      </c>
      <c r="T821" s="84">
        <f t="shared" si="51"/>
        <v>1012000</v>
      </c>
    </row>
    <row r="822" spans="1:20" x14ac:dyDescent="0.3">
      <c r="B822" s="84">
        <v>1017327</v>
      </c>
      <c r="C822" s="85">
        <v>1005740</v>
      </c>
      <c r="D822" s="84" t="s">
        <v>6</v>
      </c>
      <c r="E822" s="84" t="s">
        <v>345</v>
      </c>
      <c r="F822" s="86" t="s">
        <v>1336</v>
      </c>
      <c r="G822" s="87" t="s">
        <v>262</v>
      </c>
      <c r="H822" s="87">
        <v>1</v>
      </c>
      <c r="I822" s="84"/>
      <c r="J822" s="84"/>
      <c r="K822" s="84" t="s">
        <v>1614</v>
      </c>
      <c r="L822" s="84" t="s">
        <v>37</v>
      </c>
      <c r="M822" s="88" t="str">
        <f>VLOOKUP(L822,lookups!B:C,2,FALSE)</f>
        <v>Kent</v>
      </c>
      <c r="N822" s="89" t="str">
        <f>VLOOKUP(K822,TeamLookup[],2,0)</f>
        <v>Cyber</v>
      </c>
      <c r="O822" s="84" t="e">
        <f>VLOOKUP(VALUE($S822),lookups!I:J,2,FALSE)</f>
        <v>#N/A</v>
      </c>
      <c r="P822" s="84" t="e">
        <f>VLOOKUP(VALUE($S822),lookups!F:G,2,FALSE)</f>
        <v>#N/A</v>
      </c>
      <c r="Q822" s="84" t="str">
        <f t="shared" si="48"/>
        <v>ParentNotInCyberQuery</v>
      </c>
      <c r="R822" s="84" t="str">
        <f t="shared" si="49"/>
        <v>MT</v>
      </c>
      <c r="S822" s="84">
        <f t="shared" si="50"/>
        <v>1005740</v>
      </c>
      <c r="T822" s="84">
        <f t="shared" si="51"/>
        <v>1017327</v>
      </c>
    </row>
    <row r="823" spans="1:20" ht="28.2" customHeight="1" x14ac:dyDescent="0.3">
      <c r="B823" s="84">
        <v>1016459</v>
      </c>
      <c r="C823" s="85">
        <v>1006191</v>
      </c>
      <c r="D823" s="84" t="s">
        <v>6</v>
      </c>
      <c r="E823" s="84" t="s">
        <v>345</v>
      </c>
      <c r="F823" s="86" t="s">
        <v>1443</v>
      </c>
      <c r="G823" s="87" t="s">
        <v>260</v>
      </c>
      <c r="H823" s="87">
        <v>2</v>
      </c>
      <c r="I823" s="89"/>
      <c r="J823" s="89"/>
      <c r="K823" s="89" t="s">
        <v>1614</v>
      </c>
      <c r="L823" s="84" t="s">
        <v>107</v>
      </c>
      <c r="M823" s="88" t="str">
        <f>VLOOKUP(L823,lookups!B:C,2,FALSE)</f>
        <v>Chris</v>
      </c>
      <c r="N823" s="89" t="str">
        <f>VLOOKUP(K823,TeamLookup[],2,0)</f>
        <v>Cyber</v>
      </c>
      <c r="O823" s="84">
        <f>VLOOKUP(VALUE($S823),lookups!I:J,2,FALSE)</f>
        <v>61</v>
      </c>
      <c r="P823" s="84" t="e">
        <f>VLOOKUP(VALUE($S823),lookups!F:G,2,FALSE)</f>
        <v>#N/A</v>
      </c>
      <c r="Q823" s="84" t="str">
        <f t="shared" si="48"/>
        <v>ParentNotInCyberQuery</v>
      </c>
      <c r="R823" s="84" t="str">
        <f t="shared" si="49"/>
        <v>MT</v>
      </c>
      <c r="S823" s="84">
        <f t="shared" si="50"/>
        <v>1006191</v>
      </c>
      <c r="T823" s="84">
        <f t="shared" si="51"/>
        <v>1016459</v>
      </c>
    </row>
    <row r="824" spans="1:20" ht="28.8" x14ac:dyDescent="0.3">
      <c r="B824" s="84">
        <v>1020278</v>
      </c>
      <c r="C824" s="85">
        <v>1006191</v>
      </c>
      <c r="D824" s="84" t="s">
        <v>6</v>
      </c>
      <c r="E824" s="84" t="s">
        <v>345</v>
      </c>
      <c r="F824" s="86" t="s">
        <v>1442</v>
      </c>
      <c r="G824" s="87" t="s">
        <v>259</v>
      </c>
      <c r="H824" s="87">
        <v>2</v>
      </c>
      <c r="I824" s="89"/>
      <c r="J824" s="89"/>
      <c r="K824" s="89" t="s">
        <v>1614</v>
      </c>
      <c r="L824" s="84" t="s">
        <v>37</v>
      </c>
      <c r="M824" s="88" t="str">
        <f>VLOOKUP(L824,lookups!B:C,2,FALSE)</f>
        <v>Kent</v>
      </c>
      <c r="N824" s="89" t="str">
        <f>VLOOKUP(K824,TeamLookup[],2,0)</f>
        <v>Cyber</v>
      </c>
      <c r="O824" s="84">
        <f>VLOOKUP(VALUE($S824),lookups!I:J,2,FALSE)</f>
        <v>61</v>
      </c>
      <c r="P824" s="84" t="e">
        <f>VLOOKUP(VALUE($S824),lookups!F:G,2,FALSE)</f>
        <v>#N/A</v>
      </c>
      <c r="Q824" s="84" t="str">
        <f t="shared" si="48"/>
        <v>ParentNotInCyberQuery</v>
      </c>
      <c r="R824" s="84" t="str">
        <f t="shared" si="49"/>
        <v>MT</v>
      </c>
      <c r="S824" s="84">
        <f t="shared" si="50"/>
        <v>1006191</v>
      </c>
      <c r="T824" s="84">
        <f t="shared" si="51"/>
        <v>1020278</v>
      </c>
    </row>
    <row r="825" spans="1:20" ht="28.8" x14ac:dyDescent="0.3">
      <c r="B825" s="84">
        <v>1016460</v>
      </c>
      <c r="C825" s="85">
        <v>1006191</v>
      </c>
      <c r="D825" s="84" t="s">
        <v>6</v>
      </c>
      <c r="E825" s="84" t="s">
        <v>345</v>
      </c>
      <c r="F825" s="86" t="s">
        <v>1442</v>
      </c>
      <c r="G825" s="87" t="s">
        <v>259</v>
      </c>
      <c r="H825" s="87">
        <v>2</v>
      </c>
      <c r="I825" s="84"/>
      <c r="J825" s="84"/>
      <c r="K825" s="84" t="s">
        <v>1614</v>
      </c>
      <c r="L825" s="84" t="s">
        <v>107</v>
      </c>
      <c r="M825" s="88" t="str">
        <f>VLOOKUP(L825,lookups!B:C,2,FALSE)</f>
        <v>Chris</v>
      </c>
      <c r="N825" s="89" t="str">
        <f>VLOOKUP(K825,TeamLookup[],2,0)</f>
        <v>Cyber</v>
      </c>
      <c r="O825" s="84">
        <f>VLOOKUP(VALUE($S825),lookups!I:J,2,FALSE)</f>
        <v>61</v>
      </c>
      <c r="P825" s="84" t="e">
        <f>VLOOKUP(VALUE($S825),lookups!F:G,2,FALSE)</f>
        <v>#N/A</v>
      </c>
      <c r="Q825" s="84" t="str">
        <f t="shared" si="48"/>
        <v>ParentNotInCyberQuery</v>
      </c>
      <c r="R825" s="84" t="str">
        <f t="shared" si="49"/>
        <v>MT</v>
      </c>
      <c r="S825" s="84">
        <f t="shared" si="50"/>
        <v>1006191</v>
      </c>
      <c r="T825" s="84">
        <f t="shared" si="51"/>
        <v>1016460</v>
      </c>
    </row>
    <row r="826" spans="1:20" x14ac:dyDescent="0.3">
      <c r="B826" s="84">
        <v>1018061</v>
      </c>
      <c r="C826" s="85">
        <v>1006191</v>
      </c>
      <c r="D826" s="84" t="s">
        <v>6</v>
      </c>
      <c r="E826" s="84" t="s">
        <v>345</v>
      </c>
      <c r="F826" s="86" t="s">
        <v>1441</v>
      </c>
      <c r="G826" s="87" t="s">
        <v>256</v>
      </c>
      <c r="H826" s="87">
        <v>1</v>
      </c>
      <c r="I826" s="89"/>
      <c r="J826" s="89"/>
      <c r="K826" s="89" t="s">
        <v>1614</v>
      </c>
      <c r="L826" s="84" t="s">
        <v>107</v>
      </c>
      <c r="M826" s="88" t="str">
        <f>VLOOKUP(L826,lookups!B:C,2,FALSE)</f>
        <v>Chris</v>
      </c>
      <c r="N826" s="89" t="str">
        <f>VLOOKUP(K826,TeamLookup[],2,0)</f>
        <v>Cyber</v>
      </c>
      <c r="O826" s="84">
        <f>VLOOKUP(VALUE($S826),lookups!I:J,2,FALSE)</f>
        <v>61</v>
      </c>
      <c r="P826" s="84" t="e">
        <f>VLOOKUP(VALUE($S826),lookups!F:G,2,FALSE)</f>
        <v>#N/A</v>
      </c>
      <c r="Q826" s="84" t="str">
        <f t="shared" si="48"/>
        <v>ParentNotInCyberQuery</v>
      </c>
      <c r="R826" s="84" t="str">
        <f t="shared" si="49"/>
        <v>MT</v>
      </c>
      <c r="S826" s="84">
        <f t="shared" si="50"/>
        <v>1006191</v>
      </c>
      <c r="T826" s="84">
        <f t="shared" si="51"/>
        <v>1018061</v>
      </c>
    </row>
    <row r="827" spans="1:20" x14ac:dyDescent="0.3">
      <c r="B827" s="84">
        <v>1016461</v>
      </c>
      <c r="C827" s="85">
        <v>1006191</v>
      </c>
      <c r="D827" s="84" t="s">
        <v>6</v>
      </c>
      <c r="E827" s="84" t="s">
        <v>345</v>
      </c>
      <c r="F827" s="86" t="s">
        <v>1441</v>
      </c>
      <c r="G827" s="87" t="s">
        <v>256</v>
      </c>
      <c r="H827" s="87">
        <v>1</v>
      </c>
      <c r="I827" s="89"/>
      <c r="J827" s="89"/>
      <c r="K827" s="89" t="s">
        <v>1614</v>
      </c>
      <c r="L827" s="84" t="s">
        <v>37</v>
      </c>
      <c r="M827" s="88" t="str">
        <f>VLOOKUP(L827,lookups!B:C,2,FALSE)</f>
        <v>Kent</v>
      </c>
      <c r="N827" s="89" t="str">
        <f>VLOOKUP(K827,TeamLookup[],2,0)</f>
        <v>Cyber</v>
      </c>
      <c r="O827" s="84">
        <f>VLOOKUP(VALUE($S827),lookups!I:J,2,FALSE)</f>
        <v>61</v>
      </c>
      <c r="P827" s="84" t="e">
        <f>VLOOKUP(VALUE($S827),lookups!F:G,2,FALSE)</f>
        <v>#N/A</v>
      </c>
      <c r="Q827" s="84" t="str">
        <f t="shared" si="48"/>
        <v>ParentNotInCyberQuery</v>
      </c>
      <c r="R827" s="84" t="str">
        <f t="shared" si="49"/>
        <v>MT</v>
      </c>
      <c r="S827" s="84">
        <f t="shared" si="50"/>
        <v>1006191</v>
      </c>
      <c r="T827" s="84">
        <f t="shared" si="51"/>
        <v>1016461</v>
      </c>
    </row>
    <row r="828" spans="1:20" ht="28.8" x14ac:dyDescent="0.3">
      <c r="B828" s="84">
        <v>1016462</v>
      </c>
      <c r="C828" s="85">
        <v>1006191</v>
      </c>
      <c r="D828" s="84" t="s">
        <v>6</v>
      </c>
      <c r="E828" s="84" t="s">
        <v>345</v>
      </c>
      <c r="F828" s="86" t="s">
        <v>1440</v>
      </c>
      <c r="G828" s="87" t="s">
        <v>258</v>
      </c>
      <c r="H828" s="87">
        <v>2</v>
      </c>
      <c r="I828" s="84"/>
      <c r="J828" s="84"/>
      <c r="K828" s="84" t="s">
        <v>1614</v>
      </c>
      <c r="L828" s="84" t="s">
        <v>125</v>
      </c>
      <c r="M828" s="88" t="str">
        <f>VLOOKUP(L828,lookups!B:C,2,FALSE)</f>
        <v>Dave C</v>
      </c>
      <c r="N828" s="89" t="str">
        <f>VLOOKUP(K828,TeamLookup[],2,0)</f>
        <v>Cyber</v>
      </c>
      <c r="O828" s="84">
        <f>VLOOKUP(VALUE($S828),lookups!I:J,2,FALSE)</f>
        <v>61</v>
      </c>
      <c r="P828" s="84" t="e">
        <f>VLOOKUP(VALUE($S828),lookups!F:G,2,FALSE)</f>
        <v>#N/A</v>
      </c>
      <c r="Q828" s="84" t="str">
        <f t="shared" si="48"/>
        <v>ParentNotInCyberQuery</v>
      </c>
      <c r="R828" s="84" t="str">
        <f t="shared" si="49"/>
        <v>MT</v>
      </c>
      <c r="S828" s="84">
        <f t="shared" si="50"/>
        <v>1006191</v>
      </c>
      <c r="T828" s="84">
        <f t="shared" si="51"/>
        <v>1016462</v>
      </c>
    </row>
    <row r="829" spans="1:20" x14ac:dyDescent="0.3">
      <c r="A829" s="96"/>
      <c r="B829" s="84">
        <v>1008032</v>
      </c>
      <c r="C829" s="85">
        <v>1007569</v>
      </c>
      <c r="D829" s="84" t="s">
        <v>6</v>
      </c>
      <c r="E829" s="84" t="s">
        <v>345</v>
      </c>
      <c r="F829" s="86" t="s">
        <v>321</v>
      </c>
      <c r="G829" s="87" t="s">
        <v>265</v>
      </c>
      <c r="H829" s="87">
        <v>1</v>
      </c>
      <c r="I829" s="89"/>
      <c r="J829" s="89"/>
      <c r="K829" s="89" t="s">
        <v>1614</v>
      </c>
      <c r="L829" s="84" t="s">
        <v>37</v>
      </c>
      <c r="M829" s="88" t="str">
        <f>VLOOKUP(L829,lookups!B:C,2,FALSE)</f>
        <v>Kent</v>
      </c>
      <c r="N829" s="89" t="str">
        <f>VLOOKUP(K829,TeamLookup[],2,0)</f>
        <v>Cyber</v>
      </c>
      <c r="O829" s="84" t="e">
        <f>VLOOKUP(VALUE($S829),lookups!I:J,2,FALSE)</f>
        <v>#N/A</v>
      </c>
      <c r="P829" s="84" t="e">
        <f>VLOOKUP(VALUE($S829),lookups!F:G,2,FALSE)</f>
        <v>#N/A</v>
      </c>
      <c r="Q829" s="84" t="str">
        <f t="shared" si="48"/>
        <v>ParentNotInCyberQuery</v>
      </c>
      <c r="R829" s="84" t="str">
        <f t="shared" si="49"/>
        <v>MT</v>
      </c>
      <c r="S829" s="84">
        <f t="shared" si="50"/>
        <v>1007569</v>
      </c>
      <c r="T829" s="84">
        <f t="shared" si="51"/>
        <v>1008032</v>
      </c>
    </row>
    <row r="830" spans="1:20" x14ac:dyDescent="0.3">
      <c r="B830" s="84">
        <v>1008512</v>
      </c>
      <c r="C830" s="85">
        <v>1008506</v>
      </c>
      <c r="D830" s="84" t="s">
        <v>6</v>
      </c>
      <c r="E830" s="84" t="s">
        <v>7</v>
      </c>
      <c r="F830" s="86" t="s">
        <v>1681</v>
      </c>
      <c r="G830" s="87" t="s">
        <v>353</v>
      </c>
      <c r="H830" s="87">
        <v>1</v>
      </c>
      <c r="I830" s="89"/>
      <c r="J830" s="89"/>
      <c r="K830" s="89" t="s">
        <v>1614</v>
      </c>
      <c r="L830" s="84" t="s">
        <v>8</v>
      </c>
      <c r="M830" s="88" t="str">
        <f>VLOOKUP(L830,lookups!B:C,2,FALSE)</f>
        <v>TBD</v>
      </c>
      <c r="N830" s="89" t="str">
        <f>VLOOKUP(K830,TeamLookup[],2,0)</f>
        <v>Cyber</v>
      </c>
      <c r="O830" s="84">
        <f>VLOOKUP(VALUE($S830),lookups!I:J,2,FALSE)</f>
        <v>38</v>
      </c>
      <c r="P830" s="84" t="e">
        <f>VLOOKUP(VALUE($S830),lookups!F:G,2,FALSE)</f>
        <v>#N/A</v>
      </c>
      <c r="Q830" s="84" t="str">
        <f t="shared" si="48"/>
        <v>ParentNotInCyberQuery</v>
      </c>
      <c r="R830" s="84" t="str">
        <f t="shared" si="49"/>
        <v>MT</v>
      </c>
      <c r="S830" s="84">
        <f t="shared" si="50"/>
        <v>1008506</v>
      </c>
      <c r="T830" s="84">
        <f t="shared" si="51"/>
        <v>1008512</v>
      </c>
    </row>
    <row r="831" spans="1:20" x14ac:dyDescent="0.3">
      <c r="B831" s="84">
        <v>1011043</v>
      </c>
      <c r="C831" s="85">
        <v>1011025</v>
      </c>
      <c r="D831" s="84" t="s">
        <v>6</v>
      </c>
      <c r="E831" s="84" t="s">
        <v>7</v>
      </c>
      <c r="F831" s="86" t="s">
        <v>1307</v>
      </c>
      <c r="G831" s="87" t="s">
        <v>1308</v>
      </c>
      <c r="H831" s="87">
        <v>1</v>
      </c>
      <c r="I831" s="89"/>
      <c r="J831" s="89" t="s">
        <v>1309</v>
      </c>
      <c r="K831" s="89" t="s">
        <v>1614</v>
      </c>
      <c r="L831" s="84" t="s">
        <v>8</v>
      </c>
      <c r="M831" s="88" t="str">
        <f>VLOOKUP(L831,lookups!B:C,2,FALSE)</f>
        <v>TBD</v>
      </c>
      <c r="N831" s="89" t="str">
        <f>VLOOKUP(K831,TeamLookup[],2,0)</f>
        <v>Cyber</v>
      </c>
      <c r="O831" s="84" t="e">
        <f>VLOOKUP(VALUE($S831),lookups!I:J,2,FALSE)</f>
        <v>#N/A</v>
      </c>
      <c r="P831" s="84" t="e">
        <f>VLOOKUP(VALUE($S831),lookups!F:G,2,FALSE)</f>
        <v>#N/A</v>
      </c>
      <c r="Q831" s="84" t="str">
        <f t="shared" si="48"/>
        <v>ParentNotInCyberQuery</v>
      </c>
      <c r="R831" s="84" t="str">
        <f t="shared" si="49"/>
        <v>MT</v>
      </c>
      <c r="S831" s="84">
        <f t="shared" si="50"/>
        <v>1011025</v>
      </c>
      <c r="T831" s="84">
        <f t="shared" si="51"/>
        <v>1011043</v>
      </c>
    </row>
    <row r="832" spans="1:20" x14ac:dyDescent="0.3">
      <c r="B832" s="84">
        <v>1011042</v>
      </c>
      <c r="C832" s="85">
        <v>1011025</v>
      </c>
      <c r="D832" s="84" t="s">
        <v>6</v>
      </c>
      <c r="E832" s="84" t="s">
        <v>7</v>
      </c>
      <c r="F832" s="86" t="s">
        <v>1310</v>
      </c>
      <c r="G832" s="87" t="s">
        <v>1308</v>
      </c>
      <c r="H832" s="87">
        <v>1</v>
      </c>
      <c r="I832" s="89"/>
      <c r="J832" s="89" t="s">
        <v>1311</v>
      </c>
      <c r="K832" s="89" t="s">
        <v>1614</v>
      </c>
      <c r="L832" s="84" t="s">
        <v>8</v>
      </c>
      <c r="M832" s="88" t="str">
        <f>VLOOKUP(L832,lookups!B:C,2,FALSE)</f>
        <v>TBD</v>
      </c>
      <c r="N832" s="89" t="str">
        <f>VLOOKUP(K832,TeamLookup[],2,0)</f>
        <v>Cyber</v>
      </c>
      <c r="O832" s="84" t="e">
        <f>VLOOKUP(VALUE($S832),lookups!I:J,2,FALSE)</f>
        <v>#N/A</v>
      </c>
      <c r="P832" s="84" t="e">
        <f>VLOOKUP(VALUE($S832),lookups!F:G,2,FALSE)</f>
        <v>#N/A</v>
      </c>
      <c r="Q832" s="84" t="str">
        <f t="shared" si="48"/>
        <v>ParentNotInCyberQuery</v>
      </c>
      <c r="R832" s="84" t="str">
        <f t="shared" si="49"/>
        <v>MT</v>
      </c>
      <c r="S832" s="84">
        <f t="shared" si="50"/>
        <v>1011025</v>
      </c>
      <c r="T832" s="84">
        <f t="shared" si="51"/>
        <v>1011042</v>
      </c>
    </row>
    <row r="833" spans="1:20" ht="28.8" x14ac:dyDescent="0.3">
      <c r="B833" s="84">
        <v>1011041</v>
      </c>
      <c r="C833" s="85">
        <v>1011025</v>
      </c>
      <c r="D833" s="84" t="s">
        <v>6</v>
      </c>
      <c r="E833" s="84" t="s">
        <v>7</v>
      </c>
      <c r="F833" s="86" t="s">
        <v>1312</v>
      </c>
      <c r="G833" s="87" t="s">
        <v>1308</v>
      </c>
      <c r="H833" s="87">
        <v>2</v>
      </c>
      <c r="I833" s="89"/>
      <c r="J833" s="89" t="s">
        <v>1313</v>
      </c>
      <c r="K833" s="89" t="s">
        <v>1614</v>
      </c>
      <c r="L833" s="84" t="s">
        <v>8</v>
      </c>
      <c r="M833" s="88" t="str">
        <f>VLOOKUP(L833,lookups!B:C,2,FALSE)</f>
        <v>TBD</v>
      </c>
      <c r="N833" s="89" t="str">
        <f>VLOOKUP(K833,TeamLookup[],2,0)</f>
        <v>Cyber</v>
      </c>
      <c r="O833" s="84" t="e">
        <f>VLOOKUP(VALUE($S833),lookups!I:J,2,FALSE)</f>
        <v>#N/A</v>
      </c>
      <c r="P833" s="84" t="e">
        <f>VLOOKUP(VALUE($S833),lookups!F:G,2,FALSE)</f>
        <v>#N/A</v>
      </c>
      <c r="Q833" s="84" t="str">
        <f t="shared" si="48"/>
        <v>ParentNotInCyberQuery</v>
      </c>
      <c r="R833" s="84" t="str">
        <f t="shared" si="49"/>
        <v>MT</v>
      </c>
      <c r="S833" s="84">
        <f t="shared" si="50"/>
        <v>1011025</v>
      </c>
      <c r="T833" s="84">
        <f t="shared" si="51"/>
        <v>1011041</v>
      </c>
    </row>
    <row r="834" spans="1:20" ht="28.8" x14ac:dyDescent="0.3">
      <c r="B834" s="84">
        <v>1011040</v>
      </c>
      <c r="C834" s="85">
        <v>1011025</v>
      </c>
      <c r="D834" s="84" t="s">
        <v>6</v>
      </c>
      <c r="E834" s="84" t="s">
        <v>7</v>
      </c>
      <c r="F834" s="86" t="s">
        <v>1314</v>
      </c>
      <c r="G834" s="87" t="s">
        <v>1308</v>
      </c>
      <c r="H834" s="87">
        <v>0</v>
      </c>
      <c r="I834" s="89"/>
      <c r="J834" s="89" t="s">
        <v>1313</v>
      </c>
      <c r="K834" s="89" t="s">
        <v>1614</v>
      </c>
      <c r="L834" s="84" t="s">
        <v>8</v>
      </c>
      <c r="M834" s="88" t="str">
        <f>VLOOKUP(L834,lookups!B:C,2,FALSE)</f>
        <v>TBD</v>
      </c>
      <c r="N834" s="89" t="str">
        <f>VLOOKUP(K834,TeamLookup[],2,0)</f>
        <v>Cyber</v>
      </c>
      <c r="O834" s="84" t="e">
        <f>VLOOKUP(VALUE($S834),lookups!I:J,2,FALSE)</f>
        <v>#N/A</v>
      </c>
      <c r="P834" s="84" t="e">
        <f>VLOOKUP(VALUE($S834),lookups!F:G,2,FALSE)</f>
        <v>#N/A</v>
      </c>
      <c r="Q834" s="84" t="str">
        <f t="shared" ref="Q834:Q897" si="52">IF($B834="","ZeroEntry",
IF($D834="Program Epic","",
IF(OR($D834="Feature",$D834="Story",$D834="Task"),
  IF($C834="","Missing_ParentEntry",
IF(ISERROR(MATCH(VALUE($C834),$B:$B,0)),"ParentNotInCyberQuery",
IF(AND($D834="Story",VLOOKUP(VALUE($C834),$B:$D,3,FALSE)&lt;&gt;"Feature"),"Warning: StoryParentIs_"&amp;VLOOKUP(VALUE($C834),$B:$D,3,FALSE)&amp;"_NotFeature",
IF(AND(OR($D834="Story",$D834="Task"),VLOOKUP(VALUE($C834),$B:$C,2,FALSE)=""),"MissingGrandparent",
IF(AND($D834="Feature",ISERROR(MATCH("#"&amp;$B834,$C:$C,0))),"FeatureHasNoStories",
IF(AND($D834="Feature",VLOOKUP(VALUE($C834),$B:$D,3,FALSE)&lt;&gt;"Program Epic"),"FeatureParentIs_"&amp;VLOOKUP(VALUE($C834),$B:$D,3,FALSE)&amp;"_NotEpic","")))))),"")))</f>
        <v>ParentNotInCyberQuery</v>
      </c>
      <c r="R834" s="84" t="str">
        <f t="shared" ref="R834:R897" si="53">IF(AND($Q834&lt;&gt;"FeatureHasNoStories","Warning: StoryParentIs_Program Epic_NotFeature"&lt;&gt;$Q834,$Q834&lt;&gt;"ParentNotInCyberQuery",$Q834&lt;&gt;""),$Q834,
IF($D834="Program Epic",B834,
IF($D834="Feature",VALUE($C834),
IF("Warning: StoryParentIs_Program Epic_NotFeature"=$Q834,VALUE($C834),
IF(AND($D834="Story",$Q834="ParentNotInCyberQuery"),"MT",
IF($C834=0,"N/A",
IF(OR($D834="Story",$D834="Task"),VALUE(VLOOKUP(VALUE($C834),$B:$C,2,FALSE)),"N/A")))))))</f>
        <v>MT</v>
      </c>
      <c r="S834" s="84">
        <f t="shared" ref="S834:S897" si="54">IF($D834="Program Epic",0,
IF($D834="Feature",$B834,
IF($C834=0,"NoParentFeature",VALUE($C834))))</f>
        <v>1011025</v>
      </c>
      <c r="T834" s="84">
        <f t="shared" ref="T834:T897" si="55">IF(OR($D834="Story",$D834="Task"),$B834,0)</f>
        <v>1011040</v>
      </c>
    </row>
    <row r="835" spans="1:20" x14ac:dyDescent="0.3">
      <c r="B835" s="84">
        <v>1011039</v>
      </c>
      <c r="C835" s="85">
        <v>1011025</v>
      </c>
      <c r="D835" s="84" t="s">
        <v>6</v>
      </c>
      <c r="E835" s="84" t="s">
        <v>7</v>
      </c>
      <c r="F835" s="86" t="s">
        <v>1315</v>
      </c>
      <c r="G835" s="87" t="s">
        <v>1308</v>
      </c>
      <c r="H835" s="87">
        <v>0</v>
      </c>
      <c r="I835" s="89"/>
      <c r="J835" s="89"/>
      <c r="K835" s="89" t="s">
        <v>1614</v>
      </c>
      <c r="L835" s="84" t="s">
        <v>8</v>
      </c>
      <c r="M835" s="88" t="str">
        <f>VLOOKUP(L835,lookups!B:C,2,FALSE)</f>
        <v>TBD</v>
      </c>
      <c r="N835" s="89" t="str">
        <f>VLOOKUP(K835,TeamLookup[],2,0)</f>
        <v>Cyber</v>
      </c>
      <c r="O835" s="84" t="e">
        <f>VLOOKUP(VALUE($S835),lookups!I:J,2,FALSE)</f>
        <v>#N/A</v>
      </c>
      <c r="P835" s="84" t="e">
        <f>VLOOKUP(VALUE($S835),lookups!F:G,2,FALSE)</f>
        <v>#N/A</v>
      </c>
      <c r="Q835" s="84" t="str">
        <f t="shared" si="52"/>
        <v>ParentNotInCyberQuery</v>
      </c>
      <c r="R835" s="84" t="str">
        <f t="shared" si="53"/>
        <v>MT</v>
      </c>
      <c r="S835" s="84">
        <f t="shared" si="54"/>
        <v>1011025</v>
      </c>
      <c r="T835" s="84">
        <f t="shared" si="55"/>
        <v>1011039</v>
      </c>
    </row>
    <row r="836" spans="1:20" ht="11.4" customHeight="1" x14ac:dyDescent="0.3">
      <c r="B836" s="84">
        <v>1011038</v>
      </c>
      <c r="C836" s="85">
        <v>1011025</v>
      </c>
      <c r="D836" s="84" t="s">
        <v>6</v>
      </c>
      <c r="E836" s="84" t="s">
        <v>7</v>
      </c>
      <c r="F836" s="86" t="s">
        <v>1316</v>
      </c>
      <c r="G836" s="87" t="s">
        <v>1308</v>
      </c>
      <c r="H836" s="87">
        <v>5</v>
      </c>
      <c r="I836" s="89"/>
      <c r="J836" s="89" t="s">
        <v>1317</v>
      </c>
      <c r="K836" s="89" t="s">
        <v>1614</v>
      </c>
      <c r="L836" s="84" t="s">
        <v>8</v>
      </c>
      <c r="M836" s="88" t="str">
        <f>VLOOKUP(L836,lookups!B:C,2,FALSE)</f>
        <v>TBD</v>
      </c>
      <c r="N836" s="89" t="str">
        <f>VLOOKUP(K836,TeamLookup[],2,0)</f>
        <v>Cyber</v>
      </c>
      <c r="O836" s="84" t="e">
        <f>VLOOKUP(VALUE($S836),lookups!I:J,2,FALSE)</f>
        <v>#N/A</v>
      </c>
      <c r="P836" s="84" t="e">
        <f>VLOOKUP(VALUE($S836),lookups!F:G,2,FALSE)</f>
        <v>#N/A</v>
      </c>
      <c r="Q836" s="84" t="str">
        <f t="shared" si="52"/>
        <v>ParentNotInCyberQuery</v>
      </c>
      <c r="R836" s="84" t="str">
        <f t="shared" si="53"/>
        <v>MT</v>
      </c>
      <c r="S836" s="84">
        <f t="shared" si="54"/>
        <v>1011025</v>
      </c>
      <c r="T836" s="84">
        <f t="shared" si="55"/>
        <v>1011038</v>
      </c>
    </row>
    <row r="837" spans="1:20" x14ac:dyDescent="0.3">
      <c r="B837" s="84">
        <v>1011037</v>
      </c>
      <c r="C837" s="85">
        <v>1011025</v>
      </c>
      <c r="D837" s="84" t="s">
        <v>6</v>
      </c>
      <c r="E837" s="84" t="s">
        <v>7</v>
      </c>
      <c r="F837" s="86" t="s">
        <v>1318</v>
      </c>
      <c r="G837" s="87" t="s">
        <v>1308</v>
      </c>
      <c r="H837" s="87">
        <v>3</v>
      </c>
      <c r="I837" s="89"/>
      <c r="J837" s="89" t="s">
        <v>1319</v>
      </c>
      <c r="K837" s="89" t="s">
        <v>1614</v>
      </c>
      <c r="L837" s="84" t="s">
        <v>8</v>
      </c>
      <c r="M837" s="88" t="str">
        <f>VLOOKUP(L837,lookups!B:C,2,FALSE)</f>
        <v>TBD</v>
      </c>
      <c r="N837" s="89" t="str">
        <f>VLOOKUP(K837,TeamLookup[],2,0)</f>
        <v>Cyber</v>
      </c>
      <c r="O837" s="84" t="e">
        <f>VLOOKUP(VALUE($S837),lookups!I:J,2,FALSE)</f>
        <v>#N/A</v>
      </c>
      <c r="P837" s="84" t="e">
        <f>VLOOKUP(VALUE($S837),lookups!F:G,2,FALSE)</f>
        <v>#N/A</v>
      </c>
      <c r="Q837" s="84" t="str">
        <f t="shared" si="52"/>
        <v>ParentNotInCyberQuery</v>
      </c>
      <c r="R837" s="84" t="str">
        <f t="shared" si="53"/>
        <v>MT</v>
      </c>
      <c r="S837" s="84">
        <f t="shared" si="54"/>
        <v>1011025</v>
      </c>
      <c r="T837" s="84">
        <f t="shared" si="55"/>
        <v>1011037</v>
      </c>
    </row>
    <row r="838" spans="1:20" ht="28.8" x14ac:dyDescent="0.3">
      <c r="B838" s="84">
        <v>1011036</v>
      </c>
      <c r="C838" s="85">
        <v>1011025</v>
      </c>
      <c r="D838" s="84" t="s">
        <v>6</v>
      </c>
      <c r="E838" s="84" t="s">
        <v>7</v>
      </c>
      <c r="F838" s="86" t="s">
        <v>1320</v>
      </c>
      <c r="G838" s="87" t="s">
        <v>1308</v>
      </c>
      <c r="H838" s="87">
        <v>1</v>
      </c>
      <c r="I838" s="84"/>
      <c r="J838" s="84"/>
      <c r="K838" s="84" t="s">
        <v>1614</v>
      </c>
      <c r="L838" s="84" t="s">
        <v>8</v>
      </c>
      <c r="M838" s="88" t="str">
        <f>VLOOKUP(L838,lookups!B:C,2,FALSE)</f>
        <v>TBD</v>
      </c>
      <c r="N838" s="89" t="str">
        <f>VLOOKUP(K838,TeamLookup[],2,0)</f>
        <v>Cyber</v>
      </c>
      <c r="O838" s="84" t="e">
        <f>VLOOKUP(VALUE($S838),lookups!I:J,2,FALSE)</f>
        <v>#N/A</v>
      </c>
      <c r="P838" s="84" t="e">
        <f>VLOOKUP(VALUE($S838),lookups!F:G,2,FALSE)</f>
        <v>#N/A</v>
      </c>
      <c r="Q838" s="84" t="str">
        <f t="shared" si="52"/>
        <v>ParentNotInCyberQuery</v>
      </c>
      <c r="R838" s="84" t="str">
        <f t="shared" si="53"/>
        <v>MT</v>
      </c>
      <c r="S838" s="84">
        <f t="shared" si="54"/>
        <v>1011025</v>
      </c>
      <c r="T838" s="84">
        <f t="shared" si="55"/>
        <v>1011036</v>
      </c>
    </row>
    <row r="839" spans="1:20" ht="49.5" customHeight="1" x14ac:dyDescent="0.3">
      <c r="B839" s="84">
        <v>1011035</v>
      </c>
      <c r="C839" s="85">
        <v>1011025</v>
      </c>
      <c r="D839" s="84" t="s">
        <v>6</v>
      </c>
      <c r="E839" s="84" t="s">
        <v>7</v>
      </c>
      <c r="F839" s="86" t="s">
        <v>1321</v>
      </c>
      <c r="G839" s="87" t="s">
        <v>1308</v>
      </c>
      <c r="H839" s="87">
        <v>3</v>
      </c>
      <c r="I839" s="89"/>
      <c r="J839" s="89"/>
      <c r="K839" s="89" t="s">
        <v>1614</v>
      </c>
      <c r="L839" s="84" t="s">
        <v>8</v>
      </c>
      <c r="M839" s="88" t="str">
        <f>VLOOKUP(L839,lookups!B:C,2,FALSE)</f>
        <v>TBD</v>
      </c>
      <c r="N839" s="89" t="str">
        <f>VLOOKUP(K839,TeamLookup[],2,0)</f>
        <v>Cyber</v>
      </c>
      <c r="O839" s="84" t="e">
        <f>VLOOKUP(VALUE($S839),lookups!I:J,2,FALSE)</f>
        <v>#N/A</v>
      </c>
      <c r="P839" s="84" t="e">
        <f>VLOOKUP(VALUE($S839),lookups!F:G,2,FALSE)</f>
        <v>#N/A</v>
      </c>
      <c r="Q839" s="84" t="str">
        <f t="shared" si="52"/>
        <v>ParentNotInCyberQuery</v>
      </c>
      <c r="R839" s="84" t="str">
        <f t="shared" si="53"/>
        <v>MT</v>
      </c>
      <c r="S839" s="84">
        <f t="shared" si="54"/>
        <v>1011025</v>
      </c>
      <c r="T839" s="84">
        <f t="shared" si="55"/>
        <v>1011035</v>
      </c>
    </row>
    <row r="840" spans="1:20" x14ac:dyDescent="0.3">
      <c r="B840" s="84">
        <v>1011034</v>
      </c>
      <c r="C840" s="85">
        <v>1011025</v>
      </c>
      <c r="D840" s="84" t="s">
        <v>6</v>
      </c>
      <c r="E840" s="84" t="s">
        <v>7</v>
      </c>
      <c r="F840" s="86" t="s">
        <v>1322</v>
      </c>
      <c r="G840" s="87" t="s">
        <v>1308</v>
      </c>
      <c r="H840" s="87">
        <v>3</v>
      </c>
      <c r="I840" s="89"/>
      <c r="J840" s="89"/>
      <c r="K840" s="89" t="s">
        <v>1614</v>
      </c>
      <c r="L840" s="84" t="s">
        <v>8</v>
      </c>
      <c r="M840" s="88" t="str">
        <f>VLOOKUP(L840,lookups!B:C,2,FALSE)</f>
        <v>TBD</v>
      </c>
      <c r="N840" s="89" t="str">
        <f>VLOOKUP(K840,TeamLookup[],2,0)</f>
        <v>Cyber</v>
      </c>
      <c r="O840" s="84" t="e">
        <f>VLOOKUP(VALUE($S840),lookups!I:J,2,FALSE)</f>
        <v>#N/A</v>
      </c>
      <c r="P840" s="84" t="e">
        <f>VLOOKUP(VALUE($S840),lookups!F:G,2,FALSE)</f>
        <v>#N/A</v>
      </c>
      <c r="Q840" s="84" t="str">
        <f t="shared" si="52"/>
        <v>ParentNotInCyberQuery</v>
      </c>
      <c r="R840" s="84" t="str">
        <f t="shared" si="53"/>
        <v>MT</v>
      </c>
      <c r="S840" s="84">
        <f t="shared" si="54"/>
        <v>1011025</v>
      </c>
      <c r="T840" s="84">
        <f t="shared" si="55"/>
        <v>1011034</v>
      </c>
    </row>
    <row r="841" spans="1:20" x14ac:dyDescent="0.3">
      <c r="B841" s="84">
        <v>1011033</v>
      </c>
      <c r="C841" s="85">
        <v>1011025</v>
      </c>
      <c r="D841" s="84" t="s">
        <v>6</v>
      </c>
      <c r="E841" s="84" t="s">
        <v>7</v>
      </c>
      <c r="F841" s="86" t="s">
        <v>1323</v>
      </c>
      <c r="G841" s="87" t="s">
        <v>1308</v>
      </c>
      <c r="H841" s="87">
        <v>5</v>
      </c>
      <c r="I841" s="89"/>
      <c r="J841" s="89" t="s">
        <v>1324</v>
      </c>
      <c r="K841" s="89" t="s">
        <v>1614</v>
      </c>
      <c r="L841" s="84" t="s">
        <v>8</v>
      </c>
      <c r="M841" s="88" t="str">
        <f>VLOOKUP(L841,lookups!B:C,2,FALSE)</f>
        <v>TBD</v>
      </c>
      <c r="N841" s="89" t="str">
        <f>VLOOKUP(K841,TeamLookup[],2,0)</f>
        <v>Cyber</v>
      </c>
      <c r="O841" s="84" t="e">
        <f>VLOOKUP(VALUE($S841),lookups!I:J,2,FALSE)</f>
        <v>#N/A</v>
      </c>
      <c r="P841" s="84" t="e">
        <f>VLOOKUP(VALUE($S841),lookups!F:G,2,FALSE)</f>
        <v>#N/A</v>
      </c>
      <c r="Q841" s="84" t="str">
        <f t="shared" si="52"/>
        <v>ParentNotInCyberQuery</v>
      </c>
      <c r="R841" s="84" t="str">
        <f t="shared" si="53"/>
        <v>MT</v>
      </c>
      <c r="S841" s="84">
        <f t="shared" si="54"/>
        <v>1011025</v>
      </c>
      <c r="T841" s="84">
        <f t="shared" si="55"/>
        <v>1011033</v>
      </c>
    </row>
    <row r="842" spans="1:20" x14ac:dyDescent="0.3">
      <c r="B842" s="84">
        <v>1011032</v>
      </c>
      <c r="C842" s="85">
        <v>1011025</v>
      </c>
      <c r="D842" s="84" t="s">
        <v>6</v>
      </c>
      <c r="E842" s="84" t="s">
        <v>7</v>
      </c>
      <c r="F842" s="86" t="s">
        <v>1325</v>
      </c>
      <c r="G842" s="87" t="s">
        <v>1308</v>
      </c>
      <c r="H842" s="87">
        <v>1</v>
      </c>
      <c r="I842" s="89"/>
      <c r="J842" s="89" t="s">
        <v>1326</v>
      </c>
      <c r="K842" s="89" t="s">
        <v>1614</v>
      </c>
      <c r="L842" s="84" t="s">
        <v>8</v>
      </c>
      <c r="M842" s="88" t="str">
        <f>VLOOKUP(L842,lookups!B:C,2,FALSE)</f>
        <v>TBD</v>
      </c>
      <c r="N842" s="89" t="str">
        <f>VLOOKUP(K842,TeamLookup[],2,0)</f>
        <v>Cyber</v>
      </c>
      <c r="O842" s="84" t="e">
        <f>VLOOKUP(VALUE($S842),lookups!I:J,2,FALSE)</f>
        <v>#N/A</v>
      </c>
      <c r="P842" s="84" t="e">
        <f>VLOOKUP(VALUE($S842),lookups!F:G,2,FALSE)</f>
        <v>#N/A</v>
      </c>
      <c r="Q842" s="84" t="str">
        <f t="shared" si="52"/>
        <v>ParentNotInCyberQuery</v>
      </c>
      <c r="R842" s="84" t="str">
        <f t="shared" si="53"/>
        <v>MT</v>
      </c>
      <c r="S842" s="84">
        <f t="shared" si="54"/>
        <v>1011025</v>
      </c>
      <c r="T842" s="84">
        <f t="shared" si="55"/>
        <v>1011032</v>
      </c>
    </row>
    <row r="843" spans="1:20" x14ac:dyDescent="0.3">
      <c r="B843" s="84">
        <v>1011031</v>
      </c>
      <c r="C843" s="85">
        <v>1011025</v>
      </c>
      <c r="D843" s="84" t="s">
        <v>6</v>
      </c>
      <c r="E843" s="84" t="s">
        <v>7</v>
      </c>
      <c r="F843" s="86" t="s">
        <v>1327</v>
      </c>
      <c r="G843" s="87" t="s">
        <v>1308</v>
      </c>
      <c r="H843" s="87">
        <v>5</v>
      </c>
      <c r="I843" s="89"/>
      <c r="J843" s="89" t="s">
        <v>1328</v>
      </c>
      <c r="K843" s="89" t="s">
        <v>1614</v>
      </c>
      <c r="L843" s="84" t="s">
        <v>8</v>
      </c>
      <c r="M843" s="88" t="str">
        <f>VLOOKUP(L843,lookups!B:C,2,FALSE)</f>
        <v>TBD</v>
      </c>
      <c r="N843" s="89" t="str">
        <f>VLOOKUP(K843,TeamLookup[],2,0)</f>
        <v>Cyber</v>
      </c>
      <c r="O843" s="84" t="e">
        <f>VLOOKUP(VALUE($S843),lookups!I:J,2,FALSE)</f>
        <v>#N/A</v>
      </c>
      <c r="P843" s="84" t="e">
        <f>VLOOKUP(VALUE($S843),lookups!F:G,2,FALSE)</f>
        <v>#N/A</v>
      </c>
      <c r="Q843" s="84" t="str">
        <f t="shared" si="52"/>
        <v>ParentNotInCyberQuery</v>
      </c>
      <c r="R843" s="84" t="str">
        <f t="shared" si="53"/>
        <v>MT</v>
      </c>
      <c r="S843" s="84">
        <f t="shared" si="54"/>
        <v>1011025</v>
      </c>
      <c r="T843" s="84">
        <f t="shared" si="55"/>
        <v>1011031</v>
      </c>
    </row>
    <row r="844" spans="1:20" ht="28.8" x14ac:dyDescent="0.3">
      <c r="B844" s="84">
        <v>1011030</v>
      </c>
      <c r="C844" s="85">
        <v>1011025</v>
      </c>
      <c r="D844" s="84" t="s">
        <v>6</v>
      </c>
      <c r="E844" s="84" t="s">
        <v>7</v>
      </c>
      <c r="F844" s="86" t="s">
        <v>1329</v>
      </c>
      <c r="G844" s="87" t="s">
        <v>1308</v>
      </c>
      <c r="H844" s="87">
        <v>0</v>
      </c>
      <c r="I844" s="84"/>
      <c r="J844" s="84" t="s">
        <v>1330</v>
      </c>
      <c r="K844" s="84" t="s">
        <v>1614</v>
      </c>
      <c r="L844" s="84" t="s">
        <v>8</v>
      </c>
      <c r="M844" s="88" t="str">
        <f>VLOOKUP(L844,lookups!B:C,2,FALSE)</f>
        <v>TBD</v>
      </c>
      <c r="N844" s="89" t="str">
        <f>VLOOKUP(K844,TeamLookup[],2,0)</f>
        <v>Cyber</v>
      </c>
      <c r="O844" s="84" t="e">
        <f>VLOOKUP(VALUE($S844),lookups!I:J,2,FALSE)</f>
        <v>#N/A</v>
      </c>
      <c r="P844" s="84" t="e">
        <f>VLOOKUP(VALUE($S844),lookups!F:G,2,FALSE)</f>
        <v>#N/A</v>
      </c>
      <c r="Q844" s="84" t="str">
        <f t="shared" si="52"/>
        <v>ParentNotInCyberQuery</v>
      </c>
      <c r="R844" s="84" t="str">
        <f t="shared" si="53"/>
        <v>MT</v>
      </c>
      <c r="S844" s="84">
        <f t="shared" si="54"/>
        <v>1011025</v>
      </c>
      <c r="T844" s="84">
        <f t="shared" si="55"/>
        <v>1011030</v>
      </c>
    </row>
    <row r="845" spans="1:20" x14ac:dyDescent="0.3">
      <c r="A845" s="96"/>
      <c r="B845" s="84">
        <v>1011029</v>
      </c>
      <c r="C845" s="85">
        <v>1011025</v>
      </c>
      <c r="D845" s="84" t="s">
        <v>6</v>
      </c>
      <c r="E845" s="84" t="s">
        <v>7</v>
      </c>
      <c r="F845" s="86" t="s">
        <v>1331</v>
      </c>
      <c r="G845" s="87" t="s">
        <v>1308</v>
      </c>
      <c r="H845" s="87">
        <v>1</v>
      </c>
      <c r="I845" s="84"/>
      <c r="J845" s="84" t="s">
        <v>1332</v>
      </c>
      <c r="K845" s="84" t="s">
        <v>1614</v>
      </c>
      <c r="L845" s="84" t="s">
        <v>8</v>
      </c>
      <c r="M845" s="88" t="str">
        <f>VLOOKUP(L845,lookups!B:C,2,FALSE)</f>
        <v>TBD</v>
      </c>
      <c r="N845" s="89" t="str">
        <f>VLOOKUP(K845,TeamLookup[],2,0)</f>
        <v>Cyber</v>
      </c>
      <c r="O845" s="84" t="e">
        <f>VLOOKUP(VALUE($S845),lookups!I:J,2,FALSE)</f>
        <v>#N/A</v>
      </c>
      <c r="P845" s="84" t="e">
        <f>VLOOKUP(VALUE($S845),lookups!F:G,2,FALSE)</f>
        <v>#N/A</v>
      </c>
      <c r="Q845" s="84" t="str">
        <f t="shared" si="52"/>
        <v>ParentNotInCyberQuery</v>
      </c>
      <c r="R845" s="84" t="str">
        <f t="shared" si="53"/>
        <v>MT</v>
      </c>
      <c r="S845" s="84">
        <f t="shared" si="54"/>
        <v>1011025</v>
      </c>
      <c r="T845" s="84">
        <f t="shared" si="55"/>
        <v>1011029</v>
      </c>
    </row>
    <row r="846" spans="1:20" x14ac:dyDescent="0.3">
      <c r="B846" s="84">
        <v>1011028</v>
      </c>
      <c r="C846" s="85">
        <v>1011025</v>
      </c>
      <c r="D846" s="84" t="s">
        <v>6</v>
      </c>
      <c r="E846" s="84" t="s">
        <v>7</v>
      </c>
      <c r="F846" s="86" t="s">
        <v>1333</v>
      </c>
      <c r="G846" s="87" t="s">
        <v>1308</v>
      </c>
      <c r="H846" s="87">
        <v>3</v>
      </c>
      <c r="I846" s="89"/>
      <c r="J846" s="89" t="s">
        <v>1332</v>
      </c>
      <c r="K846" s="89" t="s">
        <v>1614</v>
      </c>
      <c r="L846" s="84" t="s">
        <v>8</v>
      </c>
      <c r="M846" s="88" t="str">
        <f>VLOOKUP(L846,lookups!B:C,2,FALSE)</f>
        <v>TBD</v>
      </c>
      <c r="N846" s="89" t="str">
        <f>VLOOKUP(K846,TeamLookup[],2,0)</f>
        <v>Cyber</v>
      </c>
      <c r="O846" s="84" t="e">
        <f>VLOOKUP(VALUE($S846),lookups!I:J,2,FALSE)</f>
        <v>#N/A</v>
      </c>
      <c r="P846" s="84" t="e">
        <f>VLOOKUP(VALUE($S846),lookups!F:G,2,FALSE)</f>
        <v>#N/A</v>
      </c>
      <c r="Q846" s="84" t="str">
        <f t="shared" si="52"/>
        <v>ParentNotInCyberQuery</v>
      </c>
      <c r="R846" s="84" t="str">
        <f t="shared" si="53"/>
        <v>MT</v>
      </c>
      <c r="S846" s="84">
        <f t="shared" si="54"/>
        <v>1011025</v>
      </c>
      <c r="T846" s="84">
        <f t="shared" si="55"/>
        <v>1011028</v>
      </c>
    </row>
    <row r="847" spans="1:20" ht="28.8" x14ac:dyDescent="0.3">
      <c r="B847" s="84">
        <v>1011027</v>
      </c>
      <c r="C847" s="85">
        <v>1011025</v>
      </c>
      <c r="D847" s="84" t="s">
        <v>6</v>
      </c>
      <c r="E847" s="84" t="s">
        <v>7</v>
      </c>
      <c r="F847" s="86" t="s">
        <v>1334</v>
      </c>
      <c r="G847" s="87" t="s">
        <v>1308</v>
      </c>
      <c r="H847" s="87">
        <v>0</v>
      </c>
      <c r="I847" s="89"/>
      <c r="J847" s="89"/>
      <c r="K847" s="89" t="s">
        <v>1614</v>
      </c>
      <c r="L847" s="84" t="s">
        <v>8</v>
      </c>
      <c r="M847" s="88" t="str">
        <f>VLOOKUP(L847,lookups!B:C,2,FALSE)</f>
        <v>TBD</v>
      </c>
      <c r="N847" s="89" t="str">
        <f>VLOOKUP(K847,TeamLookup[],2,0)</f>
        <v>Cyber</v>
      </c>
      <c r="O847" s="84" t="e">
        <f>VLOOKUP(VALUE($S847),lookups!I:J,2,FALSE)</f>
        <v>#N/A</v>
      </c>
      <c r="P847" s="84" t="e">
        <f>VLOOKUP(VALUE($S847),lookups!F:G,2,FALSE)</f>
        <v>#N/A</v>
      </c>
      <c r="Q847" s="84" t="str">
        <f t="shared" si="52"/>
        <v>ParentNotInCyberQuery</v>
      </c>
      <c r="R847" s="84" t="str">
        <f t="shared" si="53"/>
        <v>MT</v>
      </c>
      <c r="S847" s="84">
        <f t="shared" si="54"/>
        <v>1011025</v>
      </c>
      <c r="T847" s="84">
        <f t="shared" si="55"/>
        <v>1011027</v>
      </c>
    </row>
    <row r="848" spans="1:20" x14ac:dyDescent="0.3">
      <c r="B848" s="84">
        <v>1011081</v>
      </c>
      <c r="C848" s="85">
        <v>1011070</v>
      </c>
      <c r="D848" s="84" t="s">
        <v>6</v>
      </c>
      <c r="E848" s="84" t="s">
        <v>345</v>
      </c>
      <c r="F848" s="86" t="s">
        <v>1337</v>
      </c>
      <c r="G848" s="87" t="s">
        <v>260</v>
      </c>
      <c r="H848" s="87">
        <v>1</v>
      </c>
      <c r="I848" s="89"/>
      <c r="J848" s="89"/>
      <c r="K848" s="89" t="s">
        <v>1614</v>
      </c>
      <c r="L848" s="84" t="s">
        <v>214</v>
      </c>
      <c r="M848" s="88" t="str">
        <f>VLOOKUP(L848,lookups!B:C,2,FALSE)</f>
        <v>Dave G</v>
      </c>
      <c r="N848" s="89" t="str">
        <f>VLOOKUP(K848,TeamLookup[],2,0)</f>
        <v>Cyber</v>
      </c>
      <c r="O848" s="84">
        <f>VLOOKUP(VALUE($S848),lookups!I:J,2,FALSE)</f>
        <v>9</v>
      </c>
      <c r="P848" s="84" t="e">
        <f>VLOOKUP(VALUE($S848),lookups!F:G,2,FALSE)</f>
        <v>#N/A</v>
      </c>
      <c r="Q848" s="84" t="str">
        <f t="shared" si="52"/>
        <v>ParentNotInCyberQuery</v>
      </c>
      <c r="R848" s="84" t="str">
        <f t="shared" si="53"/>
        <v>MT</v>
      </c>
      <c r="S848" s="84">
        <f t="shared" si="54"/>
        <v>1011070</v>
      </c>
      <c r="T848" s="84">
        <f t="shared" si="55"/>
        <v>1011081</v>
      </c>
    </row>
    <row r="849" spans="1:20" x14ac:dyDescent="0.3">
      <c r="B849" s="84">
        <v>1011080</v>
      </c>
      <c r="C849" s="85">
        <v>1011070</v>
      </c>
      <c r="D849" s="84" t="s">
        <v>6</v>
      </c>
      <c r="E849" s="84" t="s">
        <v>345</v>
      </c>
      <c r="F849" s="86" t="s">
        <v>1338</v>
      </c>
      <c r="G849" s="87" t="s">
        <v>259</v>
      </c>
      <c r="H849" s="87">
        <v>1</v>
      </c>
      <c r="I849" s="84"/>
      <c r="J849" s="84"/>
      <c r="K849" s="84" t="s">
        <v>1614</v>
      </c>
      <c r="L849" s="84" t="s">
        <v>107</v>
      </c>
      <c r="M849" s="88" t="str">
        <f>VLOOKUP(L849,lookups!B:C,2,FALSE)</f>
        <v>Chris</v>
      </c>
      <c r="N849" s="89" t="str">
        <f>VLOOKUP(K849,TeamLookup[],2,0)</f>
        <v>Cyber</v>
      </c>
      <c r="O849" s="84">
        <f>VLOOKUP(VALUE($S849),lookups!I:J,2,FALSE)</f>
        <v>9</v>
      </c>
      <c r="P849" s="84" t="e">
        <f>VLOOKUP(VALUE($S849),lookups!F:G,2,FALSE)</f>
        <v>#N/A</v>
      </c>
      <c r="Q849" s="84" t="str">
        <f t="shared" si="52"/>
        <v>ParentNotInCyberQuery</v>
      </c>
      <c r="R849" s="84" t="str">
        <f t="shared" si="53"/>
        <v>MT</v>
      </c>
      <c r="S849" s="84">
        <f t="shared" si="54"/>
        <v>1011070</v>
      </c>
      <c r="T849" s="84">
        <f t="shared" si="55"/>
        <v>1011080</v>
      </c>
    </row>
    <row r="850" spans="1:20" x14ac:dyDescent="0.3">
      <c r="B850" s="84">
        <v>1011079</v>
      </c>
      <c r="C850" s="85">
        <v>1011070</v>
      </c>
      <c r="D850" s="84" t="s">
        <v>6</v>
      </c>
      <c r="E850" s="84" t="s">
        <v>345</v>
      </c>
      <c r="F850" s="86" t="s">
        <v>1339</v>
      </c>
      <c r="G850" s="87" t="s">
        <v>256</v>
      </c>
      <c r="H850" s="87">
        <v>1</v>
      </c>
      <c r="I850" s="89"/>
      <c r="J850" s="89"/>
      <c r="K850" s="89" t="s">
        <v>1614</v>
      </c>
      <c r="L850" s="84" t="s">
        <v>214</v>
      </c>
      <c r="M850" s="88" t="str">
        <f>VLOOKUP(L850,lookups!B:C,2,FALSE)</f>
        <v>Dave G</v>
      </c>
      <c r="N850" s="89" t="str">
        <f>VLOOKUP(K850,TeamLookup[],2,0)</f>
        <v>Cyber</v>
      </c>
      <c r="O850" s="84">
        <f>VLOOKUP(VALUE($S850),lookups!I:J,2,FALSE)</f>
        <v>9</v>
      </c>
      <c r="P850" s="84" t="e">
        <f>VLOOKUP(VALUE($S850),lookups!F:G,2,FALSE)</f>
        <v>#N/A</v>
      </c>
      <c r="Q850" s="84" t="str">
        <f t="shared" si="52"/>
        <v>ParentNotInCyberQuery</v>
      </c>
      <c r="R850" s="84" t="str">
        <f t="shared" si="53"/>
        <v>MT</v>
      </c>
      <c r="S850" s="84">
        <f t="shared" si="54"/>
        <v>1011070</v>
      </c>
      <c r="T850" s="84">
        <f t="shared" si="55"/>
        <v>1011079</v>
      </c>
    </row>
    <row r="851" spans="1:20" x14ac:dyDescent="0.3">
      <c r="B851" s="84">
        <v>1011078</v>
      </c>
      <c r="C851" s="85">
        <v>1011070</v>
      </c>
      <c r="D851" s="84" t="s">
        <v>6</v>
      </c>
      <c r="E851" s="84" t="s">
        <v>345</v>
      </c>
      <c r="F851" s="86" t="s">
        <v>1340</v>
      </c>
      <c r="G851" s="87" t="s">
        <v>258</v>
      </c>
      <c r="H851" s="87">
        <v>1</v>
      </c>
      <c r="I851" s="84"/>
      <c r="J851" s="84"/>
      <c r="K851" s="84" t="s">
        <v>1614</v>
      </c>
      <c r="L851" s="84" t="s">
        <v>107</v>
      </c>
      <c r="M851" s="88" t="str">
        <f>VLOOKUP(L851,lookups!B:C,2,FALSE)</f>
        <v>Chris</v>
      </c>
      <c r="N851" s="89" t="str">
        <f>VLOOKUP(K851,TeamLookup[],2,0)</f>
        <v>Cyber</v>
      </c>
      <c r="O851" s="84">
        <f>VLOOKUP(VALUE($S851),lookups!I:J,2,FALSE)</f>
        <v>9</v>
      </c>
      <c r="P851" s="84" t="e">
        <f>VLOOKUP(VALUE($S851),lookups!F:G,2,FALSE)</f>
        <v>#N/A</v>
      </c>
      <c r="Q851" s="84" t="str">
        <f t="shared" si="52"/>
        <v>ParentNotInCyberQuery</v>
      </c>
      <c r="R851" s="84" t="str">
        <f t="shared" si="53"/>
        <v>MT</v>
      </c>
      <c r="S851" s="84">
        <f t="shared" si="54"/>
        <v>1011070</v>
      </c>
      <c r="T851" s="84">
        <f t="shared" si="55"/>
        <v>1011078</v>
      </c>
    </row>
    <row r="852" spans="1:20" x14ac:dyDescent="0.3">
      <c r="B852" s="84">
        <v>1011077</v>
      </c>
      <c r="C852" s="85">
        <v>1011070</v>
      </c>
      <c r="D852" s="84" t="s">
        <v>6</v>
      </c>
      <c r="E852" s="84" t="s">
        <v>7</v>
      </c>
      <c r="F852" s="86" t="s">
        <v>1341</v>
      </c>
      <c r="G852" s="93" t="s">
        <v>257</v>
      </c>
      <c r="H852" s="87">
        <v>1</v>
      </c>
      <c r="I852" s="84"/>
      <c r="J852" s="84"/>
      <c r="K852" s="84" t="s">
        <v>1614</v>
      </c>
      <c r="L852" s="84" t="s">
        <v>107</v>
      </c>
      <c r="M852" s="88" t="str">
        <f>VLOOKUP(L852,lookups!B:C,2,FALSE)</f>
        <v>Chris</v>
      </c>
      <c r="N852" s="89" t="str">
        <f>VLOOKUP(K852,TeamLookup[],2,0)</f>
        <v>Cyber</v>
      </c>
      <c r="O852" s="84">
        <f>VLOOKUP(VALUE($S852),lookups!I:J,2,FALSE)</f>
        <v>9</v>
      </c>
      <c r="P852" s="84" t="e">
        <f>VLOOKUP(VALUE($S852),lookups!F:G,2,FALSE)</f>
        <v>#N/A</v>
      </c>
      <c r="Q852" s="84" t="str">
        <f t="shared" si="52"/>
        <v>ParentNotInCyberQuery</v>
      </c>
      <c r="R852" s="84" t="str">
        <f t="shared" si="53"/>
        <v>MT</v>
      </c>
      <c r="S852" s="84">
        <f t="shared" si="54"/>
        <v>1011070</v>
      </c>
      <c r="T852" s="84">
        <f t="shared" si="55"/>
        <v>1011077</v>
      </c>
    </row>
    <row r="853" spans="1:20" x14ac:dyDescent="0.3">
      <c r="B853" s="84">
        <v>1013377</v>
      </c>
      <c r="C853" s="85">
        <v>1012738</v>
      </c>
      <c r="D853" s="84" t="s">
        <v>6</v>
      </c>
      <c r="E853" s="84" t="s">
        <v>7</v>
      </c>
      <c r="F853" s="86" t="s">
        <v>1383</v>
      </c>
      <c r="G853" s="87" t="s">
        <v>442</v>
      </c>
      <c r="H853" s="87">
        <v>1</v>
      </c>
      <c r="I853" s="89"/>
      <c r="J853" s="89"/>
      <c r="K853" s="89" t="s">
        <v>1614</v>
      </c>
      <c r="L853" s="84" t="s">
        <v>1375</v>
      </c>
      <c r="M853" s="88" t="str">
        <f>VLOOKUP(L853,lookups!B:C,2,FALSE)</f>
        <v>Kirk</v>
      </c>
      <c r="N853" s="89" t="str">
        <f>VLOOKUP(K853,TeamLookup[],2,0)</f>
        <v>Cyber</v>
      </c>
      <c r="O853" s="84" t="e">
        <f>VLOOKUP(VALUE($S853),lookups!I:J,2,FALSE)</f>
        <v>#N/A</v>
      </c>
      <c r="P853" s="84" t="e">
        <f>VLOOKUP(VALUE($S853),lookups!F:G,2,FALSE)</f>
        <v>#N/A</v>
      </c>
      <c r="Q853" s="84" t="str">
        <f t="shared" si="52"/>
        <v>ParentNotInCyberQuery</v>
      </c>
      <c r="R853" s="84" t="str">
        <f t="shared" si="53"/>
        <v>MT</v>
      </c>
      <c r="S853" s="84">
        <f t="shared" si="54"/>
        <v>1012738</v>
      </c>
      <c r="T853" s="84">
        <f t="shared" si="55"/>
        <v>1013377</v>
      </c>
    </row>
    <row r="854" spans="1:20" x14ac:dyDescent="0.3">
      <c r="B854" s="84">
        <v>1012656</v>
      </c>
      <c r="C854" s="85">
        <v>1012738</v>
      </c>
      <c r="D854" s="84" t="s">
        <v>6</v>
      </c>
      <c r="E854" s="84" t="s">
        <v>7</v>
      </c>
      <c r="F854" s="86" t="s">
        <v>1371</v>
      </c>
      <c r="G854" s="87" t="s">
        <v>442</v>
      </c>
      <c r="H854" s="87">
        <v>1</v>
      </c>
      <c r="I854" s="89"/>
      <c r="J854" s="89"/>
      <c r="K854" s="89" t="s">
        <v>1618</v>
      </c>
      <c r="L854" s="84" t="s">
        <v>8</v>
      </c>
      <c r="M854" s="88" t="str">
        <f>VLOOKUP(L854,lookups!B:C,2,FALSE)</f>
        <v>TBD</v>
      </c>
      <c r="N854" s="89" t="str">
        <f>VLOOKUP(K854,TeamLookup[],2,0)</f>
        <v>System Engineering</v>
      </c>
      <c r="O854" s="84" t="e">
        <f>VLOOKUP(VALUE($S854),lookups!I:J,2,FALSE)</f>
        <v>#N/A</v>
      </c>
      <c r="P854" s="84" t="e">
        <f>VLOOKUP(VALUE($S854),lookups!F:G,2,FALSE)</f>
        <v>#N/A</v>
      </c>
      <c r="Q854" s="84" t="str">
        <f t="shared" si="52"/>
        <v>ParentNotInCyberQuery</v>
      </c>
      <c r="R854" s="84" t="str">
        <f t="shared" si="53"/>
        <v>MT</v>
      </c>
      <c r="S854" s="84">
        <f t="shared" si="54"/>
        <v>1012738</v>
      </c>
      <c r="T854" s="84">
        <f t="shared" si="55"/>
        <v>1012656</v>
      </c>
    </row>
    <row r="855" spans="1:20" ht="28.8" x14ac:dyDescent="0.3">
      <c r="A855" s="96"/>
      <c r="B855" s="84">
        <v>1012617</v>
      </c>
      <c r="C855" s="85">
        <v>1012738</v>
      </c>
      <c r="D855" s="84" t="s">
        <v>6</v>
      </c>
      <c r="E855" s="84" t="s">
        <v>7</v>
      </c>
      <c r="F855" s="86" t="s">
        <v>1376</v>
      </c>
      <c r="G855" s="87" t="s">
        <v>442</v>
      </c>
      <c r="H855" s="87">
        <v>2</v>
      </c>
      <c r="I855" s="84"/>
      <c r="J855" s="84"/>
      <c r="K855" s="84" t="s">
        <v>1614</v>
      </c>
      <c r="L855" s="84" t="s">
        <v>8</v>
      </c>
      <c r="M855" s="88" t="str">
        <f>VLOOKUP(L855,lookups!B:C,2,FALSE)</f>
        <v>TBD</v>
      </c>
      <c r="N855" s="89" t="str">
        <f>VLOOKUP(K855,TeamLookup[],2,0)</f>
        <v>Cyber</v>
      </c>
      <c r="O855" s="84" t="e">
        <f>VLOOKUP(VALUE($S855),lookups!I:J,2,FALSE)</f>
        <v>#N/A</v>
      </c>
      <c r="P855" s="84" t="e">
        <f>VLOOKUP(VALUE($S855),lookups!F:G,2,FALSE)</f>
        <v>#N/A</v>
      </c>
      <c r="Q855" s="84" t="str">
        <f t="shared" si="52"/>
        <v>ParentNotInCyberQuery</v>
      </c>
      <c r="R855" s="84" t="str">
        <f t="shared" si="53"/>
        <v>MT</v>
      </c>
      <c r="S855" s="84">
        <f t="shared" si="54"/>
        <v>1012738</v>
      </c>
      <c r="T855" s="84">
        <f t="shared" si="55"/>
        <v>1012617</v>
      </c>
    </row>
    <row r="856" spans="1:20" ht="28.8" x14ac:dyDescent="0.3">
      <c r="B856" s="84">
        <v>1012615</v>
      </c>
      <c r="C856" s="85">
        <v>1012738</v>
      </c>
      <c r="D856" s="84" t="s">
        <v>6</v>
      </c>
      <c r="E856" s="84" t="s">
        <v>7</v>
      </c>
      <c r="F856" s="86" t="s">
        <v>1385</v>
      </c>
      <c r="G856" s="87" t="s">
        <v>442</v>
      </c>
      <c r="H856" s="87">
        <v>2</v>
      </c>
      <c r="I856" s="89"/>
      <c r="J856" s="89"/>
      <c r="K856" s="89" t="s">
        <v>1614</v>
      </c>
      <c r="L856" s="84" t="s">
        <v>8</v>
      </c>
      <c r="M856" s="88" t="str">
        <f>VLOOKUP(L856,lookups!B:C,2,FALSE)</f>
        <v>TBD</v>
      </c>
      <c r="N856" s="89" t="str">
        <f>VLOOKUP(K856,TeamLookup[],2,0)</f>
        <v>Cyber</v>
      </c>
      <c r="O856" s="84" t="e">
        <f>VLOOKUP(VALUE($S856),lookups!I:J,2,FALSE)</f>
        <v>#N/A</v>
      </c>
      <c r="P856" s="84" t="e">
        <f>VLOOKUP(VALUE($S856),lookups!F:G,2,FALSE)</f>
        <v>#N/A</v>
      </c>
      <c r="Q856" s="84" t="str">
        <f t="shared" si="52"/>
        <v>ParentNotInCyberQuery</v>
      </c>
      <c r="R856" s="84" t="str">
        <f t="shared" si="53"/>
        <v>MT</v>
      </c>
      <c r="S856" s="84">
        <f t="shared" si="54"/>
        <v>1012738</v>
      </c>
      <c r="T856" s="84">
        <f t="shared" si="55"/>
        <v>1012615</v>
      </c>
    </row>
    <row r="857" spans="1:20" x14ac:dyDescent="0.3">
      <c r="B857" s="84">
        <v>1012506</v>
      </c>
      <c r="C857" s="85">
        <v>1012738</v>
      </c>
      <c r="D857" s="84" t="s">
        <v>6</v>
      </c>
      <c r="E857" s="84" t="s">
        <v>7</v>
      </c>
      <c r="F857" s="86" t="s">
        <v>1380</v>
      </c>
      <c r="G857" s="87" t="s">
        <v>442</v>
      </c>
      <c r="H857" s="87">
        <v>3</v>
      </c>
      <c r="I857" s="89"/>
      <c r="J857" s="89"/>
      <c r="K857" s="89" t="s">
        <v>1614</v>
      </c>
      <c r="L857" s="84" t="s">
        <v>8</v>
      </c>
      <c r="M857" s="88" t="str">
        <f>VLOOKUP(L857,lookups!B:C,2,FALSE)</f>
        <v>TBD</v>
      </c>
      <c r="N857" s="89" t="str">
        <f>VLOOKUP(K857,TeamLookup[],2,0)</f>
        <v>Cyber</v>
      </c>
      <c r="O857" s="84" t="e">
        <f>VLOOKUP(VALUE($S857),lookups!I:J,2,FALSE)</f>
        <v>#N/A</v>
      </c>
      <c r="P857" s="84" t="e">
        <f>VLOOKUP(VALUE($S857),lookups!F:G,2,FALSE)</f>
        <v>#N/A</v>
      </c>
      <c r="Q857" s="84" t="str">
        <f t="shared" si="52"/>
        <v>ParentNotInCyberQuery</v>
      </c>
      <c r="R857" s="84" t="str">
        <f t="shared" si="53"/>
        <v>MT</v>
      </c>
      <c r="S857" s="84">
        <f t="shared" si="54"/>
        <v>1012738</v>
      </c>
      <c r="T857" s="84">
        <f t="shared" si="55"/>
        <v>1012506</v>
      </c>
    </row>
    <row r="858" spans="1:20" x14ac:dyDescent="0.3">
      <c r="B858" s="84">
        <v>1013849</v>
      </c>
      <c r="C858" s="85">
        <v>1012748</v>
      </c>
      <c r="D858" s="84" t="s">
        <v>6</v>
      </c>
      <c r="E858" s="84" t="s">
        <v>345</v>
      </c>
      <c r="F858" s="86" t="s">
        <v>1554</v>
      </c>
      <c r="G858" s="87" t="s">
        <v>259</v>
      </c>
      <c r="H858" s="87">
        <v>3</v>
      </c>
      <c r="I858" s="89"/>
      <c r="J858" s="89"/>
      <c r="K858" s="89" t="s">
        <v>1614</v>
      </c>
      <c r="L858" s="84" t="s">
        <v>11</v>
      </c>
      <c r="M858" s="88" t="str">
        <f>VLOOKUP(L858,lookups!B:C,2,FALSE)</f>
        <v>Randy</v>
      </c>
      <c r="N858" s="89" t="str">
        <f>VLOOKUP(K858,TeamLookup[],2,0)</f>
        <v>Cyber</v>
      </c>
      <c r="O858" s="84">
        <f>VLOOKUP(VALUE($S858),lookups!I:J,2,FALSE)</f>
        <v>33</v>
      </c>
      <c r="P858" s="84" t="e">
        <f>VLOOKUP(VALUE($S858),lookups!F:G,2,FALSE)</f>
        <v>#N/A</v>
      </c>
      <c r="Q858" s="84" t="str">
        <f t="shared" si="52"/>
        <v>ParentNotInCyberQuery</v>
      </c>
      <c r="R858" s="84" t="str">
        <f t="shared" si="53"/>
        <v>MT</v>
      </c>
      <c r="S858" s="84">
        <f t="shared" si="54"/>
        <v>1012748</v>
      </c>
      <c r="T858" s="84">
        <f t="shared" si="55"/>
        <v>1013849</v>
      </c>
    </row>
    <row r="859" spans="1:20" x14ac:dyDescent="0.3">
      <c r="B859" s="84">
        <v>1013850</v>
      </c>
      <c r="C859" s="85">
        <v>1012748</v>
      </c>
      <c r="D859" s="84" t="s">
        <v>6</v>
      </c>
      <c r="E859" s="84" t="s">
        <v>345</v>
      </c>
      <c r="F859" s="86" t="s">
        <v>1554</v>
      </c>
      <c r="G859" s="87" t="s">
        <v>256</v>
      </c>
      <c r="H859" s="87">
        <v>3</v>
      </c>
      <c r="I859" s="89"/>
      <c r="J859" s="89"/>
      <c r="K859" s="89" t="s">
        <v>1614</v>
      </c>
      <c r="L859" s="84" t="s">
        <v>11</v>
      </c>
      <c r="M859" s="88" t="str">
        <f>VLOOKUP(L859,lookups!B:C,2,FALSE)</f>
        <v>Randy</v>
      </c>
      <c r="N859" s="89" t="str">
        <f>VLOOKUP(K859,TeamLookup[],2,0)</f>
        <v>Cyber</v>
      </c>
      <c r="O859" s="84">
        <f>VLOOKUP(VALUE($S859),lookups!I:J,2,FALSE)</f>
        <v>33</v>
      </c>
      <c r="P859" s="84" t="e">
        <f>VLOOKUP(VALUE($S859),lookups!F:G,2,FALSE)</f>
        <v>#N/A</v>
      </c>
      <c r="Q859" s="84" t="str">
        <f t="shared" si="52"/>
        <v>ParentNotInCyberQuery</v>
      </c>
      <c r="R859" s="84" t="str">
        <f t="shared" si="53"/>
        <v>MT</v>
      </c>
      <c r="S859" s="84">
        <f t="shared" si="54"/>
        <v>1012748</v>
      </c>
      <c r="T859" s="84">
        <f t="shared" si="55"/>
        <v>1013850</v>
      </c>
    </row>
    <row r="860" spans="1:20" x14ac:dyDescent="0.3">
      <c r="B860" s="84">
        <v>1013866</v>
      </c>
      <c r="C860" s="85">
        <v>1012748</v>
      </c>
      <c r="D860" s="84" t="s">
        <v>6</v>
      </c>
      <c r="E860" s="84" t="s">
        <v>345</v>
      </c>
      <c r="F860" s="86" t="s">
        <v>1554</v>
      </c>
      <c r="G860" s="87" t="s">
        <v>258</v>
      </c>
      <c r="H860" s="87">
        <v>3</v>
      </c>
      <c r="I860" s="89"/>
      <c r="J860" s="89"/>
      <c r="K860" s="89" t="s">
        <v>1614</v>
      </c>
      <c r="L860" s="84" t="s">
        <v>11</v>
      </c>
      <c r="M860" s="88" t="str">
        <f>VLOOKUP(L860,lookups!B:C,2,FALSE)</f>
        <v>Randy</v>
      </c>
      <c r="N860" s="89" t="str">
        <f>VLOOKUP(K860,TeamLookup[],2,0)</f>
        <v>Cyber</v>
      </c>
      <c r="O860" s="84">
        <f>VLOOKUP(VALUE($S860),lookups!I:J,2,FALSE)</f>
        <v>33</v>
      </c>
      <c r="P860" s="84" t="e">
        <f>VLOOKUP(VALUE($S860),lookups!F:G,2,FALSE)</f>
        <v>#N/A</v>
      </c>
      <c r="Q860" s="84" t="str">
        <f t="shared" si="52"/>
        <v>ParentNotInCyberQuery</v>
      </c>
      <c r="R860" s="84" t="str">
        <f t="shared" si="53"/>
        <v>MT</v>
      </c>
      <c r="S860" s="84">
        <f t="shared" si="54"/>
        <v>1012748</v>
      </c>
      <c r="T860" s="84">
        <f t="shared" si="55"/>
        <v>1013866</v>
      </c>
    </row>
    <row r="861" spans="1:20" x14ac:dyDescent="0.3">
      <c r="B861" s="84">
        <v>1017352</v>
      </c>
      <c r="C861" s="85">
        <v>1012748</v>
      </c>
      <c r="D861" s="84" t="s">
        <v>6</v>
      </c>
      <c r="E861" s="84" t="s">
        <v>7</v>
      </c>
      <c r="F861" s="86" t="s">
        <v>1661</v>
      </c>
      <c r="G861" s="93" t="s">
        <v>1402</v>
      </c>
      <c r="H861" s="87">
        <v>1</v>
      </c>
      <c r="I861" s="84"/>
      <c r="J861" s="84"/>
      <c r="K861" s="84" t="s">
        <v>1614</v>
      </c>
      <c r="L861" s="84" t="s">
        <v>108</v>
      </c>
      <c r="M861" s="88" t="str">
        <f>VLOOKUP(L861,lookups!B:C,2,FALSE)</f>
        <v>Conan</v>
      </c>
      <c r="N861" s="89" t="str">
        <f>VLOOKUP(K861,TeamLookup[],2,0)</f>
        <v>Cyber</v>
      </c>
      <c r="O861" s="84">
        <f>VLOOKUP(VALUE($S861),lookups!I:J,2,FALSE)</f>
        <v>33</v>
      </c>
      <c r="P861" s="84" t="e">
        <f>VLOOKUP(VALUE($S861),lookups!F:G,2,FALSE)</f>
        <v>#N/A</v>
      </c>
      <c r="Q861" s="84" t="str">
        <f t="shared" si="52"/>
        <v>ParentNotInCyberQuery</v>
      </c>
      <c r="R861" s="84" t="str">
        <f t="shared" si="53"/>
        <v>MT</v>
      </c>
      <c r="S861" s="84">
        <f t="shared" si="54"/>
        <v>1012748</v>
      </c>
      <c r="T861" s="84">
        <f t="shared" si="55"/>
        <v>1017352</v>
      </c>
    </row>
    <row r="862" spans="1:20" x14ac:dyDescent="0.3">
      <c r="B862" s="84">
        <v>1013867</v>
      </c>
      <c r="C862" s="85">
        <v>1012748</v>
      </c>
      <c r="D862" s="84" t="s">
        <v>6</v>
      </c>
      <c r="E862" s="84" t="s">
        <v>7</v>
      </c>
      <c r="F862" s="86" t="s">
        <v>1553</v>
      </c>
      <c r="G862" s="87" t="s">
        <v>1402</v>
      </c>
      <c r="H862" s="87">
        <v>2</v>
      </c>
      <c r="I862" s="84"/>
      <c r="J862" s="84"/>
      <c r="K862" s="84" t="s">
        <v>1614</v>
      </c>
      <c r="L862" s="84" t="s">
        <v>11</v>
      </c>
      <c r="M862" s="88" t="str">
        <f>VLOOKUP(L862,lookups!B:C,2,FALSE)</f>
        <v>Randy</v>
      </c>
      <c r="N862" s="89" t="str">
        <f>VLOOKUP(K862,TeamLookup[],2,0)</f>
        <v>Cyber</v>
      </c>
      <c r="O862" s="84">
        <f>VLOOKUP(VALUE($S862),lookups!I:J,2,FALSE)</f>
        <v>33</v>
      </c>
      <c r="P862" s="84" t="e">
        <f>VLOOKUP(VALUE($S862),lookups!F:G,2,FALSE)</f>
        <v>#N/A</v>
      </c>
      <c r="Q862" s="84" t="str">
        <f t="shared" si="52"/>
        <v>ParentNotInCyberQuery</v>
      </c>
      <c r="R862" s="84" t="str">
        <f t="shared" si="53"/>
        <v>MT</v>
      </c>
      <c r="S862" s="84">
        <f t="shared" si="54"/>
        <v>1012748</v>
      </c>
      <c r="T862" s="84">
        <f t="shared" si="55"/>
        <v>1013867</v>
      </c>
    </row>
    <row r="863" spans="1:20" ht="28.8" x14ac:dyDescent="0.3">
      <c r="B863" s="84">
        <v>1013210</v>
      </c>
      <c r="C863" s="85">
        <v>1013196</v>
      </c>
      <c r="D863" s="84" t="s">
        <v>6</v>
      </c>
      <c r="E863" s="84" t="s">
        <v>7</v>
      </c>
      <c r="F863" s="86" t="s">
        <v>1384</v>
      </c>
      <c r="G863" s="87" t="s">
        <v>442</v>
      </c>
      <c r="H863" s="87">
        <v>20</v>
      </c>
      <c r="I863" s="84"/>
      <c r="J863" s="84"/>
      <c r="K863" s="84" t="s">
        <v>1614</v>
      </c>
      <c r="L863" s="84" t="s">
        <v>108</v>
      </c>
      <c r="M863" s="88" t="str">
        <f>VLOOKUP(L863,lookups!B:C,2,FALSE)</f>
        <v>Conan</v>
      </c>
      <c r="N863" s="89" t="str">
        <f>VLOOKUP(K863,TeamLookup[],2,0)</f>
        <v>Cyber</v>
      </c>
      <c r="O863" s="84" t="e">
        <f>VLOOKUP(VALUE($S863),lookups!I:J,2,FALSE)</f>
        <v>#N/A</v>
      </c>
      <c r="P863" s="84" t="e">
        <f>VLOOKUP(VALUE($S863),lookups!F:G,2,FALSE)</f>
        <v>#N/A</v>
      </c>
      <c r="Q863" s="84" t="str">
        <f t="shared" si="52"/>
        <v>ParentNotInCyberQuery</v>
      </c>
      <c r="R863" s="84" t="str">
        <f t="shared" si="53"/>
        <v>MT</v>
      </c>
      <c r="S863" s="84">
        <f t="shared" si="54"/>
        <v>1013196</v>
      </c>
      <c r="T863" s="84">
        <f t="shared" si="55"/>
        <v>1013210</v>
      </c>
    </row>
    <row r="864" spans="1:20" ht="28.8" x14ac:dyDescent="0.3">
      <c r="B864" s="84">
        <v>1022368</v>
      </c>
      <c r="C864" s="85">
        <v>1013452</v>
      </c>
      <c r="D864" s="84" t="s">
        <v>6</v>
      </c>
      <c r="E864" s="84" t="s">
        <v>345</v>
      </c>
      <c r="F864" s="86" t="s">
        <v>1611</v>
      </c>
      <c r="G864" s="87" t="s">
        <v>256</v>
      </c>
      <c r="H864" s="87">
        <v>2</v>
      </c>
      <c r="I864" s="89" t="s">
        <v>1446</v>
      </c>
      <c r="J864" s="89"/>
      <c r="K864" s="89" t="s">
        <v>1614</v>
      </c>
      <c r="L864" s="84" t="s">
        <v>107</v>
      </c>
      <c r="M864" s="88" t="str">
        <f>VLOOKUP(L864,lookups!B:C,2,FALSE)</f>
        <v>Chris</v>
      </c>
      <c r="N864" s="89" t="str">
        <f>VLOOKUP(K864,TeamLookup[],2,0)</f>
        <v>Cyber</v>
      </c>
      <c r="O864" s="84">
        <f>VLOOKUP(VALUE($S864),lookups!I:J,2,FALSE)</f>
        <v>64</v>
      </c>
      <c r="P864" s="84" t="e">
        <f>VLOOKUP(VALUE($S864),lookups!F:G,2,FALSE)</f>
        <v>#N/A</v>
      </c>
      <c r="Q864" s="84" t="str">
        <f t="shared" si="52"/>
        <v>ParentNotInCyberQuery</v>
      </c>
      <c r="R864" s="84" t="str">
        <f t="shared" si="53"/>
        <v>MT</v>
      </c>
      <c r="S864" s="84">
        <f t="shared" si="54"/>
        <v>1013452</v>
      </c>
      <c r="T864" s="84">
        <f t="shared" si="55"/>
        <v>1022368</v>
      </c>
    </row>
    <row r="865" spans="2:20" x14ac:dyDescent="0.3">
      <c r="B865" s="84">
        <v>1013465</v>
      </c>
      <c r="C865" s="85">
        <v>1013452</v>
      </c>
      <c r="D865" s="84" t="s">
        <v>6</v>
      </c>
      <c r="E865" s="84" t="s">
        <v>7</v>
      </c>
      <c r="F865" s="86" t="s">
        <v>1412</v>
      </c>
      <c r="G865" s="87" t="s">
        <v>353</v>
      </c>
      <c r="H865" s="87">
        <v>5</v>
      </c>
      <c r="I865" s="84" t="s">
        <v>1446</v>
      </c>
      <c r="J865" s="84" t="s">
        <v>1395</v>
      </c>
      <c r="K865" s="84" t="s">
        <v>1614</v>
      </c>
      <c r="L865" s="84" t="s">
        <v>8</v>
      </c>
      <c r="M865" s="88" t="str">
        <f>VLOOKUP(L865,lookups!B:C,2,FALSE)</f>
        <v>TBD</v>
      </c>
      <c r="N865" s="89" t="str">
        <f>VLOOKUP(K865,TeamLookup[],2,0)</f>
        <v>Cyber</v>
      </c>
      <c r="O865" s="84">
        <f>VLOOKUP(VALUE($S865),lookups!I:J,2,FALSE)</f>
        <v>64</v>
      </c>
      <c r="P865" s="84" t="e">
        <f>VLOOKUP(VALUE($S865),lookups!F:G,2,FALSE)</f>
        <v>#N/A</v>
      </c>
      <c r="Q865" s="84" t="str">
        <f t="shared" si="52"/>
        <v>ParentNotInCyberQuery</v>
      </c>
      <c r="R865" s="84" t="str">
        <f t="shared" si="53"/>
        <v>MT</v>
      </c>
      <c r="S865" s="84">
        <f t="shared" si="54"/>
        <v>1013452</v>
      </c>
      <c r="T865" s="84">
        <f t="shared" si="55"/>
        <v>1013465</v>
      </c>
    </row>
    <row r="866" spans="2:20" ht="28.8" x14ac:dyDescent="0.3">
      <c r="B866" s="84">
        <v>1013458</v>
      </c>
      <c r="C866" s="85">
        <v>1013452</v>
      </c>
      <c r="D866" s="84" t="s">
        <v>6</v>
      </c>
      <c r="E866" s="84" t="s">
        <v>7</v>
      </c>
      <c r="F866" s="91" t="s">
        <v>1413</v>
      </c>
      <c r="G866" s="87" t="s">
        <v>353</v>
      </c>
      <c r="H866" s="87">
        <v>5</v>
      </c>
      <c r="I866" s="89" t="s">
        <v>1446</v>
      </c>
      <c r="J866" s="89" t="s">
        <v>1396</v>
      </c>
      <c r="K866" s="89" t="s">
        <v>1614</v>
      </c>
      <c r="L866" s="84" t="s">
        <v>8</v>
      </c>
      <c r="M866" s="88" t="str">
        <f>VLOOKUP(L866,lookups!B:C,2,FALSE)</f>
        <v>TBD</v>
      </c>
      <c r="N866" s="89" t="str">
        <f>VLOOKUP(K866,TeamLookup[],2,0)</f>
        <v>Cyber</v>
      </c>
      <c r="O866" s="84">
        <f>VLOOKUP(VALUE($S866),lookups!I:J,2,FALSE)</f>
        <v>64</v>
      </c>
      <c r="P866" s="84" t="e">
        <f>VLOOKUP(VALUE($S866),lookups!F:G,2,FALSE)</f>
        <v>#N/A</v>
      </c>
      <c r="Q866" s="84" t="str">
        <f t="shared" si="52"/>
        <v>ParentNotInCyberQuery</v>
      </c>
      <c r="R866" s="84" t="str">
        <f t="shared" si="53"/>
        <v>MT</v>
      </c>
      <c r="S866" s="84">
        <f t="shared" si="54"/>
        <v>1013452</v>
      </c>
      <c r="T866" s="84">
        <f t="shared" si="55"/>
        <v>1013458</v>
      </c>
    </row>
    <row r="867" spans="2:20" x14ac:dyDescent="0.3">
      <c r="B867" s="84">
        <v>1013964</v>
      </c>
      <c r="C867" s="85">
        <v>1013961</v>
      </c>
      <c r="D867" s="84" t="s">
        <v>6</v>
      </c>
      <c r="E867" s="84" t="s">
        <v>7</v>
      </c>
      <c r="F867" s="86" t="s">
        <v>1663</v>
      </c>
      <c r="G867" s="87" t="s">
        <v>353</v>
      </c>
      <c r="H867" s="87">
        <v>5</v>
      </c>
      <c r="I867" s="89"/>
      <c r="J867" s="89"/>
      <c r="K867" s="89" t="s">
        <v>1614</v>
      </c>
      <c r="L867" s="84" t="s">
        <v>129</v>
      </c>
      <c r="M867" s="88" t="str">
        <f>VLOOKUP(L867,lookups!B:C,2,FALSE)</f>
        <v>Derek</v>
      </c>
      <c r="N867" s="89" t="str">
        <f>VLOOKUP(K867,TeamLookup[],2,0)</f>
        <v>Cyber</v>
      </c>
      <c r="O867" s="84" t="e">
        <f>VLOOKUP(VALUE($S867),lookups!I:J,2,FALSE)</f>
        <v>#N/A</v>
      </c>
      <c r="P867" s="84" t="e">
        <f>VLOOKUP(VALUE($S867),lookups!F:G,2,FALSE)</f>
        <v>#N/A</v>
      </c>
      <c r="Q867" s="84" t="str">
        <f t="shared" si="52"/>
        <v>ParentNotInCyberQuery</v>
      </c>
      <c r="R867" s="84" t="str">
        <f t="shared" si="53"/>
        <v>MT</v>
      </c>
      <c r="S867" s="84">
        <f t="shared" si="54"/>
        <v>1013961</v>
      </c>
      <c r="T867" s="84">
        <f t="shared" si="55"/>
        <v>1013964</v>
      </c>
    </row>
    <row r="868" spans="2:20" x14ac:dyDescent="0.3">
      <c r="B868" s="84">
        <v>1014167</v>
      </c>
      <c r="C868" s="85">
        <v>1014162</v>
      </c>
      <c r="D868" s="84" t="s">
        <v>6</v>
      </c>
      <c r="E868" s="88" t="s">
        <v>7</v>
      </c>
      <c r="F868" s="86" t="s">
        <v>1639</v>
      </c>
      <c r="G868" s="87" t="s">
        <v>1402</v>
      </c>
      <c r="H868" s="87">
        <v>1</v>
      </c>
      <c r="I868" s="89"/>
      <c r="J868" s="89"/>
      <c r="K868" s="89" t="s">
        <v>1614</v>
      </c>
      <c r="L868" s="84" t="s">
        <v>37</v>
      </c>
      <c r="M868" s="88" t="str">
        <f>VLOOKUP(L868,lookups!B:C,2,FALSE)</f>
        <v>Kent</v>
      </c>
      <c r="N868" s="89" t="str">
        <f>VLOOKUP(K868,TeamLookup[],2,0)</f>
        <v>Cyber</v>
      </c>
      <c r="O868" s="84" t="e">
        <f>VLOOKUP(VALUE($S868),lookups!I:J,2,FALSE)</f>
        <v>#N/A</v>
      </c>
      <c r="P868" s="84" t="e">
        <f>VLOOKUP(VALUE($S868),lookups!F:G,2,FALSE)</f>
        <v>#N/A</v>
      </c>
      <c r="Q868" s="84" t="str">
        <f t="shared" si="52"/>
        <v>ParentNotInCyberQuery</v>
      </c>
      <c r="R868" s="84" t="str">
        <f t="shared" si="53"/>
        <v>MT</v>
      </c>
      <c r="S868" s="84">
        <f t="shared" si="54"/>
        <v>1014162</v>
      </c>
      <c r="T868" s="84">
        <f t="shared" si="55"/>
        <v>1014167</v>
      </c>
    </row>
    <row r="869" spans="2:20" x14ac:dyDescent="0.3">
      <c r="B869" s="84">
        <v>1023760</v>
      </c>
      <c r="C869" s="85">
        <v>1014162</v>
      </c>
      <c r="D869" s="84" t="s">
        <v>6</v>
      </c>
      <c r="E869" s="84" t="s">
        <v>7</v>
      </c>
      <c r="F869" s="86" t="s">
        <v>1639</v>
      </c>
      <c r="G869" s="87" t="s">
        <v>1447</v>
      </c>
      <c r="H869" s="87">
        <v>1</v>
      </c>
      <c r="I869" s="89"/>
      <c r="J869" s="89"/>
      <c r="K869" s="89" t="s">
        <v>1614</v>
      </c>
      <c r="L869" s="84" t="s">
        <v>37</v>
      </c>
      <c r="M869" s="88" t="str">
        <f>VLOOKUP(L869,lookups!B:C,2,FALSE)</f>
        <v>Kent</v>
      </c>
      <c r="N869" s="89" t="str">
        <f>VLOOKUP(K869,TeamLookup[],2,0)</f>
        <v>Cyber</v>
      </c>
      <c r="O869" s="84" t="e">
        <f>VLOOKUP(VALUE($S869),lookups!I:J,2,FALSE)</f>
        <v>#N/A</v>
      </c>
      <c r="P869" s="84" t="e">
        <f>VLOOKUP(VALUE($S869),lookups!F:G,2,FALSE)</f>
        <v>#N/A</v>
      </c>
      <c r="Q869" s="84" t="str">
        <f t="shared" si="52"/>
        <v>ParentNotInCyberQuery</v>
      </c>
      <c r="R869" s="84" t="str">
        <f t="shared" si="53"/>
        <v>MT</v>
      </c>
      <c r="S869" s="84">
        <f t="shared" si="54"/>
        <v>1014162</v>
      </c>
      <c r="T869" s="84">
        <f t="shared" si="55"/>
        <v>1023760</v>
      </c>
    </row>
    <row r="870" spans="2:20" x14ac:dyDescent="0.3">
      <c r="B870" s="84">
        <v>1023761</v>
      </c>
      <c r="C870" s="85">
        <v>1014162</v>
      </c>
      <c r="D870" s="84" t="s">
        <v>6</v>
      </c>
      <c r="E870" s="84" t="s">
        <v>7</v>
      </c>
      <c r="F870" s="86" t="s">
        <v>1639</v>
      </c>
      <c r="G870" s="87" t="s">
        <v>1411</v>
      </c>
      <c r="H870" s="87">
        <v>1</v>
      </c>
      <c r="I870" s="84"/>
      <c r="J870" s="84"/>
      <c r="K870" s="84" t="s">
        <v>1614</v>
      </c>
      <c r="L870" s="84" t="s">
        <v>37</v>
      </c>
      <c r="M870" s="88" t="str">
        <f>VLOOKUP(L870,lookups!B:C,2,FALSE)</f>
        <v>Kent</v>
      </c>
      <c r="N870" s="89" t="str">
        <f>VLOOKUP(K870,TeamLookup[],2,0)</f>
        <v>Cyber</v>
      </c>
      <c r="O870" s="84" t="e">
        <f>VLOOKUP(VALUE($S870),lookups!I:J,2,FALSE)</f>
        <v>#N/A</v>
      </c>
      <c r="P870" s="84" t="e">
        <f>VLOOKUP(VALUE($S870),lookups!F:G,2,FALSE)</f>
        <v>#N/A</v>
      </c>
      <c r="Q870" s="84" t="str">
        <f t="shared" si="52"/>
        <v>ParentNotInCyberQuery</v>
      </c>
      <c r="R870" s="84" t="str">
        <f t="shared" si="53"/>
        <v>MT</v>
      </c>
      <c r="S870" s="84">
        <f t="shared" si="54"/>
        <v>1014162</v>
      </c>
      <c r="T870" s="84">
        <f t="shared" si="55"/>
        <v>1023761</v>
      </c>
    </row>
    <row r="871" spans="2:20" x14ac:dyDescent="0.3">
      <c r="B871" s="84">
        <v>1023762</v>
      </c>
      <c r="C871" s="85">
        <v>1014162</v>
      </c>
      <c r="D871" s="84" t="s">
        <v>6</v>
      </c>
      <c r="E871" s="84" t="s">
        <v>7</v>
      </c>
      <c r="F871" s="86" t="s">
        <v>1639</v>
      </c>
      <c r="G871" s="87" t="s">
        <v>1528</v>
      </c>
      <c r="H871" s="87">
        <v>1</v>
      </c>
      <c r="I871" s="89"/>
      <c r="J871" s="89"/>
      <c r="K871" s="89" t="s">
        <v>1614</v>
      </c>
      <c r="L871" s="84" t="s">
        <v>37</v>
      </c>
      <c r="M871" s="88" t="str">
        <f>VLOOKUP(L871,lookups!B:C,2,FALSE)</f>
        <v>Kent</v>
      </c>
      <c r="N871" s="89" t="str">
        <f>VLOOKUP(K871,TeamLookup[],2,0)</f>
        <v>Cyber</v>
      </c>
      <c r="O871" s="84" t="e">
        <f>VLOOKUP(VALUE($S871),lookups!I:J,2,FALSE)</f>
        <v>#N/A</v>
      </c>
      <c r="P871" s="84" t="e">
        <f>VLOOKUP(VALUE($S871),lookups!F:G,2,FALSE)</f>
        <v>#N/A</v>
      </c>
      <c r="Q871" s="84" t="str">
        <f t="shared" si="52"/>
        <v>ParentNotInCyberQuery</v>
      </c>
      <c r="R871" s="84" t="str">
        <f t="shared" si="53"/>
        <v>MT</v>
      </c>
      <c r="S871" s="84">
        <f t="shared" si="54"/>
        <v>1014162</v>
      </c>
      <c r="T871" s="84">
        <f t="shared" si="55"/>
        <v>1023762</v>
      </c>
    </row>
    <row r="872" spans="2:20" x14ac:dyDescent="0.3">
      <c r="B872" s="84">
        <v>1015238</v>
      </c>
      <c r="C872" s="85">
        <v>1014362</v>
      </c>
      <c r="D872" s="84" t="s">
        <v>6</v>
      </c>
      <c r="E872" s="84" t="s">
        <v>7</v>
      </c>
      <c r="F872" s="86" t="s">
        <v>1628</v>
      </c>
      <c r="G872" s="87" t="s">
        <v>1402</v>
      </c>
      <c r="H872" s="87">
        <v>3</v>
      </c>
      <c r="I872" s="89"/>
      <c r="J872" s="89"/>
      <c r="K872" s="89" t="s">
        <v>1614</v>
      </c>
      <c r="L872" s="84" t="s">
        <v>8</v>
      </c>
      <c r="M872" s="88" t="str">
        <f>VLOOKUP(L872,lookups!B:C,2,FALSE)</f>
        <v>TBD</v>
      </c>
      <c r="N872" s="89" t="str">
        <f>VLOOKUP(K872,TeamLookup[],2,0)</f>
        <v>Cyber</v>
      </c>
      <c r="O872" s="84" t="e">
        <f>VLOOKUP(VALUE($S872),lookups!I:J,2,FALSE)</f>
        <v>#N/A</v>
      </c>
      <c r="P872" s="84" t="e">
        <f>VLOOKUP(VALUE($S872),lookups!F:G,2,FALSE)</f>
        <v>#N/A</v>
      </c>
      <c r="Q872" s="84" t="str">
        <f t="shared" si="52"/>
        <v>ParentNotInCyberQuery</v>
      </c>
      <c r="R872" s="84" t="str">
        <f t="shared" si="53"/>
        <v>MT</v>
      </c>
      <c r="S872" s="84">
        <f t="shared" si="54"/>
        <v>1014362</v>
      </c>
      <c r="T872" s="84">
        <f t="shared" si="55"/>
        <v>1015238</v>
      </c>
    </row>
    <row r="873" spans="2:20" x14ac:dyDescent="0.3">
      <c r="B873" s="84">
        <v>1023155</v>
      </c>
      <c r="C873" s="85">
        <v>1014362</v>
      </c>
      <c r="D873" s="84" t="s">
        <v>6</v>
      </c>
      <c r="E873" s="84" t="s">
        <v>7</v>
      </c>
      <c r="F873" s="86" t="s">
        <v>1628</v>
      </c>
      <c r="G873" s="87" t="s">
        <v>1447</v>
      </c>
      <c r="H873" s="87">
        <v>3</v>
      </c>
      <c r="I873" s="89"/>
      <c r="J873" s="89"/>
      <c r="K873" s="89" t="s">
        <v>1614</v>
      </c>
      <c r="L873" s="84" t="s">
        <v>8</v>
      </c>
      <c r="M873" s="88" t="str">
        <f>VLOOKUP(L873,lookups!B:C,2,FALSE)</f>
        <v>TBD</v>
      </c>
      <c r="N873" s="89" t="str">
        <f>VLOOKUP(K873,TeamLookup[],2,0)</f>
        <v>Cyber</v>
      </c>
      <c r="O873" s="84" t="e">
        <f>VLOOKUP(VALUE($S873),lookups!I:J,2,FALSE)</f>
        <v>#N/A</v>
      </c>
      <c r="P873" s="84" t="e">
        <f>VLOOKUP(VALUE($S873),lookups!F:G,2,FALSE)</f>
        <v>#N/A</v>
      </c>
      <c r="Q873" s="84" t="str">
        <f t="shared" si="52"/>
        <v>ParentNotInCyberQuery</v>
      </c>
      <c r="R873" s="84" t="str">
        <f t="shared" si="53"/>
        <v>MT</v>
      </c>
      <c r="S873" s="84">
        <f t="shared" si="54"/>
        <v>1014362</v>
      </c>
      <c r="T873" s="84">
        <f t="shared" si="55"/>
        <v>1023155</v>
      </c>
    </row>
    <row r="874" spans="2:20" x14ac:dyDescent="0.3">
      <c r="B874" s="84">
        <v>1023177</v>
      </c>
      <c r="C874" s="85">
        <v>1014362</v>
      </c>
      <c r="D874" s="84" t="s">
        <v>6</v>
      </c>
      <c r="E874" s="84" t="s">
        <v>7</v>
      </c>
      <c r="F874" s="86" t="s">
        <v>1628</v>
      </c>
      <c r="G874" s="87" t="s">
        <v>1411</v>
      </c>
      <c r="H874" s="87">
        <v>3</v>
      </c>
      <c r="I874" s="89"/>
      <c r="J874" s="89"/>
      <c r="K874" s="89" t="s">
        <v>1614</v>
      </c>
      <c r="L874" s="84" t="s">
        <v>8</v>
      </c>
      <c r="M874" s="88" t="str">
        <f>VLOOKUP(L874,lookups!B:C,2,FALSE)</f>
        <v>TBD</v>
      </c>
      <c r="N874" s="89" t="str">
        <f>VLOOKUP(K874,TeamLookup[],2,0)</f>
        <v>Cyber</v>
      </c>
      <c r="O874" s="84" t="e">
        <f>VLOOKUP(VALUE($S874),lookups!I:J,2,FALSE)</f>
        <v>#N/A</v>
      </c>
      <c r="P874" s="84" t="e">
        <f>VLOOKUP(VALUE($S874),lookups!F:G,2,FALSE)</f>
        <v>#N/A</v>
      </c>
      <c r="Q874" s="84" t="str">
        <f t="shared" si="52"/>
        <v>ParentNotInCyberQuery</v>
      </c>
      <c r="R874" s="84" t="str">
        <f t="shared" si="53"/>
        <v>MT</v>
      </c>
      <c r="S874" s="84">
        <f t="shared" si="54"/>
        <v>1014362</v>
      </c>
      <c r="T874" s="84">
        <f t="shared" si="55"/>
        <v>1023177</v>
      </c>
    </row>
    <row r="875" spans="2:20" x14ac:dyDescent="0.3">
      <c r="B875" s="84">
        <v>1023183</v>
      </c>
      <c r="C875" s="85">
        <v>1014362</v>
      </c>
      <c r="D875" s="84" t="s">
        <v>6</v>
      </c>
      <c r="E875" s="84" t="s">
        <v>7</v>
      </c>
      <c r="F875" s="86" t="s">
        <v>1628</v>
      </c>
      <c r="G875" s="87" t="s">
        <v>1528</v>
      </c>
      <c r="H875" s="87">
        <v>1</v>
      </c>
      <c r="I875" s="84"/>
      <c r="J875" s="84"/>
      <c r="K875" s="84" t="s">
        <v>1614</v>
      </c>
      <c r="L875" s="84" t="s">
        <v>8</v>
      </c>
      <c r="M875" s="88" t="str">
        <f>VLOOKUP(L875,lookups!B:C,2,FALSE)</f>
        <v>TBD</v>
      </c>
      <c r="N875" s="89" t="str">
        <f>VLOOKUP(K875,TeamLookup[],2,0)</f>
        <v>Cyber</v>
      </c>
      <c r="O875" s="84" t="e">
        <f>VLOOKUP(VALUE($S875),lookups!I:J,2,FALSE)</f>
        <v>#N/A</v>
      </c>
      <c r="P875" s="84" t="e">
        <f>VLOOKUP(VALUE($S875),lookups!F:G,2,FALSE)</f>
        <v>#N/A</v>
      </c>
      <c r="Q875" s="84" t="str">
        <f t="shared" si="52"/>
        <v>ParentNotInCyberQuery</v>
      </c>
      <c r="R875" s="84" t="str">
        <f t="shared" si="53"/>
        <v>MT</v>
      </c>
      <c r="S875" s="84">
        <f t="shared" si="54"/>
        <v>1014362</v>
      </c>
      <c r="T875" s="84">
        <f t="shared" si="55"/>
        <v>1023183</v>
      </c>
    </row>
    <row r="876" spans="2:20" x14ac:dyDescent="0.3">
      <c r="B876" s="84">
        <v>1014390</v>
      </c>
      <c r="C876" s="85">
        <v>1014387</v>
      </c>
      <c r="D876" s="84" t="s">
        <v>6</v>
      </c>
      <c r="E876" s="84" t="s">
        <v>345</v>
      </c>
      <c r="F876" s="86" t="s">
        <v>1498</v>
      </c>
      <c r="G876" s="87" t="s">
        <v>258</v>
      </c>
      <c r="H876" s="87">
        <v>2</v>
      </c>
      <c r="I876" s="89"/>
      <c r="J876" s="89"/>
      <c r="K876" s="89" t="s">
        <v>1614</v>
      </c>
      <c r="L876" s="84" t="s">
        <v>37</v>
      </c>
      <c r="M876" s="88" t="str">
        <f>VLOOKUP(L876,lookups!B:C,2,FALSE)</f>
        <v>Kent</v>
      </c>
      <c r="N876" s="89" t="str">
        <f>VLOOKUP(K876,TeamLookup[],2,0)</f>
        <v>Cyber</v>
      </c>
      <c r="O876" s="84">
        <f>VLOOKUP(VALUE($S876),lookups!I:J,2,FALSE)</f>
        <v>58</v>
      </c>
      <c r="P876" s="84" t="e">
        <f>VLOOKUP(VALUE($S876),lookups!F:G,2,FALSE)</f>
        <v>#N/A</v>
      </c>
      <c r="Q876" s="84" t="str">
        <f t="shared" si="52"/>
        <v>ParentNotInCyberQuery</v>
      </c>
      <c r="R876" s="84" t="str">
        <f t="shared" si="53"/>
        <v>MT</v>
      </c>
      <c r="S876" s="84">
        <f t="shared" si="54"/>
        <v>1014387</v>
      </c>
      <c r="T876" s="84">
        <f t="shared" si="55"/>
        <v>1014390</v>
      </c>
    </row>
    <row r="877" spans="2:20" x14ac:dyDescent="0.3">
      <c r="B877" s="84">
        <v>1015258</v>
      </c>
      <c r="C877" s="85">
        <v>1014595</v>
      </c>
      <c r="D877" s="84" t="s">
        <v>6</v>
      </c>
      <c r="E877" s="84" t="s">
        <v>345</v>
      </c>
      <c r="F877" s="86" t="s">
        <v>1437</v>
      </c>
      <c r="G877" s="87" t="s">
        <v>260</v>
      </c>
      <c r="H877" s="87">
        <v>2</v>
      </c>
      <c r="I877" s="89"/>
      <c r="J877" s="89"/>
      <c r="K877" s="89" t="s">
        <v>1614</v>
      </c>
      <c r="L877" s="84" t="s">
        <v>37</v>
      </c>
      <c r="M877" s="88" t="str">
        <f>VLOOKUP(L877,lookups!B:C,2,FALSE)</f>
        <v>Kent</v>
      </c>
      <c r="N877" s="89" t="str">
        <f>VLOOKUP(K877,TeamLookup[],2,0)</f>
        <v>Cyber</v>
      </c>
      <c r="O877" s="84">
        <f>VLOOKUP(VALUE($S877),lookups!I:J,2,FALSE)</f>
        <v>29</v>
      </c>
      <c r="P877" s="84" t="e">
        <f>VLOOKUP(VALUE($S877),lookups!F:G,2,FALSE)</f>
        <v>#N/A</v>
      </c>
      <c r="Q877" s="84" t="str">
        <f t="shared" si="52"/>
        <v>ParentNotInCyberQuery</v>
      </c>
      <c r="R877" s="84" t="str">
        <f t="shared" si="53"/>
        <v>MT</v>
      </c>
      <c r="S877" s="84">
        <f t="shared" si="54"/>
        <v>1014595</v>
      </c>
      <c r="T877" s="84">
        <f t="shared" si="55"/>
        <v>1015258</v>
      </c>
    </row>
    <row r="878" spans="2:20" x14ac:dyDescent="0.3">
      <c r="B878" s="84">
        <v>1015973</v>
      </c>
      <c r="C878" s="85">
        <v>1014595</v>
      </c>
      <c r="D878" s="84" t="s">
        <v>6</v>
      </c>
      <c r="E878" s="84" t="s">
        <v>345</v>
      </c>
      <c r="F878" s="86" t="s">
        <v>1437</v>
      </c>
      <c r="G878" s="87" t="s">
        <v>259</v>
      </c>
      <c r="H878" s="87">
        <v>3</v>
      </c>
      <c r="I878" s="89"/>
      <c r="J878" s="89"/>
      <c r="K878" s="89" t="s">
        <v>1614</v>
      </c>
      <c r="L878" s="84" t="s">
        <v>37</v>
      </c>
      <c r="M878" s="88" t="str">
        <f>VLOOKUP(L878,lookups!B:C,2,FALSE)</f>
        <v>Kent</v>
      </c>
      <c r="N878" s="89" t="str">
        <f>VLOOKUP(K878,TeamLookup[],2,0)</f>
        <v>Cyber</v>
      </c>
      <c r="O878" s="84">
        <f>VLOOKUP(VALUE($S878),lookups!I:J,2,FALSE)</f>
        <v>29</v>
      </c>
      <c r="P878" s="84" t="e">
        <f>VLOOKUP(VALUE($S878),lookups!F:G,2,FALSE)</f>
        <v>#N/A</v>
      </c>
      <c r="Q878" s="84" t="str">
        <f t="shared" si="52"/>
        <v>ParentNotInCyberQuery</v>
      </c>
      <c r="R878" s="84" t="str">
        <f t="shared" si="53"/>
        <v>MT</v>
      </c>
      <c r="S878" s="84">
        <f t="shared" si="54"/>
        <v>1014595</v>
      </c>
      <c r="T878" s="84">
        <f t="shared" si="55"/>
        <v>1015973</v>
      </c>
    </row>
    <row r="879" spans="2:20" x14ac:dyDescent="0.3">
      <c r="B879" s="84">
        <v>1015972</v>
      </c>
      <c r="C879" s="85">
        <v>1014595</v>
      </c>
      <c r="D879" s="84" t="s">
        <v>6</v>
      </c>
      <c r="E879" s="84" t="s">
        <v>345</v>
      </c>
      <c r="F879" s="86" t="s">
        <v>1437</v>
      </c>
      <c r="G879" s="87" t="s">
        <v>256</v>
      </c>
      <c r="H879" s="87">
        <v>3</v>
      </c>
      <c r="I879" s="89"/>
      <c r="J879" s="89"/>
      <c r="K879" s="89" t="s">
        <v>1614</v>
      </c>
      <c r="L879" s="84" t="s">
        <v>37</v>
      </c>
      <c r="M879" s="88" t="str">
        <f>VLOOKUP(L879,lookups!B:C,2,FALSE)</f>
        <v>Kent</v>
      </c>
      <c r="N879" s="89" t="str">
        <f>VLOOKUP(K879,TeamLookup[],2,0)</f>
        <v>Cyber</v>
      </c>
      <c r="O879" s="84">
        <f>VLOOKUP(VALUE($S879),lookups!I:J,2,FALSE)</f>
        <v>29</v>
      </c>
      <c r="P879" s="84" t="e">
        <f>VLOOKUP(VALUE($S879),lookups!F:G,2,FALSE)</f>
        <v>#N/A</v>
      </c>
      <c r="Q879" s="84" t="str">
        <f t="shared" si="52"/>
        <v>ParentNotInCyberQuery</v>
      </c>
      <c r="R879" s="84" t="str">
        <f t="shared" si="53"/>
        <v>MT</v>
      </c>
      <c r="S879" s="84">
        <f t="shared" si="54"/>
        <v>1014595</v>
      </c>
      <c r="T879" s="84">
        <f t="shared" si="55"/>
        <v>1015972</v>
      </c>
    </row>
    <row r="880" spans="2:20" x14ac:dyDescent="0.3">
      <c r="B880" s="84">
        <v>1015974</v>
      </c>
      <c r="C880" s="85">
        <v>1014595</v>
      </c>
      <c r="D880" s="84" t="s">
        <v>6</v>
      </c>
      <c r="E880" s="84" t="s">
        <v>345</v>
      </c>
      <c r="F880" s="86" t="s">
        <v>1437</v>
      </c>
      <c r="G880" s="87" t="s">
        <v>258</v>
      </c>
      <c r="H880" s="87">
        <v>2</v>
      </c>
      <c r="I880" s="89"/>
      <c r="J880" s="89"/>
      <c r="K880" s="89" t="s">
        <v>1614</v>
      </c>
      <c r="L880" s="84" t="s">
        <v>37</v>
      </c>
      <c r="M880" s="88" t="str">
        <f>VLOOKUP(L880,lookups!B:C,2,FALSE)</f>
        <v>Kent</v>
      </c>
      <c r="N880" s="89" t="str">
        <f>VLOOKUP(K880,TeamLookup[],2,0)</f>
        <v>Cyber</v>
      </c>
      <c r="O880" s="84">
        <f>VLOOKUP(VALUE($S880),lookups!I:J,2,FALSE)</f>
        <v>29</v>
      </c>
      <c r="P880" s="84" t="e">
        <f>VLOOKUP(VALUE($S880),lookups!F:G,2,FALSE)</f>
        <v>#N/A</v>
      </c>
      <c r="Q880" s="84" t="str">
        <f t="shared" si="52"/>
        <v>ParentNotInCyberQuery</v>
      </c>
      <c r="R880" s="84" t="str">
        <f t="shared" si="53"/>
        <v>MT</v>
      </c>
      <c r="S880" s="84">
        <f t="shared" si="54"/>
        <v>1014595</v>
      </c>
      <c r="T880" s="84">
        <f t="shared" si="55"/>
        <v>1015974</v>
      </c>
    </row>
    <row r="881" spans="1:20" x14ac:dyDescent="0.3">
      <c r="B881" s="84">
        <v>1021135</v>
      </c>
      <c r="C881" s="85">
        <v>1014596</v>
      </c>
      <c r="D881" s="84" t="s">
        <v>6</v>
      </c>
      <c r="E881" s="84" t="s">
        <v>345</v>
      </c>
      <c r="F881" s="86" t="s">
        <v>1573</v>
      </c>
      <c r="G881" s="87" t="s">
        <v>259</v>
      </c>
      <c r="H881" s="87">
        <v>1</v>
      </c>
      <c r="I881" s="89"/>
      <c r="J881" s="89"/>
      <c r="K881" s="89" t="s">
        <v>1614</v>
      </c>
      <c r="L881" s="84" t="s">
        <v>37</v>
      </c>
      <c r="M881" s="88" t="str">
        <f>VLOOKUP(L881,lookups!B:C,2,FALSE)</f>
        <v>Kent</v>
      </c>
      <c r="N881" s="89" t="str">
        <f>VLOOKUP(K881,TeamLookup[],2,0)</f>
        <v>Cyber</v>
      </c>
      <c r="O881" s="84">
        <f>VLOOKUP(VALUE($S881),lookups!I:J,2,FALSE)</f>
        <v>28</v>
      </c>
      <c r="P881" s="84" t="e">
        <f>VLOOKUP(VALUE($S881),lookups!F:G,2,FALSE)</f>
        <v>#N/A</v>
      </c>
      <c r="Q881" s="84" t="str">
        <f t="shared" si="52"/>
        <v>ParentNotInCyberQuery</v>
      </c>
      <c r="R881" s="84" t="str">
        <f t="shared" si="53"/>
        <v>MT</v>
      </c>
      <c r="S881" s="84">
        <f t="shared" si="54"/>
        <v>1014596</v>
      </c>
      <c r="T881" s="84">
        <f t="shared" si="55"/>
        <v>1021135</v>
      </c>
    </row>
    <row r="882" spans="1:20" x14ac:dyDescent="0.3">
      <c r="B882" s="84">
        <v>1021136</v>
      </c>
      <c r="C882" s="85">
        <v>1014596</v>
      </c>
      <c r="D882" s="84" t="s">
        <v>6</v>
      </c>
      <c r="E882" s="84" t="s">
        <v>345</v>
      </c>
      <c r="F882" s="86" t="s">
        <v>1572</v>
      </c>
      <c r="G882" s="87" t="s">
        <v>256</v>
      </c>
      <c r="H882" s="87">
        <v>1</v>
      </c>
      <c r="I882" s="89"/>
      <c r="J882" s="89"/>
      <c r="K882" s="89" t="s">
        <v>1614</v>
      </c>
      <c r="L882" s="84" t="s">
        <v>37</v>
      </c>
      <c r="M882" s="88" t="str">
        <f>VLOOKUP(L882,lookups!B:C,2,FALSE)</f>
        <v>Kent</v>
      </c>
      <c r="N882" s="89" t="str">
        <f>VLOOKUP(K882,TeamLookup[],2,0)</f>
        <v>Cyber</v>
      </c>
      <c r="O882" s="84">
        <f>VLOOKUP(VALUE($S882),lookups!I:J,2,FALSE)</f>
        <v>28</v>
      </c>
      <c r="P882" s="84" t="e">
        <f>VLOOKUP(VALUE($S882),lookups!F:G,2,FALSE)</f>
        <v>#N/A</v>
      </c>
      <c r="Q882" s="84" t="str">
        <f t="shared" si="52"/>
        <v>ParentNotInCyberQuery</v>
      </c>
      <c r="R882" s="84" t="str">
        <f t="shared" si="53"/>
        <v>MT</v>
      </c>
      <c r="S882" s="84">
        <f t="shared" si="54"/>
        <v>1014596</v>
      </c>
      <c r="T882" s="84">
        <f t="shared" si="55"/>
        <v>1021136</v>
      </c>
    </row>
    <row r="883" spans="1:20" x14ac:dyDescent="0.3">
      <c r="B883" s="84">
        <v>1021137</v>
      </c>
      <c r="C883" s="85">
        <v>1014596</v>
      </c>
      <c r="D883" s="84" t="s">
        <v>6</v>
      </c>
      <c r="E883" s="84" t="s">
        <v>345</v>
      </c>
      <c r="F883" s="86" t="s">
        <v>1571</v>
      </c>
      <c r="G883" s="87" t="s">
        <v>258</v>
      </c>
      <c r="H883" s="87">
        <v>1</v>
      </c>
      <c r="I883" s="89"/>
      <c r="J883" s="89"/>
      <c r="K883" s="89" t="s">
        <v>1614</v>
      </c>
      <c r="L883" s="84" t="s">
        <v>37</v>
      </c>
      <c r="M883" s="88" t="str">
        <f>VLOOKUP(L883,lookups!B:C,2,FALSE)</f>
        <v>Kent</v>
      </c>
      <c r="N883" s="89" t="str">
        <f>VLOOKUP(K883,TeamLookup[],2,0)</f>
        <v>Cyber</v>
      </c>
      <c r="O883" s="84">
        <f>VLOOKUP(VALUE($S883),lookups!I:J,2,FALSE)</f>
        <v>28</v>
      </c>
      <c r="P883" s="84" t="e">
        <f>VLOOKUP(VALUE($S883),lookups!F:G,2,FALSE)</f>
        <v>#N/A</v>
      </c>
      <c r="Q883" s="84" t="str">
        <f t="shared" si="52"/>
        <v>ParentNotInCyberQuery</v>
      </c>
      <c r="R883" s="84" t="str">
        <f t="shared" si="53"/>
        <v>MT</v>
      </c>
      <c r="S883" s="84">
        <f t="shared" si="54"/>
        <v>1014596</v>
      </c>
      <c r="T883" s="84">
        <f t="shared" si="55"/>
        <v>1021137</v>
      </c>
    </row>
    <row r="884" spans="1:20" x14ac:dyDescent="0.3">
      <c r="B884" s="84">
        <v>1015253</v>
      </c>
      <c r="C884" s="85">
        <v>1014597</v>
      </c>
      <c r="D884" s="84" t="s">
        <v>6</v>
      </c>
      <c r="E884" s="84" t="s">
        <v>345</v>
      </c>
      <c r="F884" s="86" t="s">
        <v>1589</v>
      </c>
      <c r="G884" s="87" t="s">
        <v>259</v>
      </c>
      <c r="H884" s="87">
        <v>2</v>
      </c>
      <c r="I884" s="89"/>
      <c r="J884" s="89"/>
      <c r="K884" s="89" t="s">
        <v>1614</v>
      </c>
      <c r="L884" s="84" t="s">
        <v>37</v>
      </c>
      <c r="M884" s="88" t="str">
        <f>VLOOKUP(L884,lookups!B:C,2,FALSE)</f>
        <v>Kent</v>
      </c>
      <c r="N884" s="89" t="str">
        <f>VLOOKUP(K884,TeamLookup[],2,0)</f>
        <v>Cyber</v>
      </c>
      <c r="O884" s="84">
        <f>VLOOKUP(VALUE($S884),lookups!I:J,2,FALSE)</f>
        <v>30</v>
      </c>
      <c r="P884" s="84" t="e">
        <f>VLOOKUP(VALUE($S884),lookups!F:G,2,FALSE)</f>
        <v>#N/A</v>
      </c>
      <c r="Q884" s="84" t="str">
        <f t="shared" si="52"/>
        <v>ParentNotInCyberQuery</v>
      </c>
      <c r="R884" s="84" t="str">
        <f t="shared" si="53"/>
        <v>MT</v>
      </c>
      <c r="S884" s="84">
        <f t="shared" si="54"/>
        <v>1014597</v>
      </c>
      <c r="T884" s="84">
        <f t="shared" si="55"/>
        <v>1015253</v>
      </c>
    </row>
    <row r="885" spans="1:20" x14ac:dyDescent="0.3">
      <c r="B885" s="84">
        <v>1017546</v>
      </c>
      <c r="C885" s="85">
        <v>1014597</v>
      </c>
      <c r="D885" s="84" t="s">
        <v>6</v>
      </c>
      <c r="E885" s="84" t="s">
        <v>345</v>
      </c>
      <c r="F885" s="86" t="s">
        <v>1587</v>
      </c>
      <c r="G885" s="87" t="s">
        <v>256</v>
      </c>
      <c r="H885" s="87">
        <v>2</v>
      </c>
      <c r="I885" s="84"/>
      <c r="J885" s="84"/>
      <c r="K885" s="84" t="s">
        <v>1614</v>
      </c>
      <c r="L885" s="84" t="s">
        <v>37</v>
      </c>
      <c r="M885" s="88" t="str">
        <f>VLOOKUP(L885,lookups!B:C,2,FALSE)</f>
        <v>Kent</v>
      </c>
      <c r="N885" s="89" t="str">
        <f>VLOOKUP(K885,TeamLookup[],2,0)</f>
        <v>Cyber</v>
      </c>
      <c r="O885" s="84">
        <f>VLOOKUP(VALUE($S885),lookups!I:J,2,FALSE)</f>
        <v>30</v>
      </c>
      <c r="P885" s="84" t="e">
        <f>VLOOKUP(VALUE($S885),lookups!F:G,2,FALSE)</f>
        <v>#N/A</v>
      </c>
      <c r="Q885" s="84" t="str">
        <f t="shared" si="52"/>
        <v>ParentNotInCyberQuery</v>
      </c>
      <c r="R885" s="84" t="str">
        <f t="shared" si="53"/>
        <v>MT</v>
      </c>
      <c r="S885" s="84">
        <f t="shared" si="54"/>
        <v>1014597</v>
      </c>
      <c r="T885" s="84">
        <f t="shared" si="55"/>
        <v>1017546</v>
      </c>
    </row>
    <row r="886" spans="1:20" x14ac:dyDescent="0.3">
      <c r="B886" s="84">
        <v>1017547</v>
      </c>
      <c r="C886" s="85">
        <v>1014597</v>
      </c>
      <c r="D886" s="84" t="s">
        <v>6</v>
      </c>
      <c r="E886" s="84" t="s">
        <v>345</v>
      </c>
      <c r="F886" s="86" t="s">
        <v>1586</v>
      </c>
      <c r="G886" s="87" t="s">
        <v>258</v>
      </c>
      <c r="H886" s="87">
        <v>1</v>
      </c>
      <c r="I886" s="89"/>
      <c r="J886" s="89"/>
      <c r="K886" s="89" t="s">
        <v>1614</v>
      </c>
      <c r="L886" s="84" t="s">
        <v>37</v>
      </c>
      <c r="M886" s="88" t="str">
        <f>VLOOKUP(L886,lookups!B:C,2,FALSE)</f>
        <v>Kent</v>
      </c>
      <c r="N886" s="89" t="str">
        <f>VLOOKUP(K886,TeamLookup[],2,0)</f>
        <v>Cyber</v>
      </c>
      <c r="O886" s="84">
        <f>VLOOKUP(VALUE($S886),lookups!I:J,2,FALSE)</f>
        <v>30</v>
      </c>
      <c r="P886" s="84" t="e">
        <f>VLOOKUP(VALUE($S886),lookups!F:G,2,FALSE)</f>
        <v>#N/A</v>
      </c>
      <c r="Q886" s="84" t="str">
        <f t="shared" si="52"/>
        <v>ParentNotInCyberQuery</v>
      </c>
      <c r="R886" s="84" t="str">
        <f t="shared" si="53"/>
        <v>MT</v>
      </c>
      <c r="S886" s="84">
        <f t="shared" si="54"/>
        <v>1014597</v>
      </c>
      <c r="T886" s="84">
        <f t="shared" si="55"/>
        <v>1017547</v>
      </c>
    </row>
    <row r="887" spans="1:20" x14ac:dyDescent="0.3">
      <c r="B887" s="84">
        <v>1015254</v>
      </c>
      <c r="C887" s="85">
        <v>1014602</v>
      </c>
      <c r="D887" s="84" t="s">
        <v>6</v>
      </c>
      <c r="E887" s="84" t="s">
        <v>345</v>
      </c>
      <c r="F887" s="86" t="s">
        <v>1588</v>
      </c>
      <c r="G887" s="87" t="s">
        <v>256</v>
      </c>
      <c r="H887" s="87">
        <v>1</v>
      </c>
      <c r="I887" s="89"/>
      <c r="J887" s="89"/>
      <c r="K887" s="89" t="s">
        <v>1614</v>
      </c>
      <c r="L887" s="84" t="s">
        <v>37</v>
      </c>
      <c r="M887" s="88" t="str">
        <f>VLOOKUP(L887,lookups!B:C,2,FALSE)</f>
        <v>Kent</v>
      </c>
      <c r="N887" s="89" t="str">
        <f>VLOOKUP(K887,TeamLookup[],2,0)</f>
        <v>Cyber</v>
      </c>
      <c r="O887" s="84">
        <f>VLOOKUP(VALUE($S887),lookups!I:J,2,FALSE)</f>
        <v>32</v>
      </c>
      <c r="P887" s="84" t="e">
        <f>VLOOKUP(VALUE($S887),lookups!F:G,2,FALSE)</f>
        <v>#N/A</v>
      </c>
      <c r="Q887" s="84" t="str">
        <f t="shared" si="52"/>
        <v>ParentNotInCyberQuery</v>
      </c>
      <c r="R887" s="84" t="str">
        <f t="shared" si="53"/>
        <v>MT</v>
      </c>
      <c r="S887" s="84">
        <f t="shared" si="54"/>
        <v>1014602</v>
      </c>
      <c r="T887" s="84">
        <f t="shared" si="55"/>
        <v>1015254</v>
      </c>
    </row>
    <row r="888" spans="1:20" x14ac:dyDescent="0.3">
      <c r="B888" s="88">
        <v>1017978</v>
      </c>
      <c r="C888" s="85">
        <v>1014602</v>
      </c>
      <c r="D888" s="84" t="s">
        <v>6</v>
      </c>
      <c r="E888" s="84" t="s">
        <v>345</v>
      </c>
      <c r="F888" s="91" t="s">
        <v>1472</v>
      </c>
      <c r="G888" s="87" t="s">
        <v>258</v>
      </c>
      <c r="H888" s="87">
        <v>1</v>
      </c>
      <c r="I888" s="89"/>
      <c r="J888" s="89"/>
      <c r="K888" s="89" t="s">
        <v>1614</v>
      </c>
      <c r="L888" s="84" t="s">
        <v>37</v>
      </c>
      <c r="M888" s="88" t="str">
        <f>VLOOKUP(L888,lookups!B:C,2,FALSE)</f>
        <v>Kent</v>
      </c>
      <c r="N888" s="89" t="str">
        <f>VLOOKUP(K888,TeamLookup[],2,0)</f>
        <v>Cyber</v>
      </c>
      <c r="O888" s="84">
        <f>VLOOKUP(VALUE($S888),lookups!I:J,2,FALSE)</f>
        <v>32</v>
      </c>
      <c r="P888" s="84" t="e">
        <f>VLOOKUP(VALUE($S888),lookups!F:G,2,FALSE)</f>
        <v>#N/A</v>
      </c>
      <c r="Q888" s="84" t="str">
        <f t="shared" si="52"/>
        <v>ParentNotInCyberQuery</v>
      </c>
      <c r="R888" s="84" t="str">
        <f t="shared" si="53"/>
        <v>MT</v>
      </c>
      <c r="S888" s="84">
        <f t="shared" si="54"/>
        <v>1014602</v>
      </c>
      <c r="T888" s="84">
        <f t="shared" si="55"/>
        <v>1017978</v>
      </c>
    </row>
    <row r="889" spans="1:20" x14ac:dyDescent="0.3">
      <c r="B889" s="84">
        <v>1024608</v>
      </c>
      <c r="C889" s="85">
        <v>1014602</v>
      </c>
      <c r="D889" s="84" t="s">
        <v>6</v>
      </c>
      <c r="E889" s="84" t="s">
        <v>7</v>
      </c>
      <c r="F889" s="86" t="s">
        <v>1671</v>
      </c>
      <c r="G889" s="87" t="s">
        <v>257</v>
      </c>
      <c r="H889" s="87">
        <v>3</v>
      </c>
      <c r="I889" s="89"/>
      <c r="J889" s="89"/>
      <c r="K889" s="89" t="s">
        <v>1614</v>
      </c>
      <c r="L889" s="84" t="s">
        <v>37</v>
      </c>
      <c r="M889" s="88" t="str">
        <f>VLOOKUP(L889,lookups!B:C,2,FALSE)</f>
        <v>Kent</v>
      </c>
      <c r="N889" s="89" t="str">
        <f>VLOOKUP(K889,TeamLookup[],2,0)</f>
        <v>Cyber</v>
      </c>
      <c r="O889" s="84">
        <f>VLOOKUP(VALUE($S889),lookups!I:J,2,FALSE)</f>
        <v>32</v>
      </c>
      <c r="P889" s="84" t="e">
        <f>VLOOKUP(VALUE($S889),lookups!F:G,2,FALSE)</f>
        <v>#N/A</v>
      </c>
      <c r="Q889" s="84" t="str">
        <f t="shared" si="52"/>
        <v>ParentNotInCyberQuery</v>
      </c>
      <c r="R889" s="84" t="str">
        <f t="shared" si="53"/>
        <v>MT</v>
      </c>
      <c r="S889" s="84">
        <f t="shared" si="54"/>
        <v>1014602</v>
      </c>
      <c r="T889" s="84">
        <f t="shared" si="55"/>
        <v>1024608</v>
      </c>
    </row>
    <row r="890" spans="1:20" x14ac:dyDescent="0.3">
      <c r="B890" s="84">
        <v>1015008</v>
      </c>
      <c r="C890" s="85">
        <v>1015004</v>
      </c>
      <c r="D890" s="84" t="s">
        <v>6</v>
      </c>
      <c r="E890" s="84" t="s">
        <v>7</v>
      </c>
      <c r="F890" s="86" t="s">
        <v>1636</v>
      </c>
      <c r="G890" s="87" t="s">
        <v>1528</v>
      </c>
      <c r="H890" s="87">
        <v>3</v>
      </c>
      <c r="I890" s="89"/>
      <c r="J890" s="89"/>
      <c r="K890" s="89" t="s">
        <v>1614</v>
      </c>
      <c r="L890" s="84" t="s">
        <v>8</v>
      </c>
      <c r="M890" s="88" t="str">
        <f>VLOOKUP(L890,lookups!B:C,2,FALSE)</f>
        <v>TBD</v>
      </c>
      <c r="N890" s="89" t="str">
        <f>VLOOKUP(K890,TeamLookup[],2,0)</f>
        <v>Cyber</v>
      </c>
      <c r="O890" s="84" t="e">
        <f>VLOOKUP(VALUE($S890),lookups!I:J,2,FALSE)</f>
        <v>#N/A</v>
      </c>
      <c r="P890" s="84" t="e">
        <f>VLOOKUP(VALUE($S890),lookups!F:G,2,FALSE)</f>
        <v>#N/A</v>
      </c>
      <c r="Q890" s="84" t="str">
        <f t="shared" si="52"/>
        <v>ParentNotInCyberQuery</v>
      </c>
      <c r="R890" s="84" t="str">
        <f t="shared" si="53"/>
        <v>MT</v>
      </c>
      <c r="S890" s="84">
        <f t="shared" si="54"/>
        <v>1015004</v>
      </c>
      <c r="T890" s="84">
        <f t="shared" si="55"/>
        <v>1015008</v>
      </c>
    </row>
    <row r="891" spans="1:20" x14ac:dyDescent="0.3">
      <c r="B891" s="84">
        <v>1015007</v>
      </c>
      <c r="C891" s="85">
        <v>1015005</v>
      </c>
      <c r="D891" s="84" t="s">
        <v>6</v>
      </c>
      <c r="E891" s="84" t="s">
        <v>345</v>
      </c>
      <c r="F891" s="86" t="s">
        <v>1416</v>
      </c>
      <c r="G891" s="87" t="s">
        <v>258</v>
      </c>
      <c r="H891" s="87">
        <v>3</v>
      </c>
      <c r="I891" s="89"/>
      <c r="J891" s="89"/>
      <c r="K891" s="89" t="s">
        <v>1614</v>
      </c>
      <c r="L891" s="84" t="s">
        <v>107</v>
      </c>
      <c r="M891" s="88" t="str">
        <f>VLOOKUP(L891,lookups!B:C,2,FALSE)</f>
        <v>Chris</v>
      </c>
      <c r="N891" s="89" t="str">
        <f>VLOOKUP(K891,TeamLookup[],2,0)</f>
        <v>Cyber</v>
      </c>
      <c r="O891" s="84">
        <f>VLOOKUP(VALUE($S891),lookups!I:J,2,FALSE)</f>
        <v>60</v>
      </c>
      <c r="P891" s="84" t="e">
        <f>VLOOKUP(VALUE($S891),lookups!F:G,2,FALSE)</f>
        <v>#N/A</v>
      </c>
      <c r="Q891" s="84" t="str">
        <f t="shared" si="52"/>
        <v>ParentNotInCyberQuery</v>
      </c>
      <c r="R891" s="84" t="str">
        <f t="shared" si="53"/>
        <v>MT</v>
      </c>
      <c r="S891" s="84">
        <f t="shared" si="54"/>
        <v>1015005</v>
      </c>
      <c r="T891" s="84">
        <f t="shared" si="55"/>
        <v>1015007</v>
      </c>
    </row>
    <row r="892" spans="1:20" ht="28.8" x14ac:dyDescent="0.3">
      <c r="B892" s="84">
        <v>1024513</v>
      </c>
      <c r="C892" s="85">
        <v>1015005</v>
      </c>
      <c r="D892" s="84" t="s">
        <v>6</v>
      </c>
      <c r="E892" s="84" t="s">
        <v>7</v>
      </c>
      <c r="F892" s="86" t="s">
        <v>1678</v>
      </c>
      <c r="G892" s="87" t="s">
        <v>1402</v>
      </c>
      <c r="H892" s="87">
        <v>5</v>
      </c>
      <c r="I892" s="89"/>
      <c r="J892" s="89"/>
      <c r="K892" s="89" t="s">
        <v>1614</v>
      </c>
      <c r="L892" s="84" t="s">
        <v>8</v>
      </c>
      <c r="M892" s="88" t="str">
        <f>VLOOKUP(L892,lookups!B:C,2,FALSE)</f>
        <v>TBD</v>
      </c>
      <c r="N892" s="89" t="str">
        <f>VLOOKUP(K892,TeamLookup[],2,0)</f>
        <v>Cyber</v>
      </c>
      <c r="O892" s="84">
        <f>VLOOKUP(VALUE($S892),lookups!I:J,2,FALSE)</f>
        <v>60</v>
      </c>
      <c r="P892" s="84" t="e">
        <f>VLOOKUP(VALUE($S892),lookups!F:G,2,FALSE)</f>
        <v>#N/A</v>
      </c>
      <c r="Q892" s="84" t="str">
        <f t="shared" si="52"/>
        <v>ParentNotInCyberQuery</v>
      </c>
      <c r="R892" s="84" t="str">
        <f t="shared" si="53"/>
        <v>MT</v>
      </c>
      <c r="S892" s="84">
        <f t="shared" si="54"/>
        <v>1015005</v>
      </c>
      <c r="T892" s="84">
        <f t="shared" si="55"/>
        <v>1024513</v>
      </c>
    </row>
    <row r="893" spans="1:20" ht="28.8" x14ac:dyDescent="0.3">
      <c r="B893" s="84">
        <v>1024514</v>
      </c>
      <c r="C893" s="85">
        <v>1015005</v>
      </c>
      <c r="D893" s="84" t="s">
        <v>6</v>
      </c>
      <c r="E893" s="84" t="s">
        <v>7</v>
      </c>
      <c r="F893" s="86" t="s">
        <v>1677</v>
      </c>
      <c r="G893" s="87" t="s">
        <v>1447</v>
      </c>
      <c r="H893" s="87">
        <v>3</v>
      </c>
      <c r="I893" s="89"/>
      <c r="J893" s="89"/>
      <c r="K893" s="89" t="s">
        <v>1614</v>
      </c>
      <c r="L893" s="84" t="s">
        <v>8</v>
      </c>
      <c r="M893" s="88" t="str">
        <f>VLOOKUP(L893,lookups!B:C,2,FALSE)</f>
        <v>TBD</v>
      </c>
      <c r="N893" s="89" t="str">
        <f>VLOOKUP(K893,TeamLookup[],2,0)</f>
        <v>Cyber</v>
      </c>
      <c r="O893" s="84">
        <f>VLOOKUP(VALUE($S893),lookups!I:J,2,FALSE)</f>
        <v>60</v>
      </c>
      <c r="P893" s="84" t="e">
        <f>VLOOKUP(VALUE($S893),lookups!F:G,2,FALSE)</f>
        <v>#N/A</v>
      </c>
      <c r="Q893" s="84" t="str">
        <f t="shared" si="52"/>
        <v>ParentNotInCyberQuery</v>
      </c>
      <c r="R893" s="84" t="str">
        <f t="shared" si="53"/>
        <v>MT</v>
      </c>
      <c r="S893" s="84">
        <f t="shared" si="54"/>
        <v>1015005</v>
      </c>
      <c r="T893" s="84">
        <f t="shared" si="55"/>
        <v>1024514</v>
      </c>
    </row>
    <row r="894" spans="1:20" x14ac:dyDescent="0.3">
      <c r="A894" s="96"/>
      <c r="B894" s="84">
        <v>1015136</v>
      </c>
      <c r="C894" s="85">
        <v>1016383</v>
      </c>
      <c r="D894" s="84" t="s">
        <v>6</v>
      </c>
      <c r="E894" s="84" t="s">
        <v>7</v>
      </c>
      <c r="F894" s="86" t="s">
        <v>1662</v>
      </c>
      <c r="G894" s="87" t="s">
        <v>1411</v>
      </c>
      <c r="H894" s="87">
        <v>1</v>
      </c>
      <c r="I894" s="89"/>
      <c r="J894" s="89"/>
      <c r="K894" s="89" t="s">
        <v>1614</v>
      </c>
      <c r="L894" s="84" t="s">
        <v>8</v>
      </c>
      <c r="M894" s="88" t="str">
        <f>VLOOKUP(L894,lookups!B:C,2,FALSE)</f>
        <v>TBD</v>
      </c>
      <c r="N894" s="89" t="str">
        <f>VLOOKUP(K894,TeamLookup[],2,0)</f>
        <v>Cyber</v>
      </c>
      <c r="O894" s="84" t="e">
        <f>VLOOKUP(VALUE($S894),lookups!I:J,2,FALSE)</f>
        <v>#N/A</v>
      </c>
      <c r="P894" s="84" t="e">
        <f>VLOOKUP(VALUE($S894),lookups!F:G,2,FALSE)</f>
        <v>#N/A</v>
      </c>
      <c r="Q894" s="84" t="str">
        <f t="shared" si="52"/>
        <v>ParentNotInCyberQuery</v>
      </c>
      <c r="R894" s="84" t="str">
        <f t="shared" si="53"/>
        <v>MT</v>
      </c>
      <c r="S894" s="84">
        <f t="shared" si="54"/>
        <v>1016383</v>
      </c>
      <c r="T894" s="84">
        <f t="shared" si="55"/>
        <v>1015136</v>
      </c>
    </row>
    <row r="895" spans="1:20" x14ac:dyDescent="0.3">
      <c r="A895" s="96"/>
      <c r="B895" s="84">
        <v>1019237</v>
      </c>
      <c r="C895" s="85">
        <v>1019230</v>
      </c>
      <c r="D895" s="84" t="s">
        <v>6</v>
      </c>
      <c r="E895" s="84" t="s">
        <v>7</v>
      </c>
      <c r="F895" s="86" t="s">
        <v>1585</v>
      </c>
      <c r="G895" s="87" t="s">
        <v>8</v>
      </c>
      <c r="H895" s="87">
        <v>5</v>
      </c>
      <c r="I895" s="89"/>
      <c r="J895" s="89"/>
      <c r="K895" s="89" t="s">
        <v>1614</v>
      </c>
      <c r="L895" s="84" t="s">
        <v>8</v>
      </c>
      <c r="M895" s="88" t="str">
        <f>VLOOKUP(L895,lookups!B:C,2,FALSE)</f>
        <v>TBD</v>
      </c>
      <c r="N895" s="89" t="str">
        <f>VLOOKUP(K895,TeamLookup[],2,0)</f>
        <v>Cyber</v>
      </c>
      <c r="O895" s="84" t="e">
        <f>VLOOKUP(VALUE($S895),lookups!I:J,2,FALSE)</f>
        <v>#N/A</v>
      </c>
      <c r="P895" s="84" t="e">
        <f>VLOOKUP(VALUE($S895),lookups!F:G,2,FALSE)</f>
        <v>#N/A</v>
      </c>
      <c r="Q895" s="84" t="str">
        <f t="shared" si="52"/>
        <v>ParentNotInCyberQuery</v>
      </c>
      <c r="R895" s="84" t="str">
        <f t="shared" si="53"/>
        <v>MT</v>
      </c>
      <c r="S895" s="84">
        <f t="shared" si="54"/>
        <v>1019230</v>
      </c>
      <c r="T895" s="84">
        <f t="shared" si="55"/>
        <v>1019237</v>
      </c>
    </row>
    <row r="896" spans="1:20" x14ac:dyDescent="0.3">
      <c r="B896" s="84">
        <v>1019233</v>
      </c>
      <c r="C896" s="85">
        <v>1019230</v>
      </c>
      <c r="D896" s="84" t="s">
        <v>6</v>
      </c>
      <c r="E896" s="84" t="s">
        <v>7</v>
      </c>
      <c r="F896" s="86" t="s">
        <v>380</v>
      </c>
      <c r="G896" s="87" t="s">
        <v>8</v>
      </c>
      <c r="H896" s="87">
        <v>5</v>
      </c>
      <c r="I896" s="89"/>
      <c r="J896" s="89"/>
      <c r="K896" s="89" t="s">
        <v>1614</v>
      </c>
      <c r="L896" s="84" t="s">
        <v>8</v>
      </c>
      <c r="M896" s="88" t="str">
        <f>VLOOKUP(L896,lookups!B:C,2,FALSE)</f>
        <v>TBD</v>
      </c>
      <c r="N896" s="89" t="str">
        <f>VLOOKUP(K896,TeamLookup[],2,0)</f>
        <v>Cyber</v>
      </c>
      <c r="O896" s="84" t="e">
        <f>VLOOKUP(VALUE($S896),lookups!I:J,2,FALSE)</f>
        <v>#N/A</v>
      </c>
      <c r="P896" s="84" t="e">
        <f>VLOOKUP(VALUE($S896),lookups!F:G,2,FALSE)</f>
        <v>#N/A</v>
      </c>
      <c r="Q896" s="84" t="str">
        <f t="shared" si="52"/>
        <v>ParentNotInCyberQuery</v>
      </c>
      <c r="R896" s="84" t="str">
        <f t="shared" si="53"/>
        <v>MT</v>
      </c>
      <c r="S896" s="84">
        <f t="shared" si="54"/>
        <v>1019230</v>
      </c>
      <c r="T896" s="84">
        <f t="shared" si="55"/>
        <v>1019233</v>
      </c>
    </row>
    <row r="897" spans="1:30" x14ac:dyDescent="0.3">
      <c r="B897" s="84">
        <v>1022599</v>
      </c>
      <c r="C897" s="85">
        <v>1019464</v>
      </c>
      <c r="D897" s="84" t="s">
        <v>6</v>
      </c>
      <c r="E897" s="84" t="s">
        <v>7</v>
      </c>
      <c r="F897" s="86" t="s">
        <v>1597</v>
      </c>
      <c r="G897" s="87" t="s">
        <v>1447</v>
      </c>
      <c r="H897" s="87">
        <v>1</v>
      </c>
      <c r="I897" s="84"/>
      <c r="J897" s="84"/>
      <c r="K897" s="84" t="s">
        <v>1614</v>
      </c>
      <c r="L897" s="84" t="s">
        <v>11</v>
      </c>
      <c r="M897" s="88" t="str">
        <f>VLOOKUP(L897,lookups!B:C,2,FALSE)</f>
        <v>Randy</v>
      </c>
      <c r="N897" s="89" t="str">
        <f>VLOOKUP(K897,TeamLookup[],2,0)</f>
        <v>Cyber</v>
      </c>
      <c r="O897" s="84" t="e">
        <f>VLOOKUP(VALUE($S897),lookups!I:J,2,FALSE)</f>
        <v>#N/A</v>
      </c>
      <c r="P897" s="84" t="e">
        <f>VLOOKUP(VALUE($S897),lookups!F:G,2,FALSE)</f>
        <v>#N/A</v>
      </c>
      <c r="Q897" s="84" t="str">
        <f t="shared" si="52"/>
        <v>ParentNotInCyberQuery</v>
      </c>
      <c r="R897" s="84" t="str">
        <f t="shared" si="53"/>
        <v>MT</v>
      </c>
      <c r="S897" s="84">
        <f t="shared" si="54"/>
        <v>1019464</v>
      </c>
      <c r="T897" s="84">
        <f t="shared" si="55"/>
        <v>1022599</v>
      </c>
    </row>
    <row r="898" spans="1:30" x14ac:dyDescent="0.3">
      <c r="B898" s="84">
        <v>1022595</v>
      </c>
      <c r="C898" s="85">
        <v>1019464</v>
      </c>
      <c r="D898" s="84" t="s">
        <v>6</v>
      </c>
      <c r="E898" s="84" t="s">
        <v>7</v>
      </c>
      <c r="F898" s="86" t="s">
        <v>1597</v>
      </c>
      <c r="G898" s="87" t="s">
        <v>1447</v>
      </c>
      <c r="H898" s="87">
        <v>1</v>
      </c>
      <c r="I898" s="89"/>
      <c r="J898" s="89"/>
      <c r="K898" s="89" t="s">
        <v>1614</v>
      </c>
      <c r="L898" s="84" t="s">
        <v>108</v>
      </c>
      <c r="M898" s="88" t="str">
        <f>VLOOKUP(L898,lookups!B:C,2,FALSE)</f>
        <v>Conan</v>
      </c>
      <c r="N898" s="89" t="str">
        <f>VLOOKUP(K898,TeamLookup[],2,0)</f>
        <v>Cyber</v>
      </c>
      <c r="O898" s="84" t="e">
        <f>VLOOKUP(VALUE($S898),lookups!I:J,2,FALSE)</f>
        <v>#N/A</v>
      </c>
      <c r="P898" s="84" t="e">
        <f>VLOOKUP(VALUE($S898),lookups!F:G,2,FALSE)</f>
        <v>#N/A</v>
      </c>
      <c r="Q898" s="84" t="str">
        <f t="shared" ref="Q898:Q956" si="56">IF($B898="","ZeroEntry",
IF($D898="Program Epic","",
IF(OR($D898="Feature",$D898="Story",$D898="Task"),
  IF($C898="","Missing_ParentEntry",
IF(ISERROR(MATCH(VALUE($C898),$B:$B,0)),"ParentNotInCyberQuery",
IF(AND($D898="Story",VLOOKUP(VALUE($C898),$B:$D,3,FALSE)&lt;&gt;"Feature"),"Warning: StoryParentIs_"&amp;VLOOKUP(VALUE($C898),$B:$D,3,FALSE)&amp;"_NotFeature",
IF(AND(OR($D898="Story",$D898="Task"),VLOOKUP(VALUE($C898),$B:$C,2,FALSE)=""),"MissingGrandparent",
IF(AND($D898="Feature",ISERROR(MATCH("#"&amp;$B898,$C:$C,0))),"FeatureHasNoStories",
IF(AND($D898="Feature",VLOOKUP(VALUE($C898),$B:$D,3,FALSE)&lt;&gt;"Program Epic"),"FeatureParentIs_"&amp;VLOOKUP(VALUE($C898),$B:$D,3,FALSE)&amp;"_NotEpic","")))))),"")))</f>
        <v>ParentNotInCyberQuery</v>
      </c>
      <c r="R898" s="84" t="str">
        <f t="shared" ref="R898:R956" si="57">IF(AND($Q898&lt;&gt;"FeatureHasNoStories","Warning: StoryParentIs_Program Epic_NotFeature"&lt;&gt;$Q898,$Q898&lt;&gt;"ParentNotInCyberQuery",$Q898&lt;&gt;""),$Q898,
IF($D898="Program Epic",B898,
IF($D898="Feature",VALUE($C898),
IF("Warning: StoryParentIs_Program Epic_NotFeature"=$Q898,VALUE($C898),
IF(AND($D898="Story",$Q898="ParentNotInCyberQuery"),"MT",
IF($C898=0,"N/A",
IF(OR($D898="Story",$D898="Task"),VALUE(VLOOKUP(VALUE($C898),$B:$C,2,FALSE)),"N/A")))))))</f>
        <v>MT</v>
      </c>
      <c r="S898" s="84">
        <f t="shared" ref="S898:S956" si="58">IF($D898="Program Epic",0,
IF($D898="Feature",$B898,
IF($C898=0,"NoParentFeature",VALUE($C898))))</f>
        <v>1019464</v>
      </c>
      <c r="T898" s="84">
        <f t="shared" ref="T898:T956" si="59">IF(OR($D898="Story",$D898="Task"),$B898,0)</f>
        <v>1022595</v>
      </c>
    </row>
    <row r="899" spans="1:30" x14ac:dyDescent="0.3">
      <c r="A899" s="96"/>
      <c r="B899" s="84">
        <v>1022600</v>
      </c>
      <c r="C899" s="85">
        <v>1019464</v>
      </c>
      <c r="D899" s="84" t="s">
        <v>6</v>
      </c>
      <c r="E899" s="84" t="s">
        <v>7</v>
      </c>
      <c r="F899" s="86" t="s">
        <v>1597</v>
      </c>
      <c r="G899" s="87" t="s">
        <v>1411</v>
      </c>
      <c r="H899" s="87">
        <v>1</v>
      </c>
      <c r="I899" s="89"/>
      <c r="J899" s="89"/>
      <c r="K899" s="89" t="s">
        <v>1614</v>
      </c>
      <c r="L899" s="84" t="s">
        <v>11</v>
      </c>
      <c r="M899" s="88" t="str">
        <f>VLOOKUP(L899,lookups!B:C,2,FALSE)</f>
        <v>Randy</v>
      </c>
      <c r="N899" s="89" t="str">
        <f>VLOOKUP(K899,TeamLookup[],2,0)</f>
        <v>Cyber</v>
      </c>
      <c r="O899" s="84" t="e">
        <f>VLOOKUP(VALUE($S899),lookups!I:J,2,FALSE)</f>
        <v>#N/A</v>
      </c>
      <c r="P899" s="84" t="e">
        <f>VLOOKUP(VALUE($S899),lookups!F:G,2,FALSE)</f>
        <v>#N/A</v>
      </c>
      <c r="Q899" s="84" t="str">
        <f t="shared" si="56"/>
        <v>ParentNotInCyberQuery</v>
      </c>
      <c r="R899" s="84" t="str">
        <f t="shared" si="57"/>
        <v>MT</v>
      </c>
      <c r="S899" s="84">
        <f t="shared" si="58"/>
        <v>1019464</v>
      </c>
      <c r="T899" s="84">
        <f t="shared" si="59"/>
        <v>1022600</v>
      </c>
    </row>
    <row r="900" spans="1:30" x14ac:dyDescent="0.3">
      <c r="B900" s="84">
        <v>1022601</v>
      </c>
      <c r="C900" s="85">
        <v>1019464</v>
      </c>
      <c r="D900" s="84" t="s">
        <v>6</v>
      </c>
      <c r="E900" s="84" t="s">
        <v>7</v>
      </c>
      <c r="F900" s="86" t="s">
        <v>1597</v>
      </c>
      <c r="G900" s="109" t="s">
        <v>1528</v>
      </c>
      <c r="H900" s="87">
        <v>1</v>
      </c>
      <c r="I900" s="89"/>
      <c r="J900" s="89"/>
      <c r="K900" s="89" t="s">
        <v>1614</v>
      </c>
      <c r="L900" s="84" t="s">
        <v>11</v>
      </c>
      <c r="M900" s="88" t="str">
        <f>VLOOKUP(L900,lookups!B:C,2,FALSE)</f>
        <v>Randy</v>
      </c>
      <c r="N900" s="89" t="str">
        <f>VLOOKUP(K900,TeamLookup[],2,0)</f>
        <v>Cyber</v>
      </c>
      <c r="O900" s="84" t="e">
        <f>VLOOKUP(VALUE($S900),lookups!I:J,2,FALSE)</f>
        <v>#N/A</v>
      </c>
      <c r="P900" s="84" t="e">
        <f>VLOOKUP(VALUE($S900),lookups!F:G,2,FALSE)</f>
        <v>#N/A</v>
      </c>
      <c r="Q900" s="84" t="str">
        <f t="shared" si="56"/>
        <v>ParentNotInCyberQuery</v>
      </c>
      <c r="R900" s="84" t="str">
        <f t="shared" si="57"/>
        <v>MT</v>
      </c>
      <c r="S900" s="84">
        <f t="shared" si="58"/>
        <v>1019464</v>
      </c>
      <c r="T900" s="84">
        <f t="shared" si="59"/>
        <v>1022601</v>
      </c>
    </row>
    <row r="901" spans="1:30" x14ac:dyDescent="0.3">
      <c r="B901" s="84">
        <v>1022596</v>
      </c>
      <c r="C901" s="85">
        <v>1019464</v>
      </c>
      <c r="D901" s="84" t="s">
        <v>6</v>
      </c>
      <c r="E901" s="84" t="s">
        <v>7</v>
      </c>
      <c r="F901" s="86" t="s">
        <v>1597</v>
      </c>
      <c r="G901" s="109" t="s">
        <v>1528</v>
      </c>
      <c r="H901" s="87">
        <v>1</v>
      </c>
      <c r="I901" s="89"/>
      <c r="J901" s="89"/>
      <c r="K901" s="89" t="s">
        <v>1614</v>
      </c>
      <c r="L901" s="84" t="s">
        <v>108</v>
      </c>
      <c r="M901" s="88" t="str">
        <f>VLOOKUP(L901,lookups!B:C,2,FALSE)</f>
        <v>Conan</v>
      </c>
      <c r="N901" s="89" t="str">
        <f>VLOOKUP(K901,TeamLookup[],2,0)</f>
        <v>Cyber</v>
      </c>
      <c r="O901" s="84" t="e">
        <f>VLOOKUP(VALUE($S901),lookups!I:J,2,FALSE)</f>
        <v>#N/A</v>
      </c>
      <c r="P901" s="84" t="e">
        <f>VLOOKUP(VALUE($S901),lookups!F:G,2,FALSE)</f>
        <v>#N/A</v>
      </c>
      <c r="Q901" s="84" t="str">
        <f t="shared" si="56"/>
        <v>ParentNotInCyberQuery</v>
      </c>
      <c r="R901" s="84" t="str">
        <f t="shared" si="57"/>
        <v>MT</v>
      </c>
      <c r="S901" s="84">
        <f t="shared" si="58"/>
        <v>1019464</v>
      </c>
      <c r="T901" s="84">
        <f t="shared" si="59"/>
        <v>1022596</v>
      </c>
    </row>
    <row r="902" spans="1:30" x14ac:dyDescent="0.3">
      <c r="B902" s="84">
        <v>1022602</v>
      </c>
      <c r="C902" s="85">
        <v>1019464</v>
      </c>
      <c r="D902" s="84" t="s">
        <v>6</v>
      </c>
      <c r="E902" s="84" t="s">
        <v>7</v>
      </c>
      <c r="F902" s="86" t="s">
        <v>1597</v>
      </c>
      <c r="G902" s="87" t="s">
        <v>1409</v>
      </c>
      <c r="H902" s="87">
        <v>1</v>
      </c>
      <c r="I902" s="89"/>
      <c r="J902" s="89"/>
      <c r="K902" s="89" t="s">
        <v>1614</v>
      </c>
      <c r="L902" s="84" t="s">
        <v>11</v>
      </c>
      <c r="M902" s="88" t="str">
        <f>VLOOKUP(L902,lookups!B:C,2,FALSE)</f>
        <v>Randy</v>
      </c>
      <c r="N902" s="89" t="str">
        <f>VLOOKUP(K902,TeamLookup[],2,0)</f>
        <v>Cyber</v>
      </c>
      <c r="O902" s="84" t="e">
        <f>VLOOKUP(VALUE($S902),lookups!I:J,2,FALSE)</f>
        <v>#N/A</v>
      </c>
      <c r="P902" s="84" t="e">
        <f>VLOOKUP(VALUE($S902),lookups!F:G,2,FALSE)</f>
        <v>#N/A</v>
      </c>
      <c r="Q902" s="84" t="str">
        <f t="shared" si="56"/>
        <v>ParentNotInCyberQuery</v>
      </c>
      <c r="R902" s="84" t="str">
        <f t="shared" si="57"/>
        <v>MT</v>
      </c>
      <c r="S902" s="84">
        <f t="shared" si="58"/>
        <v>1019464</v>
      </c>
      <c r="T902" s="84">
        <f t="shared" si="59"/>
        <v>1022602</v>
      </c>
    </row>
    <row r="903" spans="1:30" x14ac:dyDescent="0.3">
      <c r="B903" s="84">
        <v>1022603</v>
      </c>
      <c r="C903" s="85">
        <v>1019464</v>
      </c>
      <c r="D903" s="84" t="s">
        <v>6</v>
      </c>
      <c r="E903" s="84" t="s">
        <v>7</v>
      </c>
      <c r="F903" s="86" t="s">
        <v>1597</v>
      </c>
      <c r="G903" s="87" t="s">
        <v>1600</v>
      </c>
      <c r="H903" s="87">
        <v>1</v>
      </c>
      <c r="I903" s="84"/>
      <c r="J903" s="84"/>
      <c r="K903" s="84" t="s">
        <v>1614</v>
      </c>
      <c r="L903" s="84" t="s">
        <v>11</v>
      </c>
      <c r="M903" s="88" t="str">
        <f>VLOOKUP(L903,lookups!B:C,2,FALSE)</f>
        <v>Randy</v>
      </c>
      <c r="N903" s="89" t="str">
        <f>VLOOKUP(K903,TeamLookup[],2,0)</f>
        <v>Cyber</v>
      </c>
      <c r="O903" s="84" t="e">
        <f>VLOOKUP(VALUE($S903),lookups!I:J,2,FALSE)</f>
        <v>#N/A</v>
      </c>
      <c r="P903" s="84" t="e">
        <f>VLOOKUP(VALUE($S903),lookups!F:G,2,FALSE)</f>
        <v>#N/A</v>
      </c>
      <c r="Q903" s="84" t="str">
        <f t="shared" si="56"/>
        <v>ParentNotInCyberQuery</v>
      </c>
      <c r="R903" s="84" t="str">
        <f t="shared" si="57"/>
        <v>MT</v>
      </c>
      <c r="S903" s="84">
        <f t="shared" si="58"/>
        <v>1019464</v>
      </c>
      <c r="T903" s="84">
        <f t="shared" si="59"/>
        <v>1022603</v>
      </c>
    </row>
    <row r="904" spans="1:30" x14ac:dyDescent="0.3">
      <c r="B904" s="84">
        <v>1022604</v>
      </c>
      <c r="C904" s="85">
        <v>1019464</v>
      </c>
      <c r="D904" s="84" t="s">
        <v>6</v>
      </c>
      <c r="E904" s="84" t="s">
        <v>7</v>
      </c>
      <c r="F904" s="86" t="s">
        <v>1597</v>
      </c>
      <c r="G904" s="87" t="s">
        <v>1599</v>
      </c>
      <c r="H904" s="87">
        <v>1</v>
      </c>
      <c r="I904" s="89"/>
      <c r="J904" s="89"/>
      <c r="K904" s="89" t="s">
        <v>1614</v>
      </c>
      <c r="L904" s="84" t="s">
        <v>11</v>
      </c>
      <c r="M904" s="88" t="str">
        <f>VLOOKUP(L904,lookups!B:C,2,FALSE)</f>
        <v>Randy</v>
      </c>
      <c r="N904" s="89" t="str">
        <f>VLOOKUP(K904,TeamLookup[],2,0)</f>
        <v>Cyber</v>
      </c>
      <c r="O904" s="84" t="e">
        <f>VLOOKUP(VALUE($S904),lookups!I:J,2,FALSE)</f>
        <v>#N/A</v>
      </c>
      <c r="P904" s="84" t="e">
        <f>VLOOKUP(VALUE($S904),lookups!F:G,2,FALSE)</f>
        <v>#N/A</v>
      </c>
      <c r="Q904" s="84" t="str">
        <f t="shared" si="56"/>
        <v>ParentNotInCyberQuery</v>
      </c>
      <c r="R904" s="84" t="str">
        <f t="shared" si="57"/>
        <v>MT</v>
      </c>
      <c r="S904" s="84">
        <f t="shared" si="58"/>
        <v>1019464</v>
      </c>
      <c r="T904" s="84">
        <f t="shared" si="59"/>
        <v>1022604</v>
      </c>
    </row>
    <row r="905" spans="1:30" x14ac:dyDescent="0.3">
      <c r="B905" s="84">
        <v>1022605</v>
      </c>
      <c r="C905" s="85">
        <v>1019464</v>
      </c>
      <c r="D905" s="84" t="s">
        <v>6</v>
      </c>
      <c r="E905" s="84" t="s">
        <v>7</v>
      </c>
      <c r="F905" s="86" t="s">
        <v>1597</v>
      </c>
      <c r="G905" s="87" t="s">
        <v>1598</v>
      </c>
      <c r="H905" s="87">
        <v>1</v>
      </c>
      <c r="I905" s="84"/>
      <c r="J905" s="84"/>
      <c r="K905" s="84" t="s">
        <v>1614</v>
      </c>
      <c r="L905" s="84" t="s">
        <v>11</v>
      </c>
      <c r="M905" s="88" t="str">
        <f>VLOOKUP(L905,lookups!B:C,2,FALSE)</f>
        <v>Randy</v>
      </c>
      <c r="N905" s="89" t="str">
        <f>VLOOKUP(K905,TeamLookup[],2,0)</f>
        <v>Cyber</v>
      </c>
      <c r="O905" s="84" t="e">
        <f>VLOOKUP(VALUE($S905),lookups!I:J,2,FALSE)</f>
        <v>#N/A</v>
      </c>
      <c r="P905" s="84" t="e">
        <f>VLOOKUP(VALUE($S905),lookups!F:G,2,FALSE)</f>
        <v>#N/A</v>
      </c>
      <c r="Q905" s="84" t="str">
        <f t="shared" si="56"/>
        <v>ParentNotInCyberQuery</v>
      </c>
      <c r="R905" s="84" t="str">
        <f t="shared" si="57"/>
        <v>MT</v>
      </c>
      <c r="S905" s="84">
        <f t="shared" si="58"/>
        <v>1019464</v>
      </c>
      <c r="T905" s="84">
        <f t="shared" si="59"/>
        <v>1022605</v>
      </c>
    </row>
    <row r="906" spans="1:30" x14ac:dyDescent="0.3">
      <c r="B906" s="84">
        <v>1022493</v>
      </c>
      <c r="C906" s="85">
        <v>1019473</v>
      </c>
      <c r="D906" s="84" t="s">
        <v>6</v>
      </c>
      <c r="E906" s="84" t="s">
        <v>7</v>
      </c>
      <c r="F906" s="86" t="s">
        <v>1601</v>
      </c>
      <c r="G906" s="87" t="s">
        <v>1447</v>
      </c>
      <c r="H906" s="87">
        <v>1</v>
      </c>
      <c r="I906" s="84"/>
      <c r="J906" s="84"/>
      <c r="K906" s="84" t="s">
        <v>1614</v>
      </c>
      <c r="L906" s="84" t="s">
        <v>11</v>
      </c>
      <c r="M906" s="88" t="str">
        <f>VLOOKUP(L906,lookups!B:C,2,FALSE)</f>
        <v>Randy</v>
      </c>
      <c r="N906" s="89" t="str">
        <f>VLOOKUP(K906,TeamLookup[],2,0)</f>
        <v>Cyber</v>
      </c>
      <c r="O906" s="84" t="e">
        <f>VLOOKUP(VALUE($S906),lookups!I:J,2,FALSE)</f>
        <v>#N/A</v>
      </c>
      <c r="P906" s="84" t="e">
        <f>VLOOKUP(VALUE($S906),lookups!F:G,2,FALSE)</f>
        <v>#N/A</v>
      </c>
      <c r="Q906" s="84" t="str">
        <f t="shared" si="56"/>
        <v>ParentNotInCyberQuery</v>
      </c>
      <c r="R906" s="84" t="str">
        <f t="shared" si="57"/>
        <v>MT</v>
      </c>
      <c r="S906" s="84">
        <f t="shared" si="58"/>
        <v>1019473</v>
      </c>
      <c r="T906" s="84">
        <f t="shared" si="59"/>
        <v>1022493</v>
      </c>
    </row>
    <row r="907" spans="1:30" x14ac:dyDescent="0.3">
      <c r="B907" s="84">
        <v>1022486</v>
      </c>
      <c r="C907" s="85">
        <v>1019473</v>
      </c>
      <c r="D907" s="84" t="s">
        <v>6</v>
      </c>
      <c r="E907" s="84" t="s">
        <v>7</v>
      </c>
      <c r="F907" s="86" t="s">
        <v>1601</v>
      </c>
      <c r="G907" s="87" t="s">
        <v>1447</v>
      </c>
      <c r="H907" s="87">
        <v>1</v>
      </c>
      <c r="I907" s="84"/>
      <c r="J907" s="84"/>
      <c r="K907" s="84" t="s">
        <v>1614</v>
      </c>
      <c r="L907" s="84" t="s">
        <v>108</v>
      </c>
      <c r="M907" s="88" t="str">
        <f>VLOOKUP(L907,lookups!B:C,2,FALSE)</f>
        <v>Conan</v>
      </c>
      <c r="N907" s="89" t="str">
        <f>VLOOKUP(K907,TeamLookup[],2,0)</f>
        <v>Cyber</v>
      </c>
      <c r="O907" s="84" t="e">
        <f>VLOOKUP(VALUE($S907),lookups!I:J,2,FALSE)</f>
        <v>#N/A</v>
      </c>
      <c r="P907" s="84" t="e">
        <f>VLOOKUP(VALUE($S907),lookups!F:G,2,FALSE)</f>
        <v>#N/A</v>
      </c>
      <c r="Q907" s="84" t="str">
        <f t="shared" si="56"/>
        <v>ParentNotInCyberQuery</v>
      </c>
      <c r="R907" s="84" t="str">
        <f t="shared" si="57"/>
        <v>MT</v>
      </c>
      <c r="S907" s="84">
        <f t="shared" si="58"/>
        <v>1019473</v>
      </c>
      <c r="T907" s="84">
        <f t="shared" si="59"/>
        <v>1022486</v>
      </c>
    </row>
    <row r="908" spans="1:30" x14ac:dyDescent="0.3">
      <c r="B908" s="84">
        <v>1022494</v>
      </c>
      <c r="C908" s="85">
        <v>1019473</v>
      </c>
      <c r="D908" s="84" t="s">
        <v>6</v>
      </c>
      <c r="E908" s="84" t="s">
        <v>7</v>
      </c>
      <c r="F908" s="86" t="s">
        <v>1601</v>
      </c>
      <c r="G908" s="87" t="s">
        <v>1411</v>
      </c>
      <c r="H908" s="87">
        <v>2</v>
      </c>
      <c r="I908" s="89"/>
      <c r="J908" s="89"/>
      <c r="K908" s="89" t="s">
        <v>1614</v>
      </c>
      <c r="L908" s="84" t="s">
        <v>11</v>
      </c>
      <c r="M908" s="88" t="str">
        <f>VLOOKUP(L908,lookups!B:C,2,FALSE)</f>
        <v>Randy</v>
      </c>
      <c r="N908" s="89" t="str">
        <f>VLOOKUP(K908,TeamLookup[],2,0)</f>
        <v>Cyber</v>
      </c>
      <c r="O908" s="84" t="e">
        <f>VLOOKUP(VALUE($S908),lookups!I:J,2,FALSE)</f>
        <v>#N/A</v>
      </c>
      <c r="P908" s="84" t="e">
        <f>VLOOKUP(VALUE($S908),lookups!F:G,2,FALSE)</f>
        <v>#N/A</v>
      </c>
      <c r="Q908" s="84" t="str">
        <f t="shared" si="56"/>
        <v>ParentNotInCyberQuery</v>
      </c>
      <c r="R908" s="84" t="str">
        <f t="shared" si="57"/>
        <v>MT</v>
      </c>
      <c r="S908" s="84">
        <f t="shared" si="58"/>
        <v>1019473</v>
      </c>
      <c r="T908" s="84">
        <f t="shared" si="59"/>
        <v>1022494</v>
      </c>
      <c r="V908" s="97"/>
      <c r="W908" s="97"/>
      <c r="X908" s="97"/>
      <c r="Y908" s="97"/>
      <c r="Z908" s="97"/>
      <c r="AA908" s="97"/>
      <c r="AB908" s="97"/>
      <c r="AC908" s="97"/>
      <c r="AD908" s="97"/>
    </row>
    <row r="909" spans="1:30" x14ac:dyDescent="0.3">
      <c r="B909" s="84">
        <v>1022487</v>
      </c>
      <c r="C909" s="85">
        <v>1019473</v>
      </c>
      <c r="D909" s="84" t="s">
        <v>6</v>
      </c>
      <c r="E909" s="84" t="s">
        <v>7</v>
      </c>
      <c r="F909" s="86" t="s">
        <v>1601</v>
      </c>
      <c r="G909" s="87" t="s">
        <v>1411</v>
      </c>
      <c r="H909" s="87">
        <v>1</v>
      </c>
      <c r="I909" s="89"/>
      <c r="J909" s="89"/>
      <c r="K909" s="89" t="s">
        <v>1614</v>
      </c>
      <c r="L909" s="84" t="s">
        <v>108</v>
      </c>
      <c r="M909" s="88" t="str">
        <f>VLOOKUP(L909,lookups!B:C,2,FALSE)</f>
        <v>Conan</v>
      </c>
      <c r="N909" s="89" t="str">
        <f>VLOOKUP(K909,TeamLookup[],2,0)</f>
        <v>Cyber</v>
      </c>
      <c r="O909" s="84" t="e">
        <f>VLOOKUP(VALUE($S909),lookups!I:J,2,FALSE)</f>
        <v>#N/A</v>
      </c>
      <c r="P909" s="84" t="e">
        <f>VLOOKUP(VALUE($S909),lookups!F:G,2,FALSE)</f>
        <v>#N/A</v>
      </c>
      <c r="Q909" s="84" t="str">
        <f t="shared" si="56"/>
        <v>ParentNotInCyberQuery</v>
      </c>
      <c r="R909" s="84" t="str">
        <f t="shared" si="57"/>
        <v>MT</v>
      </c>
      <c r="S909" s="84">
        <f t="shared" si="58"/>
        <v>1019473</v>
      </c>
      <c r="T909" s="84">
        <f t="shared" si="59"/>
        <v>1022487</v>
      </c>
      <c r="V909" s="97"/>
      <c r="W909" s="98"/>
      <c r="X909" s="98"/>
      <c r="Y909" s="98"/>
      <c r="Z909" s="98"/>
      <c r="AA909" s="98"/>
      <c r="AB909" s="98"/>
      <c r="AC909" s="98"/>
      <c r="AD909" s="97"/>
    </row>
    <row r="910" spans="1:30" x14ac:dyDescent="0.3">
      <c r="B910" s="84">
        <v>1022495</v>
      </c>
      <c r="C910" s="85">
        <v>1019473</v>
      </c>
      <c r="D910" s="84" t="s">
        <v>6</v>
      </c>
      <c r="E910" s="84" t="s">
        <v>7</v>
      </c>
      <c r="F910" s="86" t="s">
        <v>1601</v>
      </c>
      <c r="G910" s="87" t="s">
        <v>1528</v>
      </c>
      <c r="H910" s="87">
        <v>2</v>
      </c>
      <c r="I910" s="89"/>
      <c r="J910" s="89"/>
      <c r="K910" s="89" t="s">
        <v>1614</v>
      </c>
      <c r="L910" s="84" t="s">
        <v>11</v>
      </c>
      <c r="M910" s="88" t="str">
        <f>VLOOKUP(L910,lookups!B:C,2,FALSE)</f>
        <v>Randy</v>
      </c>
      <c r="N910" s="89" t="str">
        <f>VLOOKUP(K910,TeamLookup[],2,0)</f>
        <v>Cyber</v>
      </c>
      <c r="O910" s="84" t="e">
        <f>VLOOKUP(VALUE($S910),lookups!I:J,2,FALSE)</f>
        <v>#N/A</v>
      </c>
      <c r="P910" s="84" t="e">
        <f>VLOOKUP(VALUE($S910),lookups!F:G,2,FALSE)</f>
        <v>#N/A</v>
      </c>
      <c r="Q910" s="84" t="str">
        <f t="shared" si="56"/>
        <v>ParentNotInCyberQuery</v>
      </c>
      <c r="R910" s="84" t="str">
        <f t="shared" si="57"/>
        <v>MT</v>
      </c>
      <c r="S910" s="84">
        <f t="shared" si="58"/>
        <v>1019473</v>
      </c>
      <c r="T910" s="84">
        <f t="shared" si="59"/>
        <v>1022495</v>
      </c>
      <c r="V910" s="97"/>
      <c r="W910" s="97"/>
      <c r="X910" s="97"/>
      <c r="Y910" s="97"/>
      <c r="Z910" s="97"/>
      <c r="AA910" s="97"/>
      <c r="AB910" s="97"/>
      <c r="AC910" s="97"/>
      <c r="AD910" s="97"/>
    </row>
    <row r="911" spans="1:30" ht="14.4" customHeight="1" x14ac:dyDescent="0.3">
      <c r="B911" s="84">
        <v>1022488</v>
      </c>
      <c r="C911" s="85">
        <v>1019473</v>
      </c>
      <c r="D911" s="84" t="s">
        <v>6</v>
      </c>
      <c r="E911" s="84" t="s">
        <v>7</v>
      </c>
      <c r="F911" s="86" t="s">
        <v>1601</v>
      </c>
      <c r="G911" s="87" t="s">
        <v>1528</v>
      </c>
      <c r="H911" s="87">
        <v>1</v>
      </c>
      <c r="I911" s="89"/>
      <c r="J911" s="89"/>
      <c r="K911" s="89" t="s">
        <v>1614</v>
      </c>
      <c r="L911" s="84" t="s">
        <v>108</v>
      </c>
      <c r="M911" s="88" t="str">
        <f>VLOOKUP(L911,lookups!B:C,2,FALSE)</f>
        <v>Conan</v>
      </c>
      <c r="N911" s="89" t="str">
        <f>VLOOKUP(K911,TeamLookup[],2,0)</f>
        <v>Cyber</v>
      </c>
      <c r="O911" s="84" t="e">
        <f>VLOOKUP(VALUE($S911),lookups!I:J,2,FALSE)</f>
        <v>#N/A</v>
      </c>
      <c r="P911" s="84" t="e">
        <f>VLOOKUP(VALUE($S911),lookups!F:G,2,FALSE)</f>
        <v>#N/A</v>
      </c>
      <c r="Q911" s="84" t="str">
        <f t="shared" si="56"/>
        <v>ParentNotInCyberQuery</v>
      </c>
      <c r="R911" s="84" t="str">
        <f t="shared" si="57"/>
        <v>MT</v>
      </c>
      <c r="S911" s="84">
        <f t="shared" si="58"/>
        <v>1019473</v>
      </c>
      <c r="T911" s="84">
        <f t="shared" si="59"/>
        <v>1022488</v>
      </c>
      <c r="V911" s="97"/>
      <c r="W911" s="97"/>
      <c r="X911" s="97"/>
      <c r="Y911" s="97"/>
      <c r="Z911" s="97"/>
      <c r="AA911" s="97"/>
      <c r="AB911" s="97"/>
      <c r="AC911" s="97"/>
      <c r="AD911" s="97"/>
    </row>
    <row r="912" spans="1:30" x14ac:dyDescent="0.3">
      <c r="B912" s="84">
        <v>1022496</v>
      </c>
      <c r="C912" s="85">
        <v>1019473</v>
      </c>
      <c r="D912" s="84" t="s">
        <v>6</v>
      </c>
      <c r="E912" s="84" t="s">
        <v>7</v>
      </c>
      <c r="F912" s="86" t="s">
        <v>1601</v>
      </c>
      <c r="G912" s="87" t="s">
        <v>1409</v>
      </c>
      <c r="H912" s="87">
        <v>2</v>
      </c>
      <c r="I912" s="89"/>
      <c r="J912" s="89"/>
      <c r="K912" s="89" t="s">
        <v>1614</v>
      </c>
      <c r="L912" s="84" t="s">
        <v>11</v>
      </c>
      <c r="M912" s="88" t="str">
        <f>VLOOKUP(L912,lookups!B:C,2,FALSE)</f>
        <v>Randy</v>
      </c>
      <c r="N912" s="89" t="str">
        <f>VLOOKUP(K912,TeamLookup[],2,0)</f>
        <v>Cyber</v>
      </c>
      <c r="O912" s="84" t="e">
        <f>VLOOKUP(VALUE($S912),lookups!I:J,2,FALSE)</f>
        <v>#N/A</v>
      </c>
      <c r="P912" s="84" t="e">
        <f>VLOOKUP(VALUE($S912),lookups!F:G,2,FALSE)</f>
        <v>#N/A</v>
      </c>
      <c r="Q912" s="84" t="str">
        <f t="shared" si="56"/>
        <v>ParentNotInCyberQuery</v>
      </c>
      <c r="R912" s="84" t="str">
        <f t="shared" si="57"/>
        <v>MT</v>
      </c>
      <c r="S912" s="84">
        <f t="shared" si="58"/>
        <v>1019473</v>
      </c>
      <c r="T912" s="84">
        <f t="shared" si="59"/>
        <v>1022496</v>
      </c>
      <c r="V912" s="97"/>
      <c r="W912" s="97"/>
      <c r="X912" s="97"/>
      <c r="Y912" s="97"/>
      <c r="Z912" s="97"/>
      <c r="AA912" s="97"/>
      <c r="AB912" s="97"/>
      <c r="AC912" s="97"/>
      <c r="AD912" s="97"/>
    </row>
    <row r="913" spans="2:30" x14ac:dyDescent="0.3">
      <c r="B913" s="84">
        <v>1022489</v>
      </c>
      <c r="C913" s="85">
        <v>1019473</v>
      </c>
      <c r="D913" s="84" t="s">
        <v>6</v>
      </c>
      <c r="E913" s="84" t="s">
        <v>7</v>
      </c>
      <c r="F913" s="86" t="s">
        <v>1601</v>
      </c>
      <c r="G913" s="87" t="s">
        <v>1409</v>
      </c>
      <c r="H913" s="87">
        <v>1</v>
      </c>
      <c r="I913" s="84"/>
      <c r="J913" s="84"/>
      <c r="K913" s="84" t="s">
        <v>1614</v>
      </c>
      <c r="L913" s="84" t="s">
        <v>108</v>
      </c>
      <c r="M913" s="88" t="str">
        <f>VLOOKUP(L913,lookups!B:C,2,FALSE)</f>
        <v>Conan</v>
      </c>
      <c r="N913" s="89" t="str">
        <f>VLOOKUP(K913,TeamLookup[],2,0)</f>
        <v>Cyber</v>
      </c>
      <c r="O913" s="84" t="e">
        <f>VLOOKUP(VALUE($S913),lookups!I:J,2,FALSE)</f>
        <v>#N/A</v>
      </c>
      <c r="P913" s="84" t="e">
        <f>VLOOKUP(VALUE($S913),lookups!F:G,2,FALSE)</f>
        <v>#N/A</v>
      </c>
      <c r="Q913" s="84" t="str">
        <f t="shared" si="56"/>
        <v>ParentNotInCyberQuery</v>
      </c>
      <c r="R913" s="84" t="str">
        <f t="shared" si="57"/>
        <v>MT</v>
      </c>
      <c r="S913" s="84">
        <f t="shared" si="58"/>
        <v>1019473</v>
      </c>
      <c r="T913" s="84">
        <f t="shared" si="59"/>
        <v>1022489</v>
      </c>
      <c r="V913" s="97"/>
      <c r="W913" s="97"/>
      <c r="X913" s="97"/>
      <c r="Y913" s="97"/>
      <c r="Z913" s="97"/>
      <c r="AA913" s="97"/>
      <c r="AB913" s="97"/>
      <c r="AC913" s="97"/>
      <c r="AD913" s="97"/>
    </row>
    <row r="914" spans="2:30" x14ac:dyDescent="0.3">
      <c r="B914" s="84">
        <v>1022497</v>
      </c>
      <c r="C914" s="85">
        <v>1019473</v>
      </c>
      <c r="D914" s="84" t="s">
        <v>6</v>
      </c>
      <c r="E914" s="84" t="s">
        <v>7</v>
      </c>
      <c r="F914" s="86" t="s">
        <v>1601</v>
      </c>
      <c r="G914" s="87" t="s">
        <v>1600</v>
      </c>
      <c r="H914" s="87">
        <v>1</v>
      </c>
      <c r="I914" s="84"/>
      <c r="J914" s="84"/>
      <c r="K914" s="84" t="s">
        <v>1614</v>
      </c>
      <c r="L914" s="84" t="s">
        <v>11</v>
      </c>
      <c r="M914" s="88" t="str">
        <f>VLOOKUP(L914,lookups!B:C,2,FALSE)</f>
        <v>Randy</v>
      </c>
      <c r="N914" s="89" t="str">
        <f>VLOOKUP(K914,TeamLookup[],2,0)</f>
        <v>Cyber</v>
      </c>
      <c r="O914" s="84" t="e">
        <f>VLOOKUP(VALUE($S914),lookups!I:J,2,FALSE)</f>
        <v>#N/A</v>
      </c>
      <c r="P914" s="84" t="e">
        <f>VLOOKUP(VALUE($S914),lookups!F:G,2,FALSE)</f>
        <v>#N/A</v>
      </c>
      <c r="Q914" s="84" t="str">
        <f t="shared" si="56"/>
        <v>ParentNotInCyberQuery</v>
      </c>
      <c r="R914" s="84" t="str">
        <f t="shared" si="57"/>
        <v>MT</v>
      </c>
      <c r="S914" s="84">
        <f t="shared" si="58"/>
        <v>1019473</v>
      </c>
      <c r="T914" s="84">
        <f t="shared" si="59"/>
        <v>1022497</v>
      </c>
      <c r="V914" s="97"/>
      <c r="W914" s="97"/>
      <c r="X914" s="97"/>
      <c r="Y914" s="97"/>
      <c r="Z914" s="97"/>
      <c r="AA914" s="97"/>
      <c r="AB914" s="97"/>
      <c r="AC914" s="97"/>
      <c r="AD914" s="97"/>
    </row>
    <row r="915" spans="2:30" ht="28.8" x14ac:dyDescent="0.3">
      <c r="B915" s="84">
        <v>1021816</v>
      </c>
      <c r="C915" s="85">
        <v>1021044</v>
      </c>
      <c r="D915" s="84" t="s">
        <v>6</v>
      </c>
      <c r="E915" s="84" t="s">
        <v>7</v>
      </c>
      <c r="F915" s="86" t="s">
        <v>1562</v>
      </c>
      <c r="G915" s="87" t="s">
        <v>1388</v>
      </c>
      <c r="H915" s="87">
        <v>3</v>
      </c>
      <c r="I915" s="84"/>
      <c r="J915" s="84"/>
      <c r="K915" s="84" t="s">
        <v>1614</v>
      </c>
      <c r="L915" s="84" t="s">
        <v>37</v>
      </c>
      <c r="M915" s="88" t="str">
        <f>VLOOKUP(L915,lookups!B:C,2,FALSE)</f>
        <v>Kent</v>
      </c>
      <c r="N915" s="89" t="str">
        <f>VLOOKUP(K915,TeamLookup[],2,0)</f>
        <v>Cyber</v>
      </c>
      <c r="O915" s="84" t="e">
        <f>VLOOKUP(VALUE($S915),lookups!I:J,2,FALSE)</f>
        <v>#N/A</v>
      </c>
      <c r="P915" s="84" t="e">
        <f>VLOOKUP(VALUE($S915),lookups!F:G,2,FALSE)</f>
        <v>#N/A</v>
      </c>
      <c r="Q915" s="84" t="str">
        <f t="shared" si="56"/>
        <v>ParentNotInCyberQuery</v>
      </c>
      <c r="R915" s="84" t="str">
        <f t="shared" si="57"/>
        <v>MT</v>
      </c>
      <c r="S915" s="84">
        <f t="shared" si="58"/>
        <v>1021044</v>
      </c>
      <c r="T915" s="84">
        <f t="shared" si="59"/>
        <v>1021816</v>
      </c>
      <c r="V915" s="97"/>
      <c r="W915" s="97"/>
      <c r="X915" s="97"/>
      <c r="Y915" s="97"/>
      <c r="Z915" s="97"/>
      <c r="AA915" s="97"/>
      <c r="AB915" s="97"/>
      <c r="AC915" s="97"/>
      <c r="AD915" s="97"/>
    </row>
    <row r="916" spans="2:30" ht="28.8" x14ac:dyDescent="0.3">
      <c r="B916" s="84">
        <v>1021806</v>
      </c>
      <c r="C916" s="85">
        <v>1021044</v>
      </c>
      <c r="D916" s="84" t="s">
        <v>6</v>
      </c>
      <c r="E916" s="84" t="s">
        <v>7</v>
      </c>
      <c r="F916" s="86" t="s">
        <v>1563</v>
      </c>
      <c r="G916" s="87" t="s">
        <v>1388</v>
      </c>
      <c r="H916" s="87">
        <v>2</v>
      </c>
      <c r="I916" s="89"/>
      <c r="J916" s="89"/>
      <c r="K916" s="89" t="s">
        <v>1614</v>
      </c>
      <c r="L916" s="84" t="s">
        <v>37</v>
      </c>
      <c r="M916" s="88" t="str">
        <f>VLOOKUP(L916,lookups!B:C,2,FALSE)</f>
        <v>Kent</v>
      </c>
      <c r="N916" s="89" t="str">
        <f>VLOOKUP(K916,TeamLookup[],2,0)</f>
        <v>Cyber</v>
      </c>
      <c r="O916" s="84" t="e">
        <f>VLOOKUP(VALUE($S916),lookups!I:J,2,FALSE)</f>
        <v>#N/A</v>
      </c>
      <c r="P916" s="84" t="e">
        <f>VLOOKUP(VALUE($S916),lookups!F:G,2,FALSE)</f>
        <v>#N/A</v>
      </c>
      <c r="Q916" s="84" t="str">
        <f t="shared" si="56"/>
        <v>ParentNotInCyberQuery</v>
      </c>
      <c r="R916" s="84" t="str">
        <f t="shared" si="57"/>
        <v>MT</v>
      </c>
      <c r="S916" s="84">
        <f t="shared" si="58"/>
        <v>1021044</v>
      </c>
      <c r="T916" s="84">
        <f t="shared" si="59"/>
        <v>1021806</v>
      </c>
      <c r="V916" s="97"/>
      <c r="W916" s="97"/>
      <c r="X916" s="97"/>
      <c r="Y916" s="97"/>
      <c r="Z916" s="97"/>
      <c r="AA916" s="97"/>
      <c r="AB916" s="97"/>
      <c r="AC916" s="97"/>
      <c r="AD916" s="97"/>
    </row>
    <row r="917" spans="2:30" x14ac:dyDescent="0.3">
      <c r="B917" s="84">
        <v>1021798</v>
      </c>
      <c r="C917" s="85">
        <v>1021044</v>
      </c>
      <c r="D917" s="84" t="s">
        <v>6</v>
      </c>
      <c r="E917" s="84" t="s">
        <v>7</v>
      </c>
      <c r="F917" s="86" t="s">
        <v>1564</v>
      </c>
      <c r="G917" s="87" t="s">
        <v>1388</v>
      </c>
      <c r="H917" s="87">
        <v>2</v>
      </c>
      <c r="I917" s="84"/>
      <c r="J917" s="84"/>
      <c r="K917" s="84" t="s">
        <v>1614</v>
      </c>
      <c r="L917" s="84" t="s">
        <v>37</v>
      </c>
      <c r="M917" s="88" t="str">
        <f>VLOOKUP(L917,lookups!B:C,2,FALSE)</f>
        <v>Kent</v>
      </c>
      <c r="N917" s="89" t="str">
        <f>VLOOKUP(K917,TeamLookup[],2,0)</f>
        <v>Cyber</v>
      </c>
      <c r="O917" s="84" t="e">
        <f>VLOOKUP(VALUE($S917),lookups!I:J,2,FALSE)</f>
        <v>#N/A</v>
      </c>
      <c r="P917" s="84" t="e">
        <f>VLOOKUP(VALUE($S917),lookups!F:G,2,FALSE)</f>
        <v>#N/A</v>
      </c>
      <c r="Q917" s="84" t="str">
        <f t="shared" si="56"/>
        <v>ParentNotInCyberQuery</v>
      </c>
      <c r="R917" s="84" t="str">
        <f t="shared" si="57"/>
        <v>MT</v>
      </c>
      <c r="S917" s="84">
        <f t="shared" si="58"/>
        <v>1021044</v>
      </c>
      <c r="T917" s="84">
        <f t="shared" si="59"/>
        <v>1021798</v>
      </c>
      <c r="V917" s="97"/>
      <c r="W917" s="97"/>
      <c r="X917" s="97"/>
      <c r="Y917" s="97"/>
      <c r="Z917" s="97"/>
      <c r="AA917" s="97"/>
      <c r="AB917" s="97"/>
      <c r="AC917" s="97"/>
      <c r="AD917" s="97"/>
    </row>
    <row r="918" spans="2:30" x14ac:dyDescent="0.3">
      <c r="B918" s="84">
        <v>1021175</v>
      </c>
      <c r="C918" s="85">
        <v>1021169</v>
      </c>
      <c r="D918" s="84" t="s">
        <v>6</v>
      </c>
      <c r="E918" s="84" t="s">
        <v>7</v>
      </c>
      <c r="F918" s="86" t="s">
        <v>1633</v>
      </c>
      <c r="G918" s="87" t="s">
        <v>353</v>
      </c>
      <c r="H918" s="87">
        <v>1</v>
      </c>
      <c r="I918" s="89"/>
      <c r="J918" s="89"/>
      <c r="K918" s="89" t="s">
        <v>1614</v>
      </c>
      <c r="L918" s="84" t="s">
        <v>8</v>
      </c>
      <c r="M918" s="88" t="str">
        <f>VLOOKUP(L918,lookups!B:C,2,FALSE)</f>
        <v>TBD</v>
      </c>
      <c r="N918" s="89" t="str">
        <f>VLOOKUP(K918,TeamLookup[],2,0)</f>
        <v>Cyber</v>
      </c>
      <c r="O918" s="84" t="e">
        <f>VLOOKUP(VALUE($S918),lookups!I:J,2,FALSE)</f>
        <v>#N/A</v>
      </c>
      <c r="P918" s="84" t="e">
        <f>VLOOKUP(VALUE($S918),lookups!F:G,2,FALSE)</f>
        <v>#N/A</v>
      </c>
      <c r="Q918" s="84" t="str">
        <f t="shared" si="56"/>
        <v>ParentNotInCyberQuery</v>
      </c>
      <c r="R918" s="84" t="str">
        <f t="shared" si="57"/>
        <v>MT</v>
      </c>
      <c r="S918" s="84">
        <f t="shared" si="58"/>
        <v>1021169</v>
      </c>
      <c r="T918" s="84">
        <f t="shared" si="59"/>
        <v>1021175</v>
      </c>
      <c r="V918" s="97"/>
      <c r="W918" s="97"/>
      <c r="X918" s="97"/>
      <c r="Y918" s="97"/>
      <c r="Z918" s="97"/>
      <c r="AA918" s="97"/>
      <c r="AB918" s="97"/>
      <c r="AC918" s="97"/>
      <c r="AD918" s="97"/>
    </row>
    <row r="919" spans="2:30" x14ac:dyDescent="0.3">
      <c r="B919" s="84">
        <v>1021448</v>
      </c>
      <c r="C919" s="85">
        <v>1021439</v>
      </c>
      <c r="D919" s="84" t="s">
        <v>6</v>
      </c>
      <c r="E919" s="84" t="s">
        <v>7</v>
      </c>
      <c r="F919" s="86" t="s">
        <v>1570</v>
      </c>
      <c r="G919" s="87" t="s">
        <v>1402</v>
      </c>
      <c r="H919" s="87">
        <v>1</v>
      </c>
      <c r="I919" s="89"/>
      <c r="J919" s="89"/>
      <c r="K919" s="89" t="s">
        <v>1614</v>
      </c>
      <c r="L919" s="84" t="s">
        <v>8</v>
      </c>
      <c r="M919" s="88" t="str">
        <f>VLOOKUP(L919,lookups!B:C,2,FALSE)</f>
        <v>TBD</v>
      </c>
      <c r="N919" s="89" t="str">
        <f>VLOOKUP(K919,TeamLookup[],2,0)</f>
        <v>Cyber</v>
      </c>
      <c r="O919" s="84" t="e">
        <f>VLOOKUP(VALUE($S919),lookups!I:J,2,FALSE)</f>
        <v>#N/A</v>
      </c>
      <c r="P919" s="84" t="e">
        <f>VLOOKUP(VALUE($S919),lookups!F:G,2,FALSE)</f>
        <v>#N/A</v>
      </c>
      <c r="Q919" s="84" t="str">
        <f t="shared" si="56"/>
        <v>ParentNotInCyberQuery</v>
      </c>
      <c r="R919" s="84" t="str">
        <f t="shared" si="57"/>
        <v>MT</v>
      </c>
      <c r="S919" s="84">
        <f t="shared" si="58"/>
        <v>1021439</v>
      </c>
      <c r="T919" s="84">
        <f t="shared" si="59"/>
        <v>1021448</v>
      </c>
      <c r="V919" s="97"/>
      <c r="W919" s="97"/>
      <c r="X919" s="97"/>
      <c r="Y919" s="97"/>
      <c r="Z919" s="97"/>
      <c r="AA919" s="97"/>
      <c r="AB919" s="97"/>
      <c r="AC919" s="97"/>
      <c r="AD919" s="97"/>
    </row>
    <row r="920" spans="2:30" x14ac:dyDescent="0.3">
      <c r="B920" s="84">
        <v>1021444</v>
      </c>
      <c r="C920" s="85">
        <v>1021439</v>
      </c>
      <c r="D920" s="84" t="s">
        <v>6</v>
      </c>
      <c r="E920" s="84" t="s">
        <v>7</v>
      </c>
      <c r="F920" s="86" t="s">
        <v>1660</v>
      </c>
      <c r="G920" s="87" t="s">
        <v>1402</v>
      </c>
      <c r="H920" s="87">
        <v>1</v>
      </c>
      <c r="I920" s="89"/>
      <c r="J920" s="89"/>
      <c r="K920" s="89" t="s">
        <v>1614</v>
      </c>
      <c r="L920" s="84" t="s">
        <v>108</v>
      </c>
      <c r="M920" s="88" t="str">
        <f>VLOOKUP(L920,lookups!B:C,2,FALSE)</f>
        <v>Conan</v>
      </c>
      <c r="N920" s="89" t="str">
        <f>VLOOKUP(K920,TeamLookup[],2,0)</f>
        <v>Cyber</v>
      </c>
      <c r="O920" s="84" t="e">
        <f>VLOOKUP(VALUE($S920),lookups!I:J,2,FALSE)</f>
        <v>#N/A</v>
      </c>
      <c r="P920" s="84" t="e">
        <f>VLOOKUP(VALUE($S920),lookups!F:G,2,FALSE)</f>
        <v>#N/A</v>
      </c>
      <c r="Q920" s="84" t="str">
        <f t="shared" si="56"/>
        <v>ParentNotInCyberQuery</v>
      </c>
      <c r="R920" s="84" t="str">
        <f t="shared" si="57"/>
        <v>MT</v>
      </c>
      <c r="S920" s="84">
        <f t="shared" si="58"/>
        <v>1021439</v>
      </c>
      <c r="T920" s="84">
        <f t="shared" si="59"/>
        <v>1021444</v>
      </c>
      <c r="V920" s="97"/>
      <c r="W920" s="97"/>
      <c r="X920" s="97"/>
      <c r="Y920" s="97"/>
      <c r="Z920" s="97"/>
      <c r="AA920" s="97"/>
      <c r="AB920" s="97"/>
      <c r="AC920" s="97"/>
      <c r="AD920" s="97"/>
    </row>
    <row r="921" spans="2:30" x14ac:dyDescent="0.3">
      <c r="B921" s="84">
        <v>1021457</v>
      </c>
      <c r="C921" s="85">
        <v>1021439</v>
      </c>
      <c r="D921" s="84" t="s">
        <v>6</v>
      </c>
      <c r="E921" s="84" t="s">
        <v>7</v>
      </c>
      <c r="F921" s="86" t="s">
        <v>1660</v>
      </c>
      <c r="G921" s="87" t="s">
        <v>1447</v>
      </c>
      <c r="H921" s="87">
        <v>1</v>
      </c>
      <c r="I921" s="89"/>
      <c r="J921" s="89"/>
      <c r="K921" s="89" t="s">
        <v>1614</v>
      </c>
      <c r="L921" s="84" t="s">
        <v>108</v>
      </c>
      <c r="M921" s="88" t="str">
        <f>VLOOKUP(L921,lookups!B:C,2,FALSE)</f>
        <v>Conan</v>
      </c>
      <c r="N921" s="89" t="str">
        <f>VLOOKUP(K921,TeamLookup[],2,0)</f>
        <v>Cyber</v>
      </c>
      <c r="O921" s="84" t="e">
        <f>VLOOKUP(VALUE($S921),lookups!I:J,2,FALSE)</f>
        <v>#N/A</v>
      </c>
      <c r="P921" s="84" t="e">
        <f>VLOOKUP(VALUE($S921),lookups!F:G,2,FALSE)</f>
        <v>#N/A</v>
      </c>
      <c r="Q921" s="84" t="str">
        <f t="shared" si="56"/>
        <v>ParentNotInCyberQuery</v>
      </c>
      <c r="R921" s="84" t="str">
        <f t="shared" si="57"/>
        <v>MT</v>
      </c>
      <c r="S921" s="84">
        <f t="shared" si="58"/>
        <v>1021439</v>
      </c>
      <c r="T921" s="84">
        <f t="shared" si="59"/>
        <v>1021457</v>
      </c>
    </row>
    <row r="922" spans="2:30" x14ac:dyDescent="0.3">
      <c r="B922" s="84">
        <v>1021456</v>
      </c>
      <c r="C922" s="85">
        <v>1021439</v>
      </c>
      <c r="D922" s="84" t="s">
        <v>6</v>
      </c>
      <c r="E922" s="84" t="s">
        <v>7</v>
      </c>
      <c r="F922" s="86" t="s">
        <v>1569</v>
      </c>
      <c r="G922" s="87" t="s">
        <v>1447</v>
      </c>
      <c r="H922" s="87">
        <v>1</v>
      </c>
      <c r="I922" s="89"/>
      <c r="J922" s="89"/>
      <c r="K922" s="89" t="s">
        <v>1614</v>
      </c>
      <c r="L922" s="84" t="s">
        <v>8</v>
      </c>
      <c r="M922" s="88" t="str">
        <f>VLOOKUP(L922,lookups!B:C,2,FALSE)</f>
        <v>TBD</v>
      </c>
      <c r="N922" s="89" t="str">
        <f>VLOOKUP(K922,TeamLookup[],2,0)</f>
        <v>Cyber</v>
      </c>
      <c r="O922" s="84" t="e">
        <f>VLOOKUP(VALUE($S922),lookups!I:J,2,FALSE)</f>
        <v>#N/A</v>
      </c>
      <c r="P922" s="84" t="e">
        <f>VLOOKUP(VALUE($S922),lookups!F:G,2,FALSE)</f>
        <v>#N/A</v>
      </c>
      <c r="Q922" s="84" t="str">
        <f t="shared" si="56"/>
        <v>ParentNotInCyberQuery</v>
      </c>
      <c r="R922" s="84" t="str">
        <f t="shared" si="57"/>
        <v>MT</v>
      </c>
      <c r="S922" s="84">
        <f t="shared" si="58"/>
        <v>1021439</v>
      </c>
      <c r="T922" s="84">
        <f t="shared" si="59"/>
        <v>1021456</v>
      </c>
    </row>
    <row r="923" spans="2:30" x14ac:dyDescent="0.3">
      <c r="B923" s="84">
        <v>1021474</v>
      </c>
      <c r="C923" s="85">
        <v>1021439</v>
      </c>
      <c r="D923" s="84" t="s">
        <v>6</v>
      </c>
      <c r="E923" s="84" t="s">
        <v>7</v>
      </c>
      <c r="F923" s="86" t="s">
        <v>1568</v>
      </c>
      <c r="G923" s="87" t="s">
        <v>1411</v>
      </c>
      <c r="H923" s="87">
        <v>1</v>
      </c>
      <c r="I923" s="89"/>
      <c r="J923" s="89"/>
      <c r="K923" s="89" t="s">
        <v>1614</v>
      </c>
      <c r="L923" s="84" t="s">
        <v>8</v>
      </c>
      <c r="M923" s="88" t="str">
        <f>VLOOKUP(L923,lookups!B:C,2,FALSE)</f>
        <v>TBD</v>
      </c>
      <c r="N923" s="89" t="str">
        <f>VLOOKUP(K923,TeamLookup[],2,0)</f>
        <v>Cyber</v>
      </c>
      <c r="O923" s="84" t="e">
        <f>VLOOKUP(VALUE($S923),lookups!I:J,2,FALSE)</f>
        <v>#N/A</v>
      </c>
      <c r="P923" s="84" t="e">
        <f>VLOOKUP(VALUE($S923),lookups!F:G,2,FALSE)</f>
        <v>#N/A</v>
      </c>
      <c r="Q923" s="84" t="str">
        <f t="shared" si="56"/>
        <v>ParentNotInCyberQuery</v>
      </c>
      <c r="R923" s="84" t="str">
        <f t="shared" si="57"/>
        <v>MT</v>
      </c>
      <c r="S923" s="84">
        <f t="shared" si="58"/>
        <v>1021439</v>
      </c>
      <c r="T923" s="84">
        <f t="shared" si="59"/>
        <v>1021474</v>
      </c>
    </row>
    <row r="924" spans="2:30" x14ac:dyDescent="0.3">
      <c r="B924" s="88">
        <v>1021469</v>
      </c>
      <c r="C924" s="85">
        <v>1021439</v>
      </c>
      <c r="D924" s="84" t="s">
        <v>6</v>
      </c>
      <c r="E924" s="84" t="s">
        <v>7</v>
      </c>
      <c r="F924" s="91" t="s">
        <v>1660</v>
      </c>
      <c r="G924" s="87" t="s">
        <v>1411</v>
      </c>
      <c r="H924" s="87">
        <v>1</v>
      </c>
      <c r="I924" s="89"/>
      <c r="J924" s="89"/>
      <c r="K924" s="89" t="s">
        <v>1614</v>
      </c>
      <c r="L924" s="84" t="s">
        <v>108</v>
      </c>
      <c r="M924" s="88" t="str">
        <f>VLOOKUP(L924,lookups!B:C,2,FALSE)</f>
        <v>Conan</v>
      </c>
      <c r="N924" s="89" t="str">
        <f>VLOOKUP(K924,TeamLookup[],2,0)</f>
        <v>Cyber</v>
      </c>
      <c r="O924" s="84" t="e">
        <f>VLOOKUP(VALUE($S924),lookups!I:J,2,FALSE)</f>
        <v>#N/A</v>
      </c>
      <c r="P924" s="84" t="e">
        <f>VLOOKUP(VALUE($S924),lookups!F:G,2,FALSE)</f>
        <v>#N/A</v>
      </c>
      <c r="Q924" s="84" t="str">
        <f t="shared" si="56"/>
        <v>ParentNotInCyberQuery</v>
      </c>
      <c r="R924" s="84" t="str">
        <f t="shared" si="57"/>
        <v>MT</v>
      </c>
      <c r="S924" s="84">
        <f t="shared" si="58"/>
        <v>1021439</v>
      </c>
      <c r="T924" s="84">
        <f t="shared" si="59"/>
        <v>1021469</v>
      </c>
    </row>
    <row r="925" spans="2:30" x14ac:dyDescent="0.3">
      <c r="B925" s="84">
        <v>1021481</v>
      </c>
      <c r="C925" s="85">
        <v>1021439</v>
      </c>
      <c r="D925" s="84" t="s">
        <v>6</v>
      </c>
      <c r="E925" s="84" t="s">
        <v>7</v>
      </c>
      <c r="F925" s="86" t="s">
        <v>1567</v>
      </c>
      <c r="G925" s="87" t="s">
        <v>1528</v>
      </c>
      <c r="H925" s="87">
        <v>1</v>
      </c>
      <c r="I925" s="89"/>
      <c r="J925" s="89"/>
      <c r="K925" s="89" t="s">
        <v>1614</v>
      </c>
      <c r="L925" s="84" t="s">
        <v>8</v>
      </c>
      <c r="M925" s="88" t="str">
        <f>VLOOKUP(L925,lookups!B:C,2,FALSE)</f>
        <v>TBD</v>
      </c>
      <c r="N925" s="89" t="str">
        <f>VLOOKUP(K925,TeamLookup[],2,0)</f>
        <v>Cyber</v>
      </c>
      <c r="O925" s="84" t="e">
        <f>VLOOKUP(VALUE($S925),lookups!I:J,2,FALSE)</f>
        <v>#N/A</v>
      </c>
      <c r="P925" s="84" t="e">
        <f>VLOOKUP(VALUE($S925),lookups!F:G,2,FALSE)</f>
        <v>#N/A</v>
      </c>
      <c r="Q925" s="84" t="str">
        <f t="shared" si="56"/>
        <v>ParentNotInCyberQuery</v>
      </c>
      <c r="R925" s="84" t="str">
        <f t="shared" si="57"/>
        <v>MT</v>
      </c>
      <c r="S925" s="84">
        <f t="shared" si="58"/>
        <v>1021439</v>
      </c>
      <c r="T925" s="84">
        <f t="shared" si="59"/>
        <v>1021481</v>
      </c>
    </row>
    <row r="926" spans="2:30" x14ac:dyDescent="0.3">
      <c r="B926" s="84">
        <v>1021470</v>
      </c>
      <c r="C926" s="85">
        <v>1021439</v>
      </c>
      <c r="D926" s="84" t="s">
        <v>6</v>
      </c>
      <c r="E926" s="84" t="s">
        <v>7</v>
      </c>
      <c r="F926" s="86" t="s">
        <v>1660</v>
      </c>
      <c r="G926" s="87" t="s">
        <v>1528</v>
      </c>
      <c r="H926" s="87">
        <v>1</v>
      </c>
      <c r="I926" s="89"/>
      <c r="J926" s="89"/>
      <c r="K926" s="89" t="s">
        <v>1614</v>
      </c>
      <c r="L926" s="84" t="s">
        <v>108</v>
      </c>
      <c r="M926" s="88" t="str">
        <f>VLOOKUP(L926,lookups!B:C,2,FALSE)</f>
        <v>Conan</v>
      </c>
      <c r="N926" s="89" t="str">
        <f>VLOOKUP(K926,TeamLookup[],2,0)</f>
        <v>Cyber</v>
      </c>
      <c r="O926" s="84" t="e">
        <f>VLOOKUP(VALUE($S926),lookups!I:J,2,FALSE)</f>
        <v>#N/A</v>
      </c>
      <c r="P926" s="84" t="e">
        <f>VLOOKUP(VALUE($S926),lookups!F:G,2,FALSE)</f>
        <v>#N/A</v>
      </c>
      <c r="Q926" s="84" t="str">
        <f t="shared" si="56"/>
        <v>ParentNotInCyberQuery</v>
      </c>
      <c r="R926" s="84" t="str">
        <f t="shared" si="57"/>
        <v>MT</v>
      </c>
      <c r="S926" s="84">
        <f t="shared" si="58"/>
        <v>1021439</v>
      </c>
      <c r="T926" s="84">
        <f t="shared" si="59"/>
        <v>1021470</v>
      </c>
    </row>
    <row r="927" spans="2:30" x14ac:dyDescent="0.3">
      <c r="B927" s="84">
        <v>1021491</v>
      </c>
      <c r="C927" s="85">
        <v>1021439</v>
      </c>
      <c r="D927" s="84" t="s">
        <v>6</v>
      </c>
      <c r="E927" s="84" t="s">
        <v>7</v>
      </c>
      <c r="F927" s="86" t="s">
        <v>1566</v>
      </c>
      <c r="G927" s="87" t="s">
        <v>1409</v>
      </c>
      <c r="H927" s="87">
        <v>1</v>
      </c>
      <c r="I927" s="89"/>
      <c r="J927" s="89"/>
      <c r="K927" s="89" t="s">
        <v>1614</v>
      </c>
      <c r="L927" s="84" t="s">
        <v>8</v>
      </c>
      <c r="M927" s="88" t="str">
        <f>VLOOKUP(L927,lookups!B:C,2,FALSE)</f>
        <v>TBD</v>
      </c>
      <c r="N927" s="89" t="str">
        <f>VLOOKUP(K927,TeamLookup[],2,0)</f>
        <v>Cyber</v>
      </c>
      <c r="O927" s="84" t="e">
        <f>VLOOKUP(VALUE($S927),lookups!I:J,2,FALSE)</f>
        <v>#N/A</v>
      </c>
      <c r="P927" s="84" t="e">
        <f>VLOOKUP(VALUE($S927),lookups!F:G,2,FALSE)</f>
        <v>#N/A</v>
      </c>
      <c r="Q927" s="84" t="str">
        <f t="shared" si="56"/>
        <v>ParentNotInCyberQuery</v>
      </c>
      <c r="R927" s="84" t="str">
        <f t="shared" si="57"/>
        <v>MT</v>
      </c>
      <c r="S927" s="84">
        <f t="shared" si="58"/>
        <v>1021439</v>
      </c>
      <c r="T927" s="84">
        <f t="shared" si="59"/>
        <v>1021491</v>
      </c>
    </row>
    <row r="928" spans="2:30" x14ac:dyDescent="0.3">
      <c r="B928" s="84">
        <v>1021947</v>
      </c>
      <c r="C928" s="85">
        <v>1021904</v>
      </c>
      <c r="D928" s="84" t="s">
        <v>6</v>
      </c>
      <c r="E928" s="84" t="s">
        <v>7</v>
      </c>
      <c r="F928" s="86" t="s">
        <v>1561</v>
      </c>
      <c r="G928" s="87" t="s">
        <v>8</v>
      </c>
      <c r="H928" s="87">
        <v>1</v>
      </c>
      <c r="I928" s="89"/>
      <c r="J928" s="89"/>
      <c r="K928" s="89" t="s">
        <v>1614</v>
      </c>
      <c r="L928" s="84" t="s">
        <v>8</v>
      </c>
      <c r="M928" s="88" t="str">
        <f>VLOOKUP(L928,lookups!B:C,2,FALSE)</f>
        <v>TBD</v>
      </c>
      <c r="N928" s="89" t="str">
        <f>VLOOKUP(K928,TeamLookup[],2,0)</f>
        <v>Cyber</v>
      </c>
      <c r="O928" s="84" t="e">
        <f>VLOOKUP(VALUE($S928),lookups!I:J,2,FALSE)</f>
        <v>#N/A</v>
      </c>
      <c r="P928" s="84" t="e">
        <f>VLOOKUP(VALUE($S928),lookups!F:G,2,FALSE)</f>
        <v>#N/A</v>
      </c>
      <c r="Q928" s="84" t="str">
        <f t="shared" si="56"/>
        <v>ParentNotInCyberQuery</v>
      </c>
      <c r="R928" s="84" t="str">
        <f t="shared" si="57"/>
        <v>MT</v>
      </c>
      <c r="S928" s="84">
        <f t="shared" si="58"/>
        <v>1021904</v>
      </c>
      <c r="T928" s="84">
        <f t="shared" si="59"/>
        <v>1021947</v>
      </c>
    </row>
    <row r="929" spans="1:21" x14ac:dyDescent="0.3">
      <c r="B929" s="84">
        <v>1022412</v>
      </c>
      <c r="C929" s="85">
        <v>1022398</v>
      </c>
      <c r="D929" s="84" t="s">
        <v>6</v>
      </c>
      <c r="E929" s="84" t="s">
        <v>7</v>
      </c>
      <c r="F929" s="86" t="s">
        <v>1602</v>
      </c>
      <c r="G929" s="87" t="s">
        <v>1388</v>
      </c>
      <c r="H929" s="87">
        <v>2</v>
      </c>
      <c r="I929" s="89"/>
      <c r="J929" s="89" t="s">
        <v>1603</v>
      </c>
      <c r="K929" s="89" t="s">
        <v>1614</v>
      </c>
      <c r="L929" s="84" t="s">
        <v>107</v>
      </c>
      <c r="M929" s="88" t="str">
        <f>VLOOKUP(L929,lookups!B:C,2,FALSE)</f>
        <v>Chris</v>
      </c>
      <c r="N929" s="89" t="str">
        <f>VLOOKUP(K929,TeamLookup[],2,0)</f>
        <v>Cyber</v>
      </c>
      <c r="O929" s="84" t="e">
        <f>VLOOKUP(VALUE($S929),lookups!I:J,2,FALSE)</f>
        <v>#N/A</v>
      </c>
      <c r="P929" s="84" t="e">
        <f>VLOOKUP(VALUE($S929),lookups!F:G,2,FALSE)</f>
        <v>#N/A</v>
      </c>
      <c r="Q929" s="84" t="str">
        <f t="shared" si="56"/>
        <v>ParentNotInCyberQuery</v>
      </c>
      <c r="R929" s="84" t="str">
        <f t="shared" si="57"/>
        <v>MT</v>
      </c>
      <c r="S929" s="84">
        <f t="shared" si="58"/>
        <v>1022398</v>
      </c>
      <c r="T929" s="84">
        <f t="shared" si="59"/>
        <v>1022412</v>
      </c>
    </row>
    <row r="930" spans="1:21" x14ac:dyDescent="0.3">
      <c r="B930" s="84">
        <v>1022405</v>
      </c>
      <c r="C930" s="85">
        <v>1022398</v>
      </c>
      <c r="D930" s="84" t="s">
        <v>6</v>
      </c>
      <c r="E930" s="84" t="s">
        <v>7</v>
      </c>
      <c r="F930" s="86" t="s">
        <v>1604</v>
      </c>
      <c r="G930" s="87" t="s">
        <v>1388</v>
      </c>
      <c r="H930" s="87">
        <v>5</v>
      </c>
      <c r="I930" s="89"/>
      <c r="J930" s="89" t="s">
        <v>1605</v>
      </c>
      <c r="K930" s="89" t="s">
        <v>1614</v>
      </c>
      <c r="L930" s="84" t="s">
        <v>107</v>
      </c>
      <c r="M930" s="88" t="str">
        <f>VLOOKUP(L930,lookups!B:C,2,FALSE)</f>
        <v>Chris</v>
      </c>
      <c r="N930" s="89" t="str">
        <f>VLOOKUP(K930,TeamLookup[],2,0)</f>
        <v>Cyber</v>
      </c>
      <c r="O930" s="84" t="e">
        <f>VLOOKUP(VALUE($S930),lookups!I:J,2,FALSE)</f>
        <v>#N/A</v>
      </c>
      <c r="P930" s="84" t="e">
        <f>VLOOKUP(VALUE($S930),lookups!F:G,2,FALSE)</f>
        <v>#N/A</v>
      </c>
      <c r="Q930" s="84" t="str">
        <f t="shared" si="56"/>
        <v>ParentNotInCyberQuery</v>
      </c>
      <c r="R930" s="84" t="str">
        <f t="shared" si="57"/>
        <v>MT</v>
      </c>
      <c r="S930" s="84">
        <f t="shared" si="58"/>
        <v>1022398</v>
      </c>
      <c r="T930" s="84">
        <f t="shared" si="59"/>
        <v>1022405</v>
      </c>
    </row>
    <row r="931" spans="1:21" x14ac:dyDescent="0.3">
      <c r="A931" s="96"/>
      <c r="B931" s="84">
        <v>1022622</v>
      </c>
      <c r="C931" s="85">
        <v>1022616</v>
      </c>
      <c r="D931" s="84" t="s">
        <v>6</v>
      </c>
      <c r="E931" s="84" t="s">
        <v>7</v>
      </c>
      <c r="F931" s="86" t="s">
        <v>1596</v>
      </c>
      <c r="G931" s="87" t="s">
        <v>1388</v>
      </c>
      <c r="H931" s="87">
        <v>2</v>
      </c>
      <c r="I931" s="89"/>
      <c r="J931" s="89"/>
      <c r="K931" s="89" t="s">
        <v>1614</v>
      </c>
      <c r="L931" s="84" t="s">
        <v>107</v>
      </c>
      <c r="M931" s="88" t="str">
        <f>VLOOKUP(L931,lookups!B:C,2,FALSE)</f>
        <v>Chris</v>
      </c>
      <c r="N931" s="89" t="str">
        <f>VLOOKUP(K931,TeamLookup[],2,0)</f>
        <v>Cyber</v>
      </c>
      <c r="O931" s="84" t="e">
        <f>VLOOKUP(VALUE($S931),lookups!I:J,2,FALSE)</f>
        <v>#N/A</v>
      </c>
      <c r="P931" s="84" t="e">
        <f>VLOOKUP(VALUE($S931),lookups!F:G,2,FALSE)</f>
        <v>#N/A</v>
      </c>
      <c r="Q931" s="84" t="str">
        <f t="shared" si="56"/>
        <v>ParentNotInCyberQuery</v>
      </c>
      <c r="R931" s="84" t="str">
        <f t="shared" si="57"/>
        <v>MT</v>
      </c>
      <c r="S931" s="84">
        <f t="shared" si="58"/>
        <v>1022616</v>
      </c>
      <c r="T931" s="84">
        <f t="shared" si="59"/>
        <v>1022622</v>
      </c>
    </row>
    <row r="932" spans="1:21" x14ac:dyDescent="0.3">
      <c r="B932" s="84">
        <v>1024219</v>
      </c>
      <c r="C932" s="85">
        <v>1023514</v>
      </c>
      <c r="D932" s="84" t="s">
        <v>6</v>
      </c>
      <c r="E932" s="84" t="s">
        <v>7</v>
      </c>
      <c r="F932" s="86" t="s">
        <v>1636</v>
      </c>
      <c r="G932" s="87" t="s">
        <v>1388</v>
      </c>
      <c r="H932" s="87">
        <v>8</v>
      </c>
      <c r="I932" s="89"/>
      <c r="J932" s="89"/>
      <c r="K932" s="89" t="s">
        <v>1614</v>
      </c>
      <c r="L932" s="84" t="s">
        <v>8</v>
      </c>
      <c r="M932" s="88" t="str">
        <f>VLOOKUP(L932,lookups!B:C,2,FALSE)</f>
        <v>TBD</v>
      </c>
      <c r="N932" s="89" t="str">
        <f>VLOOKUP(K932,TeamLookup[],2,0)</f>
        <v>Cyber</v>
      </c>
      <c r="O932" s="84" t="e">
        <f>VLOOKUP(VALUE($S932),lookups!I:J,2,FALSE)</f>
        <v>#N/A</v>
      </c>
      <c r="P932" s="84" t="e">
        <f>VLOOKUP(VALUE($S932),lookups!F:G,2,FALSE)</f>
        <v>#N/A</v>
      </c>
      <c r="Q932" s="84" t="str">
        <f t="shared" si="56"/>
        <v>ParentNotInCyberQuery</v>
      </c>
      <c r="R932" s="84" t="str">
        <f t="shared" si="57"/>
        <v>MT</v>
      </c>
      <c r="S932" s="84">
        <f t="shared" si="58"/>
        <v>1023514</v>
      </c>
      <c r="T932" s="84">
        <f t="shared" si="59"/>
        <v>1024219</v>
      </c>
    </row>
    <row r="933" spans="1:21" x14ac:dyDescent="0.3">
      <c r="B933" s="84">
        <v>1024456</v>
      </c>
      <c r="C933" s="85">
        <v>1023792</v>
      </c>
      <c r="D933" s="84" t="s">
        <v>6</v>
      </c>
      <c r="E933" s="84" t="s">
        <v>7</v>
      </c>
      <c r="F933" s="86" t="s">
        <v>1679</v>
      </c>
      <c r="G933" s="87" t="s">
        <v>1388</v>
      </c>
      <c r="H933" s="87">
        <v>3</v>
      </c>
      <c r="I933" s="89"/>
      <c r="J933" s="89"/>
      <c r="K933" s="89" t="s">
        <v>1614</v>
      </c>
      <c r="L933" s="84" t="s">
        <v>37</v>
      </c>
      <c r="M933" s="88" t="str">
        <f>VLOOKUP(L933,lookups!B:C,2,FALSE)</f>
        <v>Kent</v>
      </c>
      <c r="N933" s="89" t="str">
        <f>VLOOKUP(K933,TeamLookup[],2,0)</f>
        <v>Cyber</v>
      </c>
      <c r="O933" s="84" t="e">
        <f>VLOOKUP(VALUE($S933),lookups!I:J,2,FALSE)</f>
        <v>#N/A</v>
      </c>
      <c r="P933" s="84" t="e">
        <f>VLOOKUP(VALUE($S933),lookups!F:G,2,FALSE)</f>
        <v>#N/A</v>
      </c>
      <c r="Q933" s="84" t="str">
        <f t="shared" si="56"/>
        <v>ParentNotInCyberQuery</v>
      </c>
      <c r="R933" s="84" t="str">
        <f t="shared" si="57"/>
        <v>MT</v>
      </c>
      <c r="S933" s="84">
        <f t="shared" si="58"/>
        <v>1023792</v>
      </c>
      <c r="T933" s="84">
        <f t="shared" si="59"/>
        <v>1024456</v>
      </c>
    </row>
    <row r="934" spans="1:21" x14ac:dyDescent="0.3">
      <c r="B934" s="84">
        <v>1023849</v>
      </c>
      <c r="C934" s="85">
        <v>1023794</v>
      </c>
      <c r="D934" s="84" t="s">
        <v>6</v>
      </c>
      <c r="E934" s="84" t="s">
        <v>7</v>
      </c>
      <c r="F934" s="86" t="s">
        <v>1638</v>
      </c>
      <c r="G934" s="87" t="s">
        <v>353</v>
      </c>
      <c r="H934" s="87">
        <v>5</v>
      </c>
      <c r="I934" s="84"/>
      <c r="J934" s="84"/>
      <c r="K934" s="84" t="s">
        <v>1614</v>
      </c>
      <c r="L934" s="84" t="s">
        <v>8</v>
      </c>
      <c r="M934" s="88" t="str">
        <f>VLOOKUP(L934,lookups!B:C,2,FALSE)</f>
        <v>TBD</v>
      </c>
      <c r="N934" s="89" t="str">
        <f>VLOOKUP(K934,TeamLookup[],2,0)</f>
        <v>Cyber</v>
      </c>
      <c r="O934" s="84" t="e">
        <f>VLOOKUP(VALUE($S934),lookups!I:J,2,FALSE)</f>
        <v>#N/A</v>
      </c>
      <c r="P934" s="84" t="e">
        <f>VLOOKUP(VALUE($S934),lookups!F:G,2,FALSE)</f>
        <v>#N/A</v>
      </c>
      <c r="Q934" s="84" t="str">
        <f t="shared" si="56"/>
        <v>ParentNotInCyberQuery</v>
      </c>
      <c r="R934" s="84" t="str">
        <f t="shared" si="57"/>
        <v>MT</v>
      </c>
      <c r="S934" s="84">
        <f t="shared" si="58"/>
        <v>1023794</v>
      </c>
      <c r="T934" s="84">
        <f t="shared" si="59"/>
        <v>1023849</v>
      </c>
    </row>
    <row r="935" spans="1:21" x14ac:dyDescent="0.3">
      <c r="B935" s="84">
        <v>1023850</v>
      </c>
      <c r="C935" s="85">
        <v>1023794</v>
      </c>
      <c r="D935" s="84" t="s">
        <v>6</v>
      </c>
      <c r="E935" s="84" t="s">
        <v>7</v>
      </c>
      <c r="F935" s="86" t="s">
        <v>1637</v>
      </c>
      <c r="G935" s="87" t="s">
        <v>1388</v>
      </c>
      <c r="H935" s="87">
        <v>8</v>
      </c>
      <c r="I935" s="84"/>
      <c r="J935" s="84"/>
      <c r="K935" s="84" t="s">
        <v>1614</v>
      </c>
      <c r="L935" s="84" t="s">
        <v>8</v>
      </c>
      <c r="M935" s="88" t="str">
        <f>VLOOKUP(L935,lookups!B:C,2,FALSE)</f>
        <v>TBD</v>
      </c>
      <c r="N935" s="89" t="str">
        <f>VLOOKUP(K935,TeamLookup[],2,0)</f>
        <v>Cyber</v>
      </c>
      <c r="O935" s="84" t="e">
        <f>VLOOKUP(VALUE($S935),lookups!I:J,2,FALSE)</f>
        <v>#N/A</v>
      </c>
      <c r="P935" s="84" t="e">
        <f>VLOOKUP(VALUE($S935),lookups!F:G,2,FALSE)</f>
        <v>#N/A</v>
      </c>
      <c r="Q935" s="84" t="str">
        <f t="shared" si="56"/>
        <v>ParentNotInCyberQuery</v>
      </c>
      <c r="R935" s="84" t="str">
        <f t="shared" si="57"/>
        <v>MT</v>
      </c>
      <c r="S935" s="84">
        <f t="shared" si="58"/>
        <v>1023794</v>
      </c>
      <c r="T935" s="84">
        <f t="shared" si="59"/>
        <v>1023850</v>
      </c>
      <c r="U935" s="94"/>
    </row>
    <row r="936" spans="1:21" x14ac:dyDescent="0.3">
      <c r="B936" s="84">
        <v>351011</v>
      </c>
      <c r="C936" s="85">
        <v>324842</v>
      </c>
      <c r="D936" s="84" t="s">
        <v>671</v>
      </c>
      <c r="E936" s="84" t="s">
        <v>675</v>
      </c>
      <c r="F936" s="86" t="s">
        <v>725</v>
      </c>
      <c r="G936" s="87" t="s">
        <v>8</v>
      </c>
      <c r="H936" s="87"/>
      <c r="I936" s="89"/>
      <c r="J936" s="89"/>
      <c r="K936" s="89" t="s">
        <v>1616</v>
      </c>
      <c r="L936" s="84" t="s">
        <v>66</v>
      </c>
      <c r="M936" s="88" t="str">
        <f>VLOOKUP(L936,lookups!B:C,2,FALSE)</f>
        <v>Michael V</v>
      </c>
      <c r="N936" s="89" t="str">
        <f>VLOOKUP(K936,TeamLookup[],2,0)</f>
        <v>Magic</v>
      </c>
      <c r="O936" s="84" t="e">
        <f>VLOOKUP(VALUE($S936),lookups!I:J,2,FALSE)</f>
        <v>#N/A</v>
      </c>
      <c r="P936" s="84" t="e">
        <f>VLOOKUP(VALUE($S936),lookups!F:G,2,FALSE)</f>
        <v>#N/A</v>
      </c>
      <c r="Q936" s="84" t="str">
        <f t="shared" si="56"/>
        <v/>
      </c>
      <c r="R936" s="84" t="str">
        <f t="shared" si="57"/>
        <v>N/A</v>
      </c>
      <c r="S936" s="84">
        <f t="shared" si="58"/>
        <v>324842</v>
      </c>
      <c r="T936" s="84">
        <f t="shared" si="59"/>
        <v>0</v>
      </c>
    </row>
    <row r="937" spans="1:21" x14ac:dyDescent="0.3">
      <c r="B937" s="84">
        <v>351010</v>
      </c>
      <c r="C937" s="85">
        <v>324842</v>
      </c>
      <c r="D937" s="84" t="s">
        <v>671</v>
      </c>
      <c r="E937" s="84" t="s">
        <v>675</v>
      </c>
      <c r="F937" s="86" t="s">
        <v>726</v>
      </c>
      <c r="G937" s="87" t="s">
        <v>8</v>
      </c>
      <c r="H937" s="87"/>
      <c r="I937" s="89"/>
      <c r="J937" s="89"/>
      <c r="K937" s="89" t="s">
        <v>1616</v>
      </c>
      <c r="L937" s="84" t="s">
        <v>66</v>
      </c>
      <c r="M937" s="88" t="str">
        <f>VLOOKUP(L937,lookups!B:C,2,FALSE)</f>
        <v>Michael V</v>
      </c>
      <c r="N937" s="89" t="str">
        <f>VLOOKUP(K937,TeamLookup[],2,0)</f>
        <v>Magic</v>
      </c>
      <c r="O937" s="84" t="e">
        <f>VLOOKUP(VALUE($S937),lookups!I:J,2,FALSE)</f>
        <v>#N/A</v>
      </c>
      <c r="P937" s="84" t="e">
        <f>VLOOKUP(VALUE($S937),lookups!F:G,2,FALSE)</f>
        <v>#N/A</v>
      </c>
      <c r="Q937" s="84" t="str">
        <f t="shared" si="56"/>
        <v/>
      </c>
      <c r="R937" s="84" t="str">
        <f t="shared" si="57"/>
        <v>N/A</v>
      </c>
      <c r="S937" s="84">
        <f t="shared" si="58"/>
        <v>324842</v>
      </c>
      <c r="T937" s="84">
        <f t="shared" si="59"/>
        <v>0</v>
      </c>
    </row>
    <row r="938" spans="1:21" ht="28.8" x14ac:dyDescent="0.3">
      <c r="B938" s="84">
        <v>354491</v>
      </c>
      <c r="C938" s="85">
        <v>324993</v>
      </c>
      <c r="D938" s="84" t="s">
        <v>671</v>
      </c>
      <c r="E938" s="84" t="s">
        <v>691</v>
      </c>
      <c r="F938" s="86" t="s">
        <v>692</v>
      </c>
      <c r="G938" s="87" t="s">
        <v>8</v>
      </c>
      <c r="H938" s="87"/>
      <c r="I938" s="89"/>
      <c r="J938" s="89"/>
      <c r="K938" s="89" t="s">
        <v>1614</v>
      </c>
      <c r="L938" s="84" t="s">
        <v>693</v>
      </c>
      <c r="M938" s="88" t="e">
        <f>VLOOKUP(L938,lookups!B:C,2,FALSE)</f>
        <v>#N/A</v>
      </c>
      <c r="N938" s="89" t="str">
        <f>VLOOKUP(K938,TeamLookup[],2,0)</f>
        <v>Cyber</v>
      </c>
      <c r="O938" s="84" t="e">
        <f>VLOOKUP(VALUE($S938),lookups!I:J,2,FALSE)</f>
        <v>#N/A</v>
      </c>
      <c r="P938" s="84" t="e">
        <f>VLOOKUP(VALUE($S938),lookups!F:G,2,FALSE)</f>
        <v>#N/A</v>
      </c>
      <c r="Q938" s="84" t="str">
        <f t="shared" si="56"/>
        <v/>
      </c>
      <c r="R938" s="84" t="str">
        <f t="shared" si="57"/>
        <v>N/A</v>
      </c>
      <c r="S938" s="84">
        <f t="shared" si="58"/>
        <v>324993</v>
      </c>
      <c r="T938" s="84">
        <f t="shared" si="59"/>
        <v>0</v>
      </c>
    </row>
    <row r="939" spans="1:21" x14ac:dyDescent="0.3">
      <c r="B939" s="84">
        <v>354207</v>
      </c>
      <c r="C939" s="85">
        <v>324993</v>
      </c>
      <c r="D939" s="84" t="s">
        <v>671</v>
      </c>
      <c r="E939" s="84" t="s">
        <v>672</v>
      </c>
      <c r="F939" s="86" t="s">
        <v>695</v>
      </c>
      <c r="G939" s="87" t="s">
        <v>8</v>
      </c>
      <c r="H939" s="87"/>
      <c r="I939" s="84"/>
      <c r="J939" s="84"/>
      <c r="K939" s="84" t="s">
        <v>1617</v>
      </c>
      <c r="L939" s="84" t="s">
        <v>149</v>
      </c>
      <c r="M939" s="88" t="str">
        <f>VLOOKUP(L939,lookups!B:C,2,FALSE)</f>
        <v>Mateo A</v>
      </c>
      <c r="N939" s="89" t="str">
        <f>VLOOKUP(K939,TeamLookup[],2,0)</f>
        <v>SIC</v>
      </c>
      <c r="O939" s="84" t="e">
        <f>VLOOKUP(VALUE($S939),lookups!I:J,2,FALSE)</f>
        <v>#N/A</v>
      </c>
      <c r="P939" s="84" t="e">
        <f>VLOOKUP(VALUE($S939),lookups!F:G,2,FALSE)</f>
        <v>#N/A</v>
      </c>
      <c r="Q939" s="84" t="str">
        <f t="shared" si="56"/>
        <v/>
      </c>
      <c r="R939" s="84" t="str">
        <f t="shared" si="57"/>
        <v>N/A</v>
      </c>
      <c r="S939" s="84">
        <f t="shared" si="58"/>
        <v>324993</v>
      </c>
      <c r="T939" s="84">
        <f t="shared" si="59"/>
        <v>0</v>
      </c>
    </row>
    <row r="940" spans="1:21" x14ac:dyDescent="0.3">
      <c r="B940" s="84">
        <v>359186</v>
      </c>
      <c r="C940" s="85">
        <v>325227</v>
      </c>
      <c r="D940" s="84" t="s">
        <v>671</v>
      </c>
      <c r="E940" s="84" t="s">
        <v>672</v>
      </c>
      <c r="F940" s="86" t="s">
        <v>674</v>
      </c>
      <c r="G940" s="87" t="s">
        <v>8</v>
      </c>
      <c r="H940" s="87"/>
      <c r="I940" s="89"/>
      <c r="J940" s="89"/>
      <c r="K940" s="89" t="s">
        <v>1617</v>
      </c>
      <c r="L940" s="84" t="s">
        <v>127</v>
      </c>
      <c r="M940" s="88" t="str">
        <f>VLOOKUP(L940,lookups!B:C,2,FALSE)</f>
        <v>Joel A</v>
      </c>
      <c r="N940" s="89" t="str">
        <f>VLOOKUP(K940,TeamLookup[],2,0)</f>
        <v>SIC</v>
      </c>
      <c r="O940" s="84" t="e">
        <f>VLOOKUP(VALUE($S940),lookups!I:J,2,FALSE)</f>
        <v>#N/A</v>
      </c>
      <c r="P940" s="84" t="e">
        <f>VLOOKUP(VALUE($S940),lookups!F:G,2,FALSE)</f>
        <v>#N/A</v>
      </c>
      <c r="Q940" s="84" t="str">
        <f t="shared" si="56"/>
        <v/>
      </c>
      <c r="R940" s="84" t="str">
        <f t="shared" si="57"/>
        <v>N/A</v>
      </c>
      <c r="S940" s="84">
        <f t="shared" si="58"/>
        <v>325227</v>
      </c>
      <c r="T940" s="84">
        <f t="shared" si="59"/>
        <v>0</v>
      </c>
    </row>
    <row r="941" spans="1:21" x14ac:dyDescent="0.3">
      <c r="A941" s="96"/>
      <c r="B941" s="84">
        <v>359095</v>
      </c>
      <c r="C941" s="85">
        <v>325227</v>
      </c>
      <c r="D941" s="84" t="s">
        <v>671</v>
      </c>
      <c r="E941" s="84" t="s">
        <v>675</v>
      </c>
      <c r="F941" s="86" t="s">
        <v>676</v>
      </c>
      <c r="G941" s="87" t="s">
        <v>8</v>
      </c>
      <c r="H941" s="87"/>
      <c r="I941" s="89"/>
      <c r="J941" s="89"/>
      <c r="K941" s="89" t="s">
        <v>1617</v>
      </c>
      <c r="L941" s="84" t="s">
        <v>127</v>
      </c>
      <c r="M941" s="88" t="str">
        <f>VLOOKUP(L941,lookups!B:C,2,FALSE)</f>
        <v>Joel A</v>
      </c>
      <c r="N941" s="89" t="str">
        <f>VLOOKUP(K941,TeamLookup[],2,0)</f>
        <v>SIC</v>
      </c>
      <c r="O941" s="84" t="e">
        <f>VLOOKUP(VALUE($S941),lookups!I:J,2,FALSE)</f>
        <v>#N/A</v>
      </c>
      <c r="P941" s="84" t="e">
        <f>VLOOKUP(VALUE($S941),lookups!F:G,2,FALSE)</f>
        <v>#N/A</v>
      </c>
      <c r="Q941" s="84" t="str">
        <f t="shared" si="56"/>
        <v/>
      </c>
      <c r="R941" s="84" t="str">
        <f t="shared" si="57"/>
        <v>N/A</v>
      </c>
      <c r="S941" s="84">
        <f t="shared" si="58"/>
        <v>325227</v>
      </c>
      <c r="T941" s="84">
        <f t="shared" si="59"/>
        <v>0</v>
      </c>
    </row>
    <row r="942" spans="1:21" ht="28.8" x14ac:dyDescent="0.3">
      <c r="B942" s="88">
        <v>358958</v>
      </c>
      <c r="C942" s="85">
        <v>325227</v>
      </c>
      <c r="D942" s="84" t="s">
        <v>671</v>
      </c>
      <c r="E942" s="88" t="s">
        <v>672</v>
      </c>
      <c r="F942" s="91" t="s">
        <v>677</v>
      </c>
      <c r="G942" s="87" t="s">
        <v>8</v>
      </c>
      <c r="H942" s="87"/>
      <c r="I942" s="89"/>
      <c r="J942" s="89"/>
      <c r="K942" s="89" t="s">
        <v>1617</v>
      </c>
      <c r="L942" s="84" t="s">
        <v>127</v>
      </c>
      <c r="M942" s="88" t="str">
        <f>VLOOKUP(L942,lookups!B:C,2,FALSE)</f>
        <v>Joel A</v>
      </c>
      <c r="N942" s="89" t="str">
        <f>VLOOKUP(K942,TeamLookup[],2,0)</f>
        <v>SIC</v>
      </c>
      <c r="O942" s="84" t="e">
        <f>VLOOKUP(VALUE($S942),lookups!I:J,2,FALSE)</f>
        <v>#N/A</v>
      </c>
      <c r="P942" s="84" t="e">
        <f>VLOOKUP(VALUE($S942),lookups!F:G,2,FALSE)</f>
        <v>#N/A</v>
      </c>
      <c r="Q942" s="84" t="str">
        <f t="shared" si="56"/>
        <v/>
      </c>
      <c r="R942" s="84" t="str">
        <f t="shared" si="57"/>
        <v>N/A</v>
      </c>
      <c r="S942" s="84">
        <f t="shared" si="58"/>
        <v>325227</v>
      </c>
      <c r="T942" s="84">
        <f t="shared" si="59"/>
        <v>0</v>
      </c>
    </row>
    <row r="943" spans="1:21" x14ac:dyDescent="0.3">
      <c r="B943" s="84">
        <v>358923</v>
      </c>
      <c r="C943" s="85">
        <v>325227</v>
      </c>
      <c r="D943" s="84" t="s">
        <v>671</v>
      </c>
      <c r="E943" s="84" t="s">
        <v>672</v>
      </c>
      <c r="F943" s="86" t="s">
        <v>678</v>
      </c>
      <c r="G943" s="87" t="s">
        <v>8</v>
      </c>
      <c r="H943" s="87"/>
      <c r="I943" s="89"/>
      <c r="J943" s="89"/>
      <c r="K943" s="89" t="s">
        <v>1617</v>
      </c>
      <c r="L943" s="84" t="s">
        <v>127</v>
      </c>
      <c r="M943" s="88" t="str">
        <f>VLOOKUP(L943,lookups!B:C,2,FALSE)</f>
        <v>Joel A</v>
      </c>
      <c r="N943" s="89" t="str">
        <f>VLOOKUP(K943,TeamLookup[],2,0)</f>
        <v>SIC</v>
      </c>
      <c r="O943" s="84" t="e">
        <f>VLOOKUP(VALUE($S943),lookups!I:J,2,FALSE)</f>
        <v>#N/A</v>
      </c>
      <c r="P943" s="84" t="e">
        <f>VLOOKUP(VALUE($S943),lookups!F:G,2,FALSE)</f>
        <v>#N/A</v>
      </c>
      <c r="Q943" s="84" t="str">
        <f t="shared" si="56"/>
        <v/>
      </c>
      <c r="R943" s="84" t="str">
        <f t="shared" si="57"/>
        <v>N/A</v>
      </c>
      <c r="S943" s="84">
        <f t="shared" si="58"/>
        <v>325227</v>
      </c>
      <c r="T943" s="84">
        <f t="shared" si="59"/>
        <v>0</v>
      </c>
    </row>
    <row r="944" spans="1:21" x14ac:dyDescent="0.3">
      <c r="B944" s="84">
        <v>358915</v>
      </c>
      <c r="C944" s="85">
        <v>325227</v>
      </c>
      <c r="D944" s="84" t="s">
        <v>671</v>
      </c>
      <c r="E944" s="84" t="s">
        <v>672</v>
      </c>
      <c r="F944" s="86" t="s">
        <v>679</v>
      </c>
      <c r="G944" s="87" t="s">
        <v>8</v>
      </c>
      <c r="H944" s="87"/>
      <c r="I944" s="89"/>
      <c r="J944" s="89"/>
      <c r="K944" s="89" t="s">
        <v>1617</v>
      </c>
      <c r="L944" s="84" t="s">
        <v>127</v>
      </c>
      <c r="M944" s="88" t="str">
        <f>VLOOKUP(L944,lookups!B:C,2,FALSE)</f>
        <v>Joel A</v>
      </c>
      <c r="N944" s="89" t="str">
        <f>VLOOKUP(K944,TeamLookup[],2,0)</f>
        <v>SIC</v>
      </c>
      <c r="O944" s="84" t="e">
        <f>VLOOKUP(VALUE($S944),lookups!I:J,2,FALSE)</f>
        <v>#N/A</v>
      </c>
      <c r="P944" s="84" t="e">
        <f>VLOOKUP(VALUE($S944),lookups!F:G,2,FALSE)</f>
        <v>#N/A</v>
      </c>
      <c r="Q944" s="84" t="str">
        <f t="shared" si="56"/>
        <v/>
      </c>
      <c r="R944" s="84" t="str">
        <f t="shared" si="57"/>
        <v>N/A</v>
      </c>
      <c r="S944" s="84">
        <f t="shared" si="58"/>
        <v>325227</v>
      </c>
      <c r="T944" s="84">
        <f t="shared" si="59"/>
        <v>0</v>
      </c>
    </row>
    <row r="945" spans="1:20" ht="28.8" x14ac:dyDescent="0.3">
      <c r="B945" s="84">
        <v>358572</v>
      </c>
      <c r="C945" s="85">
        <v>325227</v>
      </c>
      <c r="D945" s="84" t="s">
        <v>671</v>
      </c>
      <c r="E945" s="84" t="s">
        <v>675</v>
      </c>
      <c r="F945" s="86" t="s">
        <v>680</v>
      </c>
      <c r="G945" s="87" t="s">
        <v>8</v>
      </c>
      <c r="H945" s="87"/>
      <c r="I945" s="89"/>
      <c r="J945" s="89"/>
      <c r="K945" s="89" t="s">
        <v>1617</v>
      </c>
      <c r="L945" s="84" t="s">
        <v>127</v>
      </c>
      <c r="M945" s="88" t="str">
        <f>VLOOKUP(L945,lookups!B:C,2,FALSE)</f>
        <v>Joel A</v>
      </c>
      <c r="N945" s="89" t="str">
        <f>VLOOKUP(K945,TeamLookup[],2,0)</f>
        <v>SIC</v>
      </c>
      <c r="O945" s="84" t="e">
        <f>VLOOKUP(VALUE($S945),lookups!I:J,2,FALSE)</f>
        <v>#N/A</v>
      </c>
      <c r="P945" s="84" t="e">
        <f>VLOOKUP(VALUE($S945),lookups!F:G,2,FALSE)</f>
        <v>#N/A</v>
      </c>
      <c r="Q945" s="84" t="str">
        <f t="shared" si="56"/>
        <v/>
      </c>
      <c r="R945" s="84" t="str">
        <f t="shared" si="57"/>
        <v>N/A</v>
      </c>
      <c r="S945" s="84">
        <f t="shared" si="58"/>
        <v>325227</v>
      </c>
      <c r="T945" s="84">
        <f t="shared" si="59"/>
        <v>0</v>
      </c>
    </row>
    <row r="946" spans="1:20" x14ac:dyDescent="0.3">
      <c r="B946" s="84">
        <v>358542</v>
      </c>
      <c r="C946" s="85">
        <v>325227</v>
      </c>
      <c r="D946" s="84" t="s">
        <v>671</v>
      </c>
      <c r="E946" s="84" t="s">
        <v>672</v>
      </c>
      <c r="F946" s="86" t="s">
        <v>681</v>
      </c>
      <c r="G946" s="87" t="s">
        <v>8</v>
      </c>
      <c r="H946" s="87"/>
      <c r="I946" s="89"/>
      <c r="J946" s="89"/>
      <c r="K946" s="89" t="s">
        <v>1617</v>
      </c>
      <c r="L946" s="84" t="s">
        <v>127</v>
      </c>
      <c r="M946" s="88" t="str">
        <f>VLOOKUP(L946,lookups!B:C,2,FALSE)</f>
        <v>Joel A</v>
      </c>
      <c r="N946" s="89" t="str">
        <f>VLOOKUP(K946,TeamLookup[],2,0)</f>
        <v>SIC</v>
      </c>
      <c r="O946" s="84" t="e">
        <f>VLOOKUP(VALUE($S946),lookups!I:J,2,FALSE)</f>
        <v>#N/A</v>
      </c>
      <c r="P946" s="84" t="e">
        <f>VLOOKUP(VALUE($S946),lookups!F:G,2,FALSE)</f>
        <v>#N/A</v>
      </c>
      <c r="Q946" s="84" t="str">
        <f t="shared" si="56"/>
        <v/>
      </c>
      <c r="R946" s="84" t="str">
        <f t="shared" si="57"/>
        <v>N/A</v>
      </c>
      <c r="S946" s="84">
        <f t="shared" si="58"/>
        <v>325227</v>
      </c>
      <c r="T946" s="84">
        <f t="shared" si="59"/>
        <v>0</v>
      </c>
    </row>
    <row r="947" spans="1:20" x14ac:dyDescent="0.3">
      <c r="B947" s="84">
        <v>358538</v>
      </c>
      <c r="C947" s="85">
        <v>325227</v>
      </c>
      <c r="D947" s="84" t="s">
        <v>671</v>
      </c>
      <c r="E947" s="84" t="s">
        <v>672</v>
      </c>
      <c r="F947" s="86" t="s">
        <v>682</v>
      </c>
      <c r="G947" s="87" t="s">
        <v>8</v>
      </c>
      <c r="H947" s="87"/>
      <c r="I947" s="89"/>
      <c r="J947" s="89"/>
      <c r="K947" s="89" t="s">
        <v>1614</v>
      </c>
      <c r="L947" s="84" t="s">
        <v>126</v>
      </c>
      <c r="M947" s="88" t="str">
        <f>VLOOKUP(L947,lookups!B:C,2,FALSE)</f>
        <v>Greg</v>
      </c>
      <c r="N947" s="89" t="str">
        <f>VLOOKUP(K947,TeamLookup[],2,0)</f>
        <v>Cyber</v>
      </c>
      <c r="O947" s="84" t="e">
        <f>VLOOKUP(VALUE($S947),lookups!I:J,2,FALSE)</f>
        <v>#N/A</v>
      </c>
      <c r="P947" s="84" t="e">
        <f>VLOOKUP(VALUE($S947),lookups!F:G,2,FALSE)</f>
        <v>#N/A</v>
      </c>
      <c r="Q947" s="84" t="str">
        <f t="shared" si="56"/>
        <v/>
      </c>
      <c r="R947" s="84" t="str">
        <f t="shared" si="57"/>
        <v>N/A</v>
      </c>
      <c r="S947" s="84">
        <f t="shared" si="58"/>
        <v>325227</v>
      </c>
      <c r="T947" s="84">
        <f t="shared" si="59"/>
        <v>0</v>
      </c>
    </row>
    <row r="948" spans="1:20" x14ac:dyDescent="0.3">
      <c r="A948" s="96"/>
      <c r="B948" s="88">
        <v>358429</v>
      </c>
      <c r="C948" s="85">
        <v>325227</v>
      </c>
      <c r="D948" s="84" t="s">
        <v>671</v>
      </c>
      <c r="E948" s="84" t="s">
        <v>675</v>
      </c>
      <c r="F948" s="91" t="s">
        <v>683</v>
      </c>
      <c r="G948" s="87" t="s">
        <v>8</v>
      </c>
      <c r="H948" s="87"/>
      <c r="I948" s="89"/>
      <c r="J948" s="89"/>
      <c r="K948" s="89" t="s">
        <v>1617</v>
      </c>
      <c r="L948" s="84" t="s">
        <v>127</v>
      </c>
      <c r="M948" s="88" t="str">
        <f>VLOOKUP(L948,lookups!B:C,2,FALSE)</f>
        <v>Joel A</v>
      </c>
      <c r="N948" s="89" t="str">
        <f>VLOOKUP(K948,TeamLookup[],2,0)</f>
        <v>SIC</v>
      </c>
      <c r="O948" s="84" t="e">
        <f>VLOOKUP(VALUE($S948),lookups!I:J,2,FALSE)</f>
        <v>#N/A</v>
      </c>
      <c r="P948" s="84" t="e">
        <f>VLOOKUP(VALUE($S948),lookups!F:G,2,FALSE)</f>
        <v>#N/A</v>
      </c>
      <c r="Q948" s="84" t="str">
        <f t="shared" si="56"/>
        <v/>
      </c>
      <c r="R948" s="84" t="str">
        <f t="shared" si="57"/>
        <v>N/A</v>
      </c>
      <c r="S948" s="84">
        <f t="shared" si="58"/>
        <v>325227</v>
      </c>
      <c r="T948" s="84">
        <f t="shared" si="59"/>
        <v>0</v>
      </c>
    </row>
    <row r="949" spans="1:20" x14ac:dyDescent="0.3">
      <c r="B949" s="84">
        <v>358322</v>
      </c>
      <c r="C949" s="85">
        <v>325227</v>
      </c>
      <c r="D949" s="84" t="s">
        <v>671</v>
      </c>
      <c r="E949" s="84" t="s">
        <v>675</v>
      </c>
      <c r="F949" s="86" t="s">
        <v>684</v>
      </c>
      <c r="G949" s="87" t="s">
        <v>8</v>
      </c>
      <c r="H949" s="87"/>
      <c r="I949" s="84"/>
      <c r="J949" s="84"/>
      <c r="K949" s="84" t="s">
        <v>1617</v>
      </c>
      <c r="L949" s="84" t="s">
        <v>127</v>
      </c>
      <c r="M949" s="88" t="str">
        <f>VLOOKUP(L949,lookups!B:C,2,FALSE)</f>
        <v>Joel A</v>
      </c>
      <c r="N949" s="89" t="str">
        <f>VLOOKUP(K949,TeamLookup[],2,0)</f>
        <v>SIC</v>
      </c>
      <c r="O949" s="84" t="e">
        <f>VLOOKUP(VALUE($S949),lookups!I:J,2,FALSE)</f>
        <v>#N/A</v>
      </c>
      <c r="P949" s="84" t="e">
        <f>VLOOKUP(VALUE($S949),lookups!F:G,2,FALSE)</f>
        <v>#N/A</v>
      </c>
      <c r="Q949" s="84" t="str">
        <f t="shared" si="56"/>
        <v/>
      </c>
      <c r="R949" s="84" t="str">
        <f t="shared" si="57"/>
        <v>N/A</v>
      </c>
      <c r="S949" s="84">
        <f t="shared" si="58"/>
        <v>325227</v>
      </c>
      <c r="T949" s="84">
        <f t="shared" si="59"/>
        <v>0</v>
      </c>
    </row>
    <row r="950" spans="1:20" ht="43.5" customHeight="1" x14ac:dyDescent="0.3">
      <c r="B950" s="84">
        <v>358297</v>
      </c>
      <c r="C950" s="85">
        <v>325227</v>
      </c>
      <c r="D950" s="84" t="s">
        <v>671</v>
      </c>
      <c r="E950" s="88" t="s">
        <v>672</v>
      </c>
      <c r="F950" s="86" t="s">
        <v>685</v>
      </c>
      <c r="G950" s="87" t="s">
        <v>8</v>
      </c>
      <c r="H950" s="87"/>
      <c r="I950" s="89"/>
      <c r="J950" s="89"/>
      <c r="K950" s="89" t="s">
        <v>1617</v>
      </c>
      <c r="L950" s="84" t="s">
        <v>151</v>
      </c>
      <c r="M950" s="88" t="str">
        <f>VLOOKUP(L950,lookups!B:C,2,FALSE)</f>
        <v>Dustin D</v>
      </c>
      <c r="N950" s="89" t="str">
        <f>VLOOKUP(K950,TeamLookup[],2,0)</f>
        <v>SIC</v>
      </c>
      <c r="O950" s="84" t="e">
        <f>VLOOKUP(VALUE($S950),lookups!I:J,2,FALSE)</f>
        <v>#N/A</v>
      </c>
      <c r="P950" s="84" t="e">
        <f>VLOOKUP(VALUE($S950),lookups!F:G,2,FALSE)</f>
        <v>#N/A</v>
      </c>
      <c r="Q950" s="84" t="str">
        <f t="shared" si="56"/>
        <v/>
      </c>
      <c r="R950" s="84" t="str">
        <f t="shared" si="57"/>
        <v>N/A</v>
      </c>
      <c r="S950" s="84">
        <f t="shared" si="58"/>
        <v>325227</v>
      </c>
      <c r="T950" s="84">
        <f t="shared" si="59"/>
        <v>0</v>
      </c>
    </row>
    <row r="951" spans="1:20" x14ac:dyDescent="0.3">
      <c r="B951" s="84">
        <v>359191</v>
      </c>
      <c r="C951" s="85">
        <v>360670</v>
      </c>
      <c r="D951" s="84" t="s">
        <v>671</v>
      </c>
      <c r="E951" s="84" t="s">
        <v>672</v>
      </c>
      <c r="F951" s="86" t="s">
        <v>673</v>
      </c>
      <c r="G951" s="87" t="s">
        <v>541</v>
      </c>
      <c r="H951" s="87"/>
      <c r="I951" s="89"/>
      <c r="J951" s="89"/>
      <c r="K951" s="89" t="s">
        <v>1614</v>
      </c>
      <c r="L951" s="84" t="s">
        <v>1342</v>
      </c>
      <c r="M951" s="88" t="str">
        <f>VLOOKUP(L951,lookups!B:C,2,FALSE)</f>
        <v>John</v>
      </c>
      <c r="N951" s="89" t="str">
        <f>VLOOKUP(K951,TeamLookup[],2,0)</f>
        <v>Cyber</v>
      </c>
      <c r="O951" s="84" t="e">
        <f>VLOOKUP(VALUE($S951),lookups!I:J,2,FALSE)</f>
        <v>#N/A</v>
      </c>
      <c r="P951" s="84" t="e">
        <f>VLOOKUP(VALUE($S951),lookups!F:G,2,FALSE)</f>
        <v>#N/A</v>
      </c>
      <c r="Q951" s="84" t="str">
        <f t="shared" si="56"/>
        <v/>
      </c>
      <c r="R951" s="84" t="str">
        <f t="shared" si="57"/>
        <v>N/A</v>
      </c>
      <c r="S951" s="84">
        <f t="shared" si="58"/>
        <v>360670</v>
      </c>
      <c r="T951" s="84">
        <f t="shared" si="59"/>
        <v>0</v>
      </c>
    </row>
    <row r="952" spans="1:20" x14ac:dyDescent="0.3">
      <c r="B952" s="84">
        <v>350835</v>
      </c>
      <c r="C952" s="85">
        <v>360670</v>
      </c>
      <c r="D952" s="84" t="s">
        <v>671</v>
      </c>
      <c r="E952" s="84" t="s">
        <v>672</v>
      </c>
      <c r="F952" s="86" t="s">
        <v>728</v>
      </c>
      <c r="G952" s="87" t="s">
        <v>541</v>
      </c>
      <c r="H952" s="87"/>
      <c r="I952" s="89"/>
      <c r="J952" s="89"/>
      <c r="K952" s="89" t="s">
        <v>1614</v>
      </c>
      <c r="L952" s="84" t="s">
        <v>1342</v>
      </c>
      <c r="M952" s="88" t="str">
        <f>VLOOKUP(L952,lookups!B:C,2,FALSE)</f>
        <v>John</v>
      </c>
      <c r="N952" s="89" t="str">
        <f>VLOOKUP(K952,TeamLookup[],2,0)</f>
        <v>Cyber</v>
      </c>
      <c r="O952" s="84" t="e">
        <f>VLOOKUP(VALUE($S952),lookups!I:J,2,FALSE)</f>
        <v>#N/A</v>
      </c>
      <c r="P952" s="84" t="e">
        <f>VLOOKUP(VALUE($S952),lookups!F:G,2,FALSE)</f>
        <v>#N/A</v>
      </c>
      <c r="Q952" s="84" t="str">
        <f t="shared" si="56"/>
        <v/>
      </c>
      <c r="R952" s="84" t="str">
        <f t="shared" si="57"/>
        <v>N/A</v>
      </c>
      <c r="S952" s="84">
        <f t="shared" si="58"/>
        <v>360670</v>
      </c>
      <c r="T952" s="84">
        <f t="shared" si="59"/>
        <v>0</v>
      </c>
    </row>
    <row r="953" spans="1:20" ht="28.8" x14ac:dyDescent="0.3">
      <c r="B953" s="84">
        <v>355061</v>
      </c>
      <c r="C953" s="85">
        <v>375516</v>
      </c>
      <c r="D953" s="84" t="s">
        <v>671</v>
      </c>
      <c r="E953" s="84" t="s">
        <v>672</v>
      </c>
      <c r="F953" s="86" t="s">
        <v>688</v>
      </c>
      <c r="G953" s="87" t="s">
        <v>482</v>
      </c>
      <c r="H953" s="87"/>
      <c r="I953" s="89" t="s">
        <v>689</v>
      </c>
      <c r="J953" s="89"/>
      <c r="K953" s="89" t="s">
        <v>1614</v>
      </c>
      <c r="L953" s="84" t="s">
        <v>126</v>
      </c>
      <c r="M953" s="88" t="str">
        <f>VLOOKUP(L953,lookups!B:C,2,FALSE)</f>
        <v>Greg</v>
      </c>
      <c r="N953" s="89" t="str">
        <f>VLOOKUP(K953,TeamLookup[],2,0)</f>
        <v>Cyber</v>
      </c>
      <c r="O953" s="84" t="e">
        <f>VLOOKUP(VALUE($S953),lookups!I:J,2,FALSE)</f>
        <v>#N/A</v>
      </c>
      <c r="P953" s="84" t="e">
        <f>VLOOKUP(VALUE($S953),lookups!F:G,2,FALSE)</f>
        <v>#N/A</v>
      </c>
      <c r="Q953" s="84" t="str">
        <f t="shared" si="56"/>
        <v/>
      </c>
      <c r="R953" s="84" t="str">
        <f t="shared" si="57"/>
        <v>N/A</v>
      </c>
      <c r="S953" s="84">
        <f t="shared" si="58"/>
        <v>375516</v>
      </c>
      <c r="T953" s="84">
        <f t="shared" si="59"/>
        <v>0</v>
      </c>
    </row>
    <row r="954" spans="1:20" ht="28.8" x14ac:dyDescent="0.3">
      <c r="A954" s="96"/>
      <c r="B954" s="84">
        <v>364272</v>
      </c>
      <c r="C954" s="85">
        <v>392530</v>
      </c>
      <c r="D954" s="84" t="s">
        <v>671</v>
      </c>
      <c r="E954" s="84" t="s">
        <v>672</v>
      </c>
      <c r="F954" s="86" t="s">
        <v>1351</v>
      </c>
      <c r="G954" s="87" t="s">
        <v>267</v>
      </c>
      <c r="H954" s="87"/>
      <c r="I954" s="89"/>
      <c r="J954" s="89"/>
      <c r="K954" s="89" t="s">
        <v>1614</v>
      </c>
      <c r="L954" s="84" t="s">
        <v>1342</v>
      </c>
      <c r="M954" s="88" t="str">
        <f>VLOOKUP(L954,lookups!B:C,2,FALSE)</f>
        <v>John</v>
      </c>
      <c r="N954" s="89" t="str">
        <f>VLOOKUP(K954,TeamLookup[],2,0)</f>
        <v>Cyber</v>
      </c>
      <c r="O954" s="84" t="e">
        <f>VLOOKUP(VALUE($S954),lookups!I:J,2,FALSE)</f>
        <v>#N/A</v>
      </c>
      <c r="P954" s="84" t="e">
        <f>VLOOKUP(VALUE($S954),lookups!F:G,2,FALSE)</f>
        <v>#N/A</v>
      </c>
      <c r="Q954" s="84" t="str">
        <f t="shared" si="56"/>
        <v/>
      </c>
      <c r="R954" s="84" t="str">
        <f t="shared" si="57"/>
        <v>N/A</v>
      </c>
      <c r="S954" s="84">
        <f t="shared" si="58"/>
        <v>392530</v>
      </c>
      <c r="T954" s="84">
        <f t="shared" si="59"/>
        <v>0</v>
      </c>
    </row>
    <row r="955" spans="1:20" ht="28.8" x14ac:dyDescent="0.3">
      <c r="B955" s="84">
        <v>1018511</v>
      </c>
      <c r="C955" s="85">
        <v>379001</v>
      </c>
      <c r="D955" s="84" t="s">
        <v>344</v>
      </c>
      <c r="E955" s="84" t="s">
        <v>7</v>
      </c>
      <c r="F955" s="86" t="s">
        <v>1523</v>
      </c>
      <c r="G955" s="87" t="s">
        <v>8</v>
      </c>
      <c r="H955" s="87"/>
      <c r="I955" s="89"/>
      <c r="J955" s="89"/>
      <c r="K955" s="89" t="s">
        <v>1614</v>
      </c>
      <c r="L955" s="84" t="s">
        <v>8</v>
      </c>
      <c r="M955" s="88" t="str">
        <f>VLOOKUP(L955,lookups!B:C,2,FALSE)</f>
        <v>TBD</v>
      </c>
      <c r="N955" s="89" t="str">
        <f>VLOOKUP(K955,TeamLookup[],2,0)</f>
        <v>Cyber</v>
      </c>
      <c r="O955" s="84" t="e">
        <f>VLOOKUP(VALUE($S955),lookups!I:J,2,FALSE)</f>
        <v>#N/A</v>
      </c>
      <c r="P955" s="84" t="e">
        <f>VLOOKUP(VALUE($S955),lookups!F:G,2,FALSE)</f>
        <v>#N/A</v>
      </c>
      <c r="Q955" s="84" t="str">
        <f t="shared" si="56"/>
        <v>ParentNotInCyberQuery</v>
      </c>
      <c r="R955" s="84" t="e">
        <f t="shared" si="57"/>
        <v>#N/A</v>
      </c>
      <c r="S955" s="84">
        <f t="shared" si="58"/>
        <v>379001</v>
      </c>
      <c r="T955" s="84">
        <f t="shared" si="59"/>
        <v>1018511</v>
      </c>
    </row>
    <row r="956" spans="1:20" x14ac:dyDescent="0.3">
      <c r="A956" s="96"/>
      <c r="B956" s="84">
        <v>1011026</v>
      </c>
      <c r="C956" s="85">
        <v>1011025</v>
      </c>
      <c r="D956" s="84" t="s">
        <v>344</v>
      </c>
      <c r="E956" s="84" t="s">
        <v>7</v>
      </c>
      <c r="F956" s="86" t="s">
        <v>1335</v>
      </c>
      <c r="G956" s="87" t="s">
        <v>1308</v>
      </c>
      <c r="H956" s="87"/>
      <c r="I956" s="84"/>
      <c r="J956" s="84"/>
      <c r="K956" s="84" t="s">
        <v>1614</v>
      </c>
      <c r="L956" s="84" t="s">
        <v>8</v>
      </c>
      <c r="M956" s="88" t="str">
        <f>VLOOKUP(L956,lookups!B:C,2,FALSE)</f>
        <v>TBD</v>
      </c>
      <c r="N956" s="89" t="str">
        <f>VLOOKUP(K956,TeamLookup[],2,0)</f>
        <v>Cyber</v>
      </c>
      <c r="O956" s="84" t="e">
        <f>VLOOKUP(VALUE($S956),lookups!I:J,2,FALSE)</f>
        <v>#N/A</v>
      </c>
      <c r="P956" s="84" t="e">
        <f>VLOOKUP(VALUE($S956),lookups!F:G,2,FALSE)</f>
        <v>#N/A</v>
      </c>
      <c r="Q956" s="84" t="str">
        <f t="shared" si="56"/>
        <v>ParentNotInCyberQuery</v>
      </c>
      <c r="R956" s="84" t="e">
        <f t="shared" si="57"/>
        <v>#N/A</v>
      </c>
      <c r="S956" s="84">
        <f t="shared" si="58"/>
        <v>1011025</v>
      </c>
      <c r="T956" s="84">
        <f t="shared" si="59"/>
        <v>1011026</v>
      </c>
    </row>
    <row r="957" spans="1:20" ht="28.8" x14ac:dyDescent="0.3">
      <c r="B957" s="84">
        <v>261988</v>
      </c>
      <c r="C957" s="85">
        <v>251537</v>
      </c>
      <c r="D957" s="84" t="s">
        <v>6</v>
      </c>
      <c r="E957" s="84" t="s">
        <v>345</v>
      </c>
      <c r="F957" s="86" t="s">
        <v>1291</v>
      </c>
      <c r="G957" s="87" t="s">
        <v>543</v>
      </c>
      <c r="H957" s="87">
        <v>3</v>
      </c>
      <c r="I957" s="89" t="s">
        <v>8</v>
      </c>
      <c r="J957" s="89"/>
      <c r="K957" s="89" t="s">
        <v>1614</v>
      </c>
      <c r="L957" s="84" t="s">
        <v>88</v>
      </c>
      <c r="M957" s="84"/>
      <c r="N957" s="89"/>
      <c r="O957" s="84"/>
      <c r="P957" s="84"/>
      <c r="Q957" s="84"/>
      <c r="R957" s="84"/>
      <c r="S957" s="84"/>
      <c r="T957" s="84"/>
    </row>
    <row r="958" spans="1:20" x14ac:dyDescent="0.3">
      <c r="B958" s="120">
        <v>318433</v>
      </c>
      <c r="C958" s="121">
        <v>318430</v>
      </c>
      <c r="D958" s="120" t="s">
        <v>6</v>
      </c>
      <c r="E958" s="120" t="s">
        <v>345</v>
      </c>
      <c r="F958" s="122" t="s">
        <v>1149</v>
      </c>
      <c r="G958" s="123" t="s">
        <v>541</v>
      </c>
      <c r="H958" s="123">
        <v>2</v>
      </c>
      <c r="I958" s="124" t="s">
        <v>8</v>
      </c>
      <c r="J958" s="124"/>
      <c r="K958" s="124" t="s">
        <v>1614</v>
      </c>
      <c r="L958" s="120" t="s">
        <v>125</v>
      </c>
      <c r="M958" s="120"/>
      <c r="N958" s="124"/>
      <c r="O958" s="120"/>
      <c r="P958" s="120"/>
      <c r="Q958" s="120"/>
      <c r="R958" s="120"/>
      <c r="S958" s="120"/>
      <c r="T958" s="120"/>
    </row>
    <row r="959" spans="1:20" ht="28.8" x14ac:dyDescent="0.3">
      <c r="B959" s="120">
        <v>324591</v>
      </c>
      <c r="C959" s="121">
        <v>216552</v>
      </c>
      <c r="D959" s="120" t="s">
        <v>24</v>
      </c>
      <c r="E959" s="120" t="s">
        <v>345</v>
      </c>
      <c r="F959" s="122" t="s">
        <v>1109</v>
      </c>
      <c r="G959" s="123" t="s">
        <v>434</v>
      </c>
      <c r="H959" s="123"/>
      <c r="I959" s="124" t="s">
        <v>48</v>
      </c>
      <c r="J959" s="124"/>
      <c r="K959" s="124" t="s">
        <v>1614</v>
      </c>
      <c r="L959" s="120" t="s">
        <v>129</v>
      </c>
      <c r="M959" s="120"/>
      <c r="N959" s="124"/>
      <c r="O959" s="120"/>
      <c r="P959" s="120"/>
      <c r="Q959" s="120"/>
      <c r="R959" s="120"/>
      <c r="S959" s="120"/>
      <c r="T959" s="120"/>
    </row>
    <row r="960" spans="1:20" ht="28.8" x14ac:dyDescent="0.3">
      <c r="A960" s="96"/>
      <c r="B960" s="120">
        <v>332643</v>
      </c>
      <c r="C960" s="121">
        <v>332640</v>
      </c>
      <c r="D960" s="120" t="s">
        <v>6</v>
      </c>
      <c r="E960" s="120" t="s">
        <v>7</v>
      </c>
      <c r="F960" s="122" t="s">
        <v>864</v>
      </c>
      <c r="G960" s="123" t="s">
        <v>442</v>
      </c>
      <c r="H960" s="123">
        <v>8</v>
      </c>
      <c r="I960" s="124"/>
      <c r="J960" s="124" t="s">
        <v>865</v>
      </c>
      <c r="K960" s="124" t="s">
        <v>1614</v>
      </c>
      <c r="L960" s="120" t="s">
        <v>8</v>
      </c>
      <c r="M960" s="120"/>
      <c r="N960" s="124"/>
      <c r="O960" s="120"/>
      <c r="P960" s="120"/>
      <c r="Q960" s="120"/>
      <c r="R960" s="120"/>
      <c r="S960" s="120"/>
      <c r="T960" s="120"/>
    </row>
    <row r="961" spans="1:20" ht="28.8" x14ac:dyDescent="0.3">
      <c r="B961" s="90">
        <v>329380</v>
      </c>
      <c r="C961" s="99">
        <v>216552</v>
      </c>
      <c r="D961" s="90" t="s">
        <v>24</v>
      </c>
      <c r="E961" s="90" t="s">
        <v>653</v>
      </c>
      <c r="F961" s="100" t="s">
        <v>892</v>
      </c>
      <c r="G961" s="101" t="s">
        <v>442</v>
      </c>
      <c r="K961" s="102" t="s">
        <v>1614</v>
      </c>
      <c r="L961" s="90" t="s">
        <v>8</v>
      </c>
    </row>
    <row r="962" spans="1:20" x14ac:dyDescent="0.3">
      <c r="B962" s="90">
        <v>328568</v>
      </c>
      <c r="C962" s="99">
        <v>328562</v>
      </c>
      <c r="D962" s="90" t="s">
        <v>6</v>
      </c>
      <c r="E962" s="90" t="s">
        <v>7</v>
      </c>
      <c r="F962" s="100" t="s">
        <v>893</v>
      </c>
      <c r="G962" s="101" t="s">
        <v>442</v>
      </c>
      <c r="H962" s="101">
        <v>5</v>
      </c>
      <c r="J962" s="102" t="s">
        <v>894</v>
      </c>
      <c r="K962" s="102" t="s">
        <v>1614</v>
      </c>
      <c r="L962" s="90" t="s">
        <v>8</v>
      </c>
    </row>
    <row r="963" spans="1:20" x14ac:dyDescent="0.3">
      <c r="B963" s="90">
        <v>328565</v>
      </c>
      <c r="C963" s="99">
        <v>328562</v>
      </c>
      <c r="D963" s="90" t="s">
        <v>6</v>
      </c>
      <c r="E963" s="90" t="s">
        <v>7</v>
      </c>
      <c r="F963" s="100" t="s">
        <v>895</v>
      </c>
      <c r="G963" s="101" t="s">
        <v>442</v>
      </c>
      <c r="H963" s="101">
        <v>8</v>
      </c>
      <c r="J963" s="102" t="s">
        <v>896</v>
      </c>
      <c r="K963" s="102" t="s">
        <v>1614</v>
      </c>
      <c r="L963" s="90" t="s">
        <v>8</v>
      </c>
    </row>
    <row r="964" spans="1:20" x14ac:dyDescent="0.3">
      <c r="B964" s="90">
        <v>328563</v>
      </c>
      <c r="C964" s="99">
        <v>328562</v>
      </c>
      <c r="D964" s="90" t="s">
        <v>6</v>
      </c>
      <c r="E964" s="90" t="s">
        <v>7</v>
      </c>
      <c r="F964" s="100" t="s">
        <v>897</v>
      </c>
      <c r="G964" s="101" t="s">
        <v>442</v>
      </c>
      <c r="H964" s="101">
        <v>2</v>
      </c>
      <c r="K964" s="102" t="s">
        <v>1614</v>
      </c>
      <c r="L964" s="90" t="s">
        <v>8</v>
      </c>
    </row>
    <row r="965" spans="1:20" ht="28.8" x14ac:dyDescent="0.3">
      <c r="B965" s="90">
        <v>325746</v>
      </c>
      <c r="C965" s="99">
        <v>216552</v>
      </c>
      <c r="D965" s="90" t="s">
        <v>24</v>
      </c>
      <c r="E965" s="90" t="s">
        <v>653</v>
      </c>
      <c r="F965" s="100" t="s">
        <v>929</v>
      </c>
      <c r="G965" s="101" t="s">
        <v>442</v>
      </c>
      <c r="K965" s="102" t="s">
        <v>1614</v>
      </c>
      <c r="L965" s="90" t="s">
        <v>8</v>
      </c>
    </row>
    <row r="966" spans="1:20" ht="28.8" x14ac:dyDescent="0.3">
      <c r="A966" s="96"/>
      <c r="B966" s="120">
        <v>325227</v>
      </c>
      <c r="C966" s="121">
        <v>216552</v>
      </c>
      <c r="D966" s="120" t="s">
        <v>24</v>
      </c>
      <c r="E966" s="120" t="s">
        <v>653</v>
      </c>
      <c r="F966" s="122" t="s">
        <v>963</v>
      </c>
      <c r="G966" s="123" t="s">
        <v>442</v>
      </c>
      <c r="H966" s="123"/>
      <c r="I966" s="124"/>
      <c r="J966" s="124"/>
      <c r="K966" s="124" t="s">
        <v>1614</v>
      </c>
      <c r="L966" s="120" t="s">
        <v>8</v>
      </c>
      <c r="M966" s="120"/>
      <c r="N966" s="124"/>
      <c r="O966" s="120"/>
      <c r="P966" s="120"/>
      <c r="Q966" s="120"/>
      <c r="R966" s="120"/>
      <c r="S966" s="120"/>
      <c r="T966" s="120"/>
    </row>
    <row r="967" spans="1:20" ht="28.8" x14ac:dyDescent="0.3">
      <c r="A967" s="132" t="s">
        <v>31</v>
      </c>
      <c r="B967" s="90">
        <v>325142</v>
      </c>
      <c r="C967" s="99">
        <v>216552</v>
      </c>
      <c r="D967" s="90" t="s">
        <v>24</v>
      </c>
      <c r="E967" s="90" t="s">
        <v>653</v>
      </c>
      <c r="F967" s="100" t="s">
        <v>993</v>
      </c>
      <c r="G967" s="101" t="s">
        <v>442</v>
      </c>
      <c r="K967" s="102" t="s">
        <v>1614</v>
      </c>
      <c r="L967" s="90" t="s">
        <v>8</v>
      </c>
    </row>
    <row r="968" spans="1:20" ht="28.8" x14ac:dyDescent="0.3">
      <c r="B968" s="90">
        <v>325126</v>
      </c>
      <c r="C968" s="99">
        <v>216552</v>
      </c>
      <c r="D968" s="90" t="s">
        <v>24</v>
      </c>
      <c r="E968" s="90" t="s">
        <v>653</v>
      </c>
      <c r="F968" s="100" t="s">
        <v>1012</v>
      </c>
      <c r="G968" s="101" t="s">
        <v>442</v>
      </c>
      <c r="K968" s="102" t="s">
        <v>1614</v>
      </c>
      <c r="L968" s="90" t="s">
        <v>8</v>
      </c>
    </row>
    <row r="969" spans="1:20" ht="28.8" x14ac:dyDescent="0.3">
      <c r="B969" s="120">
        <v>325080</v>
      </c>
      <c r="C969" s="121">
        <v>216552</v>
      </c>
      <c r="D969" s="120" t="s">
        <v>24</v>
      </c>
      <c r="E969" s="120" t="s">
        <v>653</v>
      </c>
      <c r="F969" s="122" t="s">
        <v>1043</v>
      </c>
      <c r="G969" s="123" t="s">
        <v>442</v>
      </c>
      <c r="H969" s="123"/>
      <c r="I969" s="124"/>
      <c r="J969" s="124"/>
      <c r="K969" s="124" t="s">
        <v>1614</v>
      </c>
      <c r="L969" s="120" t="s">
        <v>8</v>
      </c>
      <c r="M969" s="120"/>
      <c r="N969" s="124"/>
      <c r="O969" s="120"/>
      <c r="P969" s="120"/>
      <c r="Q969" s="120"/>
      <c r="R969" s="120"/>
      <c r="S969" s="120"/>
      <c r="T969" s="120"/>
    </row>
    <row r="970" spans="1:20" ht="28.8" x14ac:dyDescent="0.3">
      <c r="B970" s="120">
        <v>324993</v>
      </c>
      <c r="C970" s="121">
        <v>216552</v>
      </c>
      <c r="D970" s="120" t="s">
        <v>24</v>
      </c>
      <c r="E970" s="120" t="s">
        <v>653</v>
      </c>
      <c r="F970" s="122" t="s">
        <v>1068</v>
      </c>
      <c r="G970" s="123" t="s">
        <v>442</v>
      </c>
      <c r="H970" s="123"/>
      <c r="I970" s="124"/>
      <c r="J970" s="124"/>
      <c r="K970" s="124" t="s">
        <v>1614</v>
      </c>
      <c r="L970" s="120" t="s">
        <v>8</v>
      </c>
      <c r="M970" s="120"/>
      <c r="N970" s="124"/>
      <c r="O970" s="120"/>
      <c r="P970" s="120"/>
      <c r="Q970" s="120"/>
      <c r="R970" s="120"/>
      <c r="S970" s="120"/>
      <c r="T970" s="120"/>
    </row>
    <row r="971" spans="1:20" ht="28.8" x14ac:dyDescent="0.3">
      <c r="B971" s="90">
        <v>324932</v>
      </c>
      <c r="C971" s="99">
        <v>216552</v>
      </c>
      <c r="D971" s="90" t="s">
        <v>24</v>
      </c>
      <c r="E971" s="90" t="s">
        <v>653</v>
      </c>
      <c r="F971" s="100" t="s">
        <v>1085</v>
      </c>
      <c r="G971" s="101" t="s">
        <v>442</v>
      </c>
      <c r="K971" s="102" t="s">
        <v>1614</v>
      </c>
      <c r="L971" s="90" t="s">
        <v>8</v>
      </c>
    </row>
    <row r="972" spans="1:20" ht="28.8" x14ac:dyDescent="0.3">
      <c r="B972" s="120">
        <v>324842</v>
      </c>
      <c r="C972" s="121">
        <v>216552</v>
      </c>
      <c r="D972" s="120" t="s">
        <v>24</v>
      </c>
      <c r="E972" s="120" t="s">
        <v>653</v>
      </c>
      <c r="F972" s="122" t="s">
        <v>1108</v>
      </c>
      <c r="G972" s="123" t="s">
        <v>442</v>
      </c>
      <c r="H972" s="123"/>
      <c r="I972" s="124"/>
      <c r="J972" s="124"/>
      <c r="K972" s="124" t="s">
        <v>1614</v>
      </c>
      <c r="L972" s="120" t="s">
        <v>8</v>
      </c>
      <c r="M972" s="120"/>
      <c r="N972" s="124"/>
      <c r="O972" s="120"/>
      <c r="P972" s="120"/>
      <c r="Q972" s="120"/>
      <c r="R972" s="120"/>
      <c r="S972" s="120"/>
      <c r="T972" s="120"/>
    </row>
    <row r="973" spans="1:20" ht="43.2" x14ac:dyDescent="0.3">
      <c r="A973" s="96"/>
      <c r="B973" s="120">
        <v>320731</v>
      </c>
      <c r="C973" s="121">
        <v>276005</v>
      </c>
      <c r="D973" s="120" t="s">
        <v>6</v>
      </c>
      <c r="E973" s="120" t="s">
        <v>7</v>
      </c>
      <c r="F973" s="122" t="s">
        <v>1129</v>
      </c>
      <c r="G973" s="123" t="s">
        <v>442</v>
      </c>
      <c r="H973" s="123">
        <v>3</v>
      </c>
      <c r="I973" s="124"/>
      <c r="J973" s="124"/>
      <c r="K973" s="124" t="s">
        <v>1614</v>
      </c>
      <c r="L973" s="120" t="s">
        <v>8</v>
      </c>
      <c r="M973" s="120"/>
      <c r="N973" s="124"/>
      <c r="O973" s="120"/>
      <c r="P973" s="120"/>
      <c r="Q973" s="120"/>
      <c r="R973" s="120"/>
      <c r="S973" s="120"/>
      <c r="T973" s="120"/>
    </row>
    <row r="974" spans="1:20" ht="28.8" x14ac:dyDescent="0.3">
      <c r="B974" s="90">
        <v>320730</v>
      </c>
      <c r="C974" s="99">
        <v>276005</v>
      </c>
      <c r="D974" s="90" t="s">
        <v>6</v>
      </c>
      <c r="E974" s="90" t="s">
        <v>7</v>
      </c>
      <c r="F974" s="100" t="s">
        <v>1130</v>
      </c>
      <c r="G974" s="101" t="s">
        <v>442</v>
      </c>
      <c r="H974" s="101">
        <v>2</v>
      </c>
      <c r="K974" s="102" t="s">
        <v>1614</v>
      </c>
      <c r="L974" s="90" t="s">
        <v>8</v>
      </c>
    </row>
    <row r="975" spans="1:20" ht="28.8" x14ac:dyDescent="0.3">
      <c r="B975" s="90">
        <v>320729</v>
      </c>
      <c r="C975" s="99">
        <v>276005</v>
      </c>
      <c r="D975" s="90" t="s">
        <v>6</v>
      </c>
      <c r="E975" s="90" t="s">
        <v>7</v>
      </c>
      <c r="F975" s="100" t="s">
        <v>1131</v>
      </c>
      <c r="G975" s="101" t="s">
        <v>442</v>
      </c>
      <c r="H975" s="101">
        <v>1</v>
      </c>
      <c r="K975" s="102" t="s">
        <v>1614</v>
      </c>
      <c r="L975" s="90" t="s">
        <v>8</v>
      </c>
    </row>
    <row r="976" spans="1:20" ht="28.8" x14ac:dyDescent="0.3">
      <c r="B976" s="120">
        <v>320728</v>
      </c>
      <c r="C976" s="121">
        <v>276005</v>
      </c>
      <c r="D976" s="120" t="s">
        <v>6</v>
      </c>
      <c r="E976" s="120" t="s">
        <v>7</v>
      </c>
      <c r="F976" s="122" t="s">
        <v>1132</v>
      </c>
      <c r="G976" s="123" t="s">
        <v>442</v>
      </c>
      <c r="H976" s="123">
        <v>1</v>
      </c>
      <c r="I976" s="124"/>
      <c r="J976" s="124"/>
      <c r="K976" s="124" t="s">
        <v>1614</v>
      </c>
      <c r="L976" s="120" t="s">
        <v>8</v>
      </c>
      <c r="M976" s="120"/>
      <c r="N976" s="124"/>
      <c r="O976" s="120"/>
      <c r="P976" s="120"/>
      <c r="Q976" s="120"/>
      <c r="R976" s="120"/>
      <c r="S976" s="120"/>
      <c r="T976" s="120"/>
    </row>
    <row r="977" spans="2:20" ht="28.8" x14ac:dyDescent="0.3">
      <c r="B977" s="120">
        <v>320727</v>
      </c>
      <c r="C977" s="121">
        <v>276005</v>
      </c>
      <c r="D977" s="120" t="s">
        <v>6</v>
      </c>
      <c r="E977" s="120" t="s">
        <v>7</v>
      </c>
      <c r="F977" s="122" t="s">
        <v>1133</v>
      </c>
      <c r="G977" s="123" t="s">
        <v>442</v>
      </c>
      <c r="H977" s="123">
        <v>1</v>
      </c>
      <c r="I977" s="124"/>
      <c r="J977" s="124"/>
      <c r="K977" s="124" t="s">
        <v>1614</v>
      </c>
      <c r="L977" s="120" t="s">
        <v>8</v>
      </c>
      <c r="M977" s="120"/>
      <c r="N977" s="124"/>
      <c r="O977" s="120"/>
      <c r="P977" s="120"/>
      <c r="Q977" s="120"/>
      <c r="R977" s="120"/>
      <c r="S977" s="120"/>
      <c r="T977" s="120"/>
    </row>
    <row r="978" spans="2:20" ht="28.8" x14ac:dyDescent="0.3">
      <c r="B978" s="120">
        <v>320726</v>
      </c>
      <c r="C978" s="121">
        <v>276005</v>
      </c>
      <c r="D978" s="120" t="s">
        <v>6</v>
      </c>
      <c r="E978" s="120" t="s">
        <v>7</v>
      </c>
      <c r="F978" s="122" t="s">
        <v>1134</v>
      </c>
      <c r="G978" s="123" t="s">
        <v>442</v>
      </c>
      <c r="H978" s="123">
        <v>1</v>
      </c>
      <c r="I978" s="124"/>
      <c r="J978" s="124"/>
      <c r="K978" s="124" t="s">
        <v>1614</v>
      </c>
      <c r="L978" s="120" t="s">
        <v>8</v>
      </c>
      <c r="M978" s="120"/>
      <c r="N978" s="124"/>
      <c r="O978" s="120"/>
      <c r="P978" s="120"/>
      <c r="Q978" s="120"/>
      <c r="R978" s="120"/>
      <c r="S978" s="120"/>
      <c r="T978" s="120"/>
    </row>
    <row r="979" spans="2:20" ht="28.8" x14ac:dyDescent="0.3">
      <c r="B979" s="120">
        <v>320725</v>
      </c>
      <c r="C979" s="121">
        <v>276005</v>
      </c>
      <c r="D979" s="120" t="s">
        <v>6</v>
      </c>
      <c r="E979" s="120" t="s">
        <v>7</v>
      </c>
      <c r="F979" s="122" t="s">
        <v>1135</v>
      </c>
      <c r="G979" s="123" t="s">
        <v>442</v>
      </c>
      <c r="H979" s="123">
        <v>1</v>
      </c>
      <c r="I979" s="124"/>
      <c r="J979" s="124"/>
      <c r="K979" s="124" t="s">
        <v>1614</v>
      </c>
      <c r="L979" s="120" t="s">
        <v>8</v>
      </c>
      <c r="M979" s="120"/>
      <c r="N979" s="124"/>
      <c r="O979" s="120"/>
      <c r="P979" s="120"/>
      <c r="Q979" s="120"/>
      <c r="R979" s="120"/>
      <c r="S979" s="120"/>
      <c r="T979" s="120"/>
    </row>
    <row r="980" spans="2:20" ht="28.8" x14ac:dyDescent="0.3">
      <c r="B980" s="120">
        <v>320724</v>
      </c>
      <c r="C980" s="121">
        <v>276005</v>
      </c>
      <c r="D980" s="120" t="s">
        <v>6</v>
      </c>
      <c r="E980" s="120" t="s">
        <v>7</v>
      </c>
      <c r="F980" s="122" t="s">
        <v>1136</v>
      </c>
      <c r="G980" s="123" t="s">
        <v>442</v>
      </c>
      <c r="H980" s="123">
        <v>1</v>
      </c>
      <c r="I980" s="124"/>
      <c r="J980" s="124"/>
      <c r="K980" s="124" t="s">
        <v>1614</v>
      </c>
      <c r="L980" s="120" t="s">
        <v>8</v>
      </c>
      <c r="M980" s="120"/>
      <c r="N980" s="124"/>
      <c r="O980" s="120"/>
      <c r="P980" s="120"/>
      <c r="Q980" s="120"/>
      <c r="R980" s="120"/>
      <c r="S980" s="120"/>
      <c r="T980" s="120"/>
    </row>
    <row r="981" spans="2:20" ht="28.8" x14ac:dyDescent="0.3">
      <c r="B981" s="90">
        <v>320723</v>
      </c>
      <c r="C981" s="99">
        <v>276005</v>
      </c>
      <c r="D981" s="90" t="s">
        <v>6</v>
      </c>
      <c r="E981" s="90" t="s">
        <v>7</v>
      </c>
      <c r="F981" s="100" t="s">
        <v>1137</v>
      </c>
      <c r="G981" s="101" t="s">
        <v>442</v>
      </c>
      <c r="H981" s="101">
        <v>1</v>
      </c>
      <c r="K981" s="102" t="s">
        <v>1614</v>
      </c>
      <c r="L981" s="90" t="s">
        <v>8</v>
      </c>
    </row>
    <row r="982" spans="2:20" ht="28.8" x14ac:dyDescent="0.3">
      <c r="B982" s="90">
        <v>320722</v>
      </c>
      <c r="C982" s="99">
        <v>276005</v>
      </c>
      <c r="D982" s="90" t="s">
        <v>6</v>
      </c>
      <c r="E982" s="90" t="s">
        <v>7</v>
      </c>
      <c r="F982" s="100" t="s">
        <v>1138</v>
      </c>
      <c r="G982" s="101" t="s">
        <v>442</v>
      </c>
      <c r="H982" s="101">
        <v>1</v>
      </c>
      <c r="K982" s="102" t="s">
        <v>1614</v>
      </c>
      <c r="L982" s="90" t="s">
        <v>8</v>
      </c>
    </row>
    <row r="983" spans="2:20" ht="28.8" x14ac:dyDescent="0.3">
      <c r="B983" s="120">
        <v>320721</v>
      </c>
      <c r="C983" s="121">
        <v>276005</v>
      </c>
      <c r="D983" s="120" t="s">
        <v>6</v>
      </c>
      <c r="E983" s="120" t="s">
        <v>7</v>
      </c>
      <c r="F983" s="122" t="s">
        <v>1139</v>
      </c>
      <c r="G983" s="123" t="s">
        <v>442</v>
      </c>
      <c r="H983" s="123">
        <v>1</v>
      </c>
      <c r="I983" s="124"/>
      <c r="J983" s="124"/>
      <c r="K983" s="124" t="s">
        <v>1614</v>
      </c>
      <c r="L983" s="120" t="s">
        <v>8</v>
      </c>
      <c r="M983" s="120"/>
      <c r="N983" s="124"/>
      <c r="O983" s="120"/>
      <c r="P983" s="120"/>
      <c r="Q983" s="120"/>
      <c r="R983" s="120"/>
      <c r="S983" s="120"/>
      <c r="T983" s="120"/>
    </row>
    <row r="984" spans="2:20" ht="28.8" x14ac:dyDescent="0.3">
      <c r="B984" s="120">
        <v>320720</v>
      </c>
      <c r="C984" s="121">
        <v>276005</v>
      </c>
      <c r="D984" s="120" t="s">
        <v>6</v>
      </c>
      <c r="E984" s="120" t="s">
        <v>7</v>
      </c>
      <c r="F984" s="122" t="s">
        <v>1140</v>
      </c>
      <c r="G984" s="123" t="s">
        <v>442</v>
      </c>
      <c r="H984" s="123">
        <v>1</v>
      </c>
      <c r="I984" s="124"/>
      <c r="J984" s="124"/>
      <c r="K984" s="124" t="s">
        <v>1614</v>
      </c>
      <c r="L984" s="120" t="s">
        <v>8</v>
      </c>
      <c r="M984" s="120"/>
      <c r="N984" s="124"/>
      <c r="O984" s="120"/>
      <c r="P984" s="120"/>
      <c r="Q984" s="120"/>
      <c r="R984" s="120"/>
      <c r="S984" s="120"/>
      <c r="T984" s="120"/>
    </row>
    <row r="985" spans="2:20" ht="28.8" x14ac:dyDescent="0.3">
      <c r="B985" s="90">
        <v>320719</v>
      </c>
      <c r="C985" s="99">
        <v>276005</v>
      </c>
      <c r="D985" s="90" t="s">
        <v>6</v>
      </c>
      <c r="E985" s="90" t="s">
        <v>7</v>
      </c>
      <c r="F985" s="100" t="s">
        <v>1141</v>
      </c>
      <c r="G985" s="101" t="s">
        <v>442</v>
      </c>
      <c r="H985" s="101">
        <v>1</v>
      </c>
      <c r="K985" s="102" t="s">
        <v>1614</v>
      </c>
      <c r="L985" s="90" t="s">
        <v>8</v>
      </c>
    </row>
    <row r="986" spans="2:20" ht="15" customHeight="1" x14ac:dyDescent="0.3">
      <c r="B986" s="120">
        <v>320718</v>
      </c>
      <c r="C986" s="121">
        <v>276005</v>
      </c>
      <c r="D986" s="120" t="s">
        <v>6</v>
      </c>
      <c r="E986" s="120" t="s">
        <v>7</v>
      </c>
      <c r="F986" s="122" t="s">
        <v>1142</v>
      </c>
      <c r="G986" s="123" t="s">
        <v>442</v>
      </c>
      <c r="H986" s="123">
        <v>1</v>
      </c>
      <c r="I986" s="124"/>
      <c r="J986" s="124"/>
      <c r="K986" s="124" t="s">
        <v>1614</v>
      </c>
      <c r="L986" s="120" t="s">
        <v>8</v>
      </c>
      <c r="M986" s="120"/>
      <c r="N986" s="124"/>
      <c r="O986" s="120"/>
      <c r="P986" s="120"/>
      <c r="Q986" s="120"/>
      <c r="R986" s="120"/>
      <c r="S986" s="120"/>
      <c r="T986" s="120"/>
    </row>
    <row r="987" spans="2:20" ht="28.8" x14ac:dyDescent="0.3">
      <c r="B987" s="120">
        <v>320717</v>
      </c>
      <c r="C987" s="121">
        <v>276005</v>
      </c>
      <c r="D987" s="120" t="s">
        <v>6</v>
      </c>
      <c r="E987" s="120" t="s">
        <v>7</v>
      </c>
      <c r="F987" s="122" t="s">
        <v>1143</v>
      </c>
      <c r="G987" s="123" t="s">
        <v>442</v>
      </c>
      <c r="H987" s="123">
        <v>1</v>
      </c>
      <c r="I987" s="124"/>
      <c r="J987" s="124"/>
      <c r="K987" s="124" t="s">
        <v>1614</v>
      </c>
      <c r="L987" s="120" t="s">
        <v>8</v>
      </c>
      <c r="M987" s="120"/>
      <c r="N987" s="124"/>
      <c r="O987" s="120"/>
      <c r="P987" s="120"/>
      <c r="Q987" s="120"/>
      <c r="R987" s="120"/>
      <c r="S987" s="120"/>
      <c r="T987" s="120"/>
    </row>
    <row r="988" spans="2:20" ht="28.8" x14ac:dyDescent="0.3">
      <c r="B988" s="120">
        <v>320716</v>
      </c>
      <c r="C988" s="121">
        <v>276005</v>
      </c>
      <c r="D988" s="120" t="s">
        <v>6</v>
      </c>
      <c r="E988" s="120" t="s">
        <v>7</v>
      </c>
      <c r="F988" s="122" t="s">
        <v>1144</v>
      </c>
      <c r="G988" s="123" t="s">
        <v>442</v>
      </c>
      <c r="H988" s="123">
        <v>1</v>
      </c>
      <c r="I988" s="124"/>
      <c r="J988" s="124"/>
      <c r="K988" s="124" t="s">
        <v>1614</v>
      </c>
      <c r="L988" s="120" t="s">
        <v>8</v>
      </c>
      <c r="M988" s="120"/>
      <c r="N988" s="124"/>
      <c r="O988" s="120"/>
      <c r="P988" s="120"/>
      <c r="Q988" s="120"/>
      <c r="R988" s="120"/>
      <c r="S988" s="120"/>
      <c r="T988" s="120"/>
    </row>
    <row r="989" spans="2:20" ht="28.8" x14ac:dyDescent="0.3">
      <c r="B989" s="120">
        <v>320715</v>
      </c>
      <c r="C989" s="121">
        <v>276005</v>
      </c>
      <c r="D989" s="120" t="s">
        <v>6</v>
      </c>
      <c r="E989" s="120" t="s">
        <v>7</v>
      </c>
      <c r="F989" s="122" t="s">
        <v>1145</v>
      </c>
      <c r="G989" s="123" t="s">
        <v>442</v>
      </c>
      <c r="H989" s="123">
        <v>1</v>
      </c>
      <c r="I989" s="124"/>
      <c r="J989" s="124"/>
      <c r="K989" s="124" t="s">
        <v>1614</v>
      </c>
      <c r="L989" s="120" t="s">
        <v>8</v>
      </c>
      <c r="M989" s="120"/>
      <c r="N989" s="124"/>
      <c r="O989" s="120"/>
      <c r="P989" s="120"/>
      <c r="Q989" s="120"/>
      <c r="R989" s="120"/>
      <c r="S989" s="120"/>
      <c r="T989" s="120"/>
    </row>
    <row r="990" spans="2:20" x14ac:dyDescent="0.3">
      <c r="B990" s="120">
        <v>320595</v>
      </c>
      <c r="C990" s="121">
        <v>245559</v>
      </c>
      <c r="D990" s="120" t="s">
        <v>24</v>
      </c>
      <c r="E990" s="120" t="s">
        <v>653</v>
      </c>
      <c r="F990" s="122" t="s">
        <v>1146</v>
      </c>
      <c r="G990" s="123" t="s">
        <v>442</v>
      </c>
      <c r="H990" s="123"/>
      <c r="I990" s="124" t="s">
        <v>48</v>
      </c>
      <c r="J990" s="124"/>
      <c r="K990" s="124" t="s">
        <v>1614</v>
      </c>
      <c r="L990" s="120" t="s">
        <v>129</v>
      </c>
      <c r="M990" s="120"/>
      <c r="N990" s="124"/>
      <c r="O990" s="120"/>
      <c r="P990" s="120"/>
      <c r="Q990" s="120"/>
      <c r="R990" s="120"/>
      <c r="S990" s="120"/>
      <c r="T990" s="120"/>
    </row>
    <row r="991" spans="2:20" x14ac:dyDescent="0.3">
      <c r="B991" s="120">
        <v>320566</v>
      </c>
      <c r="C991" s="121">
        <v>216552</v>
      </c>
      <c r="D991" s="120" t="s">
        <v>24</v>
      </c>
      <c r="E991" s="120" t="s">
        <v>653</v>
      </c>
      <c r="F991" s="122" t="s">
        <v>1147</v>
      </c>
      <c r="G991" s="123" t="s">
        <v>442</v>
      </c>
      <c r="H991" s="123"/>
      <c r="I991" s="124" t="s">
        <v>48</v>
      </c>
      <c r="J991" s="124"/>
      <c r="K991" s="124" t="s">
        <v>1614</v>
      </c>
      <c r="L991" s="120" t="s">
        <v>129</v>
      </c>
      <c r="M991" s="120"/>
      <c r="N991" s="124"/>
      <c r="O991" s="120"/>
      <c r="P991" s="120"/>
      <c r="Q991" s="120"/>
      <c r="R991" s="120"/>
      <c r="S991" s="120"/>
      <c r="T991" s="120"/>
    </row>
    <row r="992" spans="2:20" ht="28.8" x14ac:dyDescent="0.3">
      <c r="B992" s="120">
        <v>320564</v>
      </c>
      <c r="C992" s="121">
        <v>216552</v>
      </c>
      <c r="D992" s="120" t="s">
        <v>24</v>
      </c>
      <c r="E992" s="120" t="s">
        <v>653</v>
      </c>
      <c r="F992" s="122" t="s">
        <v>1148</v>
      </c>
      <c r="G992" s="123" t="s">
        <v>442</v>
      </c>
      <c r="H992" s="123"/>
      <c r="I992" s="124" t="s">
        <v>48</v>
      </c>
      <c r="J992" s="124"/>
      <c r="K992" s="124" t="s">
        <v>1614</v>
      </c>
      <c r="L992" s="120" t="s">
        <v>129</v>
      </c>
      <c r="M992" s="120"/>
      <c r="N992" s="124"/>
      <c r="O992" s="120"/>
      <c r="P992" s="120"/>
      <c r="Q992" s="120"/>
      <c r="R992" s="120"/>
      <c r="S992" s="120"/>
      <c r="T992" s="120"/>
    </row>
    <row r="993" spans="2:22" x14ac:dyDescent="0.3">
      <c r="B993" s="120">
        <v>316321</v>
      </c>
      <c r="C993" s="121">
        <v>245561</v>
      </c>
      <c r="D993" s="120" t="s">
        <v>24</v>
      </c>
      <c r="E993" s="120" t="s">
        <v>25</v>
      </c>
      <c r="F993" s="122" t="s">
        <v>1150</v>
      </c>
      <c r="G993" s="123" t="s">
        <v>442</v>
      </c>
      <c r="H993" s="123"/>
      <c r="I993" s="124" t="s">
        <v>48</v>
      </c>
      <c r="J993" s="124"/>
      <c r="K993" s="124" t="s">
        <v>1614</v>
      </c>
      <c r="L993" s="120" t="s">
        <v>129</v>
      </c>
      <c r="M993" s="120"/>
      <c r="N993" s="124"/>
      <c r="O993" s="120"/>
      <c r="P993" s="120"/>
      <c r="Q993" s="120"/>
      <c r="R993" s="120"/>
      <c r="S993" s="120"/>
      <c r="T993" s="120"/>
    </row>
    <row r="994" spans="2:22" x14ac:dyDescent="0.3">
      <c r="B994" s="120">
        <v>316315</v>
      </c>
      <c r="C994" s="121">
        <v>245561</v>
      </c>
      <c r="D994" s="120" t="s">
        <v>24</v>
      </c>
      <c r="E994" s="120" t="s">
        <v>25</v>
      </c>
      <c r="F994" s="122" t="s">
        <v>1151</v>
      </c>
      <c r="G994" s="123" t="s">
        <v>442</v>
      </c>
      <c r="H994" s="123"/>
      <c r="I994" s="124" t="s">
        <v>48</v>
      </c>
      <c r="J994" s="124"/>
      <c r="K994" s="124" t="s">
        <v>1614</v>
      </c>
      <c r="L994" s="120" t="s">
        <v>129</v>
      </c>
      <c r="M994" s="120"/>
      <c r="N994" s="124"/>
      <c r="O994" s="120"/>
      <c r="P994" s="120"/>
      <c r="Q994" s="120"/>
      <c r="R994" s="120"/>
      <c r="S994" s="120"/>
      <c r="T994" s="120"/>
    </row>
    <row r="995" spans="2:22" x14ac:dyDescent="0.3">
      <c r="B995" s="120">
        <v>316311</v>
      </c>
      <c r="C995" s="121">
        <v>245561</v>
      </c>
      <c r="D995" s="120" t="s">
        <v>24</v>
      </c>
      <c r="E995" s="120" t="s">
        <v>25</v>
      </c>
      <c r="F995" s="122" t="s">
        <v>1152</v>
      </c>
      <c r="G995" s="123" t="s">
        <v>442</v>
      </c>
      <c r="H995" s="123"/>
      <c r="I995" s="124" t="s">
        <v>48</v>
      </c>
      <c r="J995" s="124" t="s">
        <v>1153</v>
      </c>
      <c r="K995" s="124" t="s">
        <v>1614</v>
      </c>
      <c r="L995" s="120" t="s">
        <v>129</v>
      </c>
      <c r="M995" s="120"/>
      <c r="N995" s="124"/>
      <c r="O995" s="120"/>
      <c r="P995" s="120"/>
      <c r="Q995" s="120"/>
      <c r="R995" s="120"/>
      <c r="S995" s="120"/>
      <c r="T995" s="120"/>
    </row>
    <row r="996" spans="2:22" x14ac:dyDescent="0.3">
      <c r="B996" s="120">
        <v>316310</v>
      </c>
      <c r="C996" s="121">
        <v>245559</v>
      </c>
      <c r="D996" s="120" t="s">
        <v>24</v>
      </c>
      <c r="E996" s="120" t="s">
        <v>25</v>
      </c>
      <c r="F996" s="122" t="s">
        <v>1154</v>
      </c>
      <c r="G996" s="123" t="s">
        <v>442</v>
      </c>
      <c r="H996" s="123"/>
      <c r="I996" s="124" t="s">
        <v>48</v>
      </c>
      <c r="J996" s="124"/>
      <c r="K996" s="124" t="s">
        <v>1614</v>
      </c>
      <c r="L996" s="120" t="s">
        <v>108</v>
      </c>
      <c r="M996" s="120"/>
      <c r="N996" s="124"/>
      <c r="O996" s="120"/>
      <c r="P996" s="120"/>
      <c r="Q996" s="120"/>
      <c r="R996" s="120"/>
      <c r="S996" s="120"/>
      <c r="T996" s="120"/>
    </row>
    <row r="997" spans="2:22" x14ac:dyDescent="0.3">
      <c r="B997" s="120">
        <v>316303</v>
      </c>
      <c r="C997" s="121">
        <v>245561</v>
      </c>
      <c r="D997" s="120" t="s">
        <v>24</v>
      </c>
      <c r="E997" s="120" t="s">
        <v>25</v>
      </c>
      <c r="F997" s="122" t="s">
        <v>1155</v>
      </c>
      <c r="G997" s="123" t="s">
        <v>442</v>
      </c>
      <c r="H997" s="123"/>
      <c r="I997" s="124" t="s">
        <v>48</v>
      </c>
      <c r="J997" s="124"/>
      <c r="K997" s="124" t="s">
        <v>1614</v>
      </c>
      <c r="L997" s="120" t="s">
        <v>108</v>
      </c>
      <c r="M997" s="120"/>
      <c r="N997" s="124"/>
      <c r="O997" s="120"/>
      <c r="P997" s="120"/>
      <c r="Q997" s="120"/>
      <c r="R997" s="120"/>
      <c r="S997" s="120"/>
      <c r="T997" s="120"/>
    </row>
    <row r="998" spans="2:22" x14ac:dyDescent="0.3">
      <c r="B998" s="120">
        <v>316302</v>
      </c>
      <c r="C998" s="121">
        <v>245561</v>
      </c>
      <c r="D998" s="120" t="s">
        <v>24</v>
      </c>
      <c r="E998" s="120" t="s">
        <v>25</v>
      </c>
      <c r="F998" s="122" t="s">
        <v>1156</v>
      </c>
      <c r="G998" s="123" t="s">
        <v>442</v>
      </c>
      <c r="H998" s="123"/>
      <c r="I998" s="124" t="s">
        <v>48</v>
      </c>
      <c r="J998" s="124"/>
      <c r="K998" s="124" t="s">
        <v>1614</v>
      </c>
      <c r="L998" s="120" t="s">
        <v>129</v>
      </c>
      <c r="M998" s="120"/>
      <c r="N998" s="124"/>
      <c r="O998" s="120"/>
      <c r="P998" s="120"/>
      <c r="Q998" s="120"/>
      <c r="R998" s="120"/>
      <c r="S998" s="120"/>
      <c r="T998" s="120"/>
    </row>
    <row r="999" spans="2:22" x14ac:dyDescent="0.3">
      <c r="B999" s="120">
        <v>310620</v>
      </c>
      <c r="C999" s="121">
        <v>310609</v>
      </c>
      <c r="D999" s="120" t="s">
        <v>6</v>
      </c>
      <c r="E999" s="120" t="s">
        <v>7</v>
      </c>
      <c r="F999" s="122" t="s">
        <v>1161</v>
      </c>
      <c r="G999" s="123" t="s">
        <v>442</v>
      </c>
      <c r="H999" s="123">
        <v>1</v>
      </c>
      <c r="I999" s="124"/>
      <c r="J999" s="124" t="s">
        <v>1162</v>
      </c>
      <c r="K999" s="124" t="s">
        <v>1614</v>
      </c>
      <c r="L999" s="120" t="s">
        <v>8</v>
      </c>
      <c r="M999" s="120"/>
      <c r="N999" s="124"/>
      <c r="O999" s="120"/>
      <c r="P999" s="120"/>
      <c r="Q999" s="120"/>
      <c r="R999" s="120"/>
      <c r="S999" s="120"/>
      <c r="T999" s="120"/>
    </row>
    <row r="1000" spans="2:22" x14ac:dyDescent="0.3">
      <c r="B1000" s="120">
        <v>310612</v>
      </c>
      <c r="C1000" s="121">
        <v>310609</v>
      </c>
      <c r="D1000" s="120" t="s">
        <v>6</v>
      </c>
      <c r="E1000" s="120" t="s">
        <v>7</v>
      </c>
      <c r="F1000" s="122" t="s">
        <v>1163</v>
      </c>
      <c r="G1000" s="123" t="s">
        <v>442</v>
      </c>
      <c r="H1000" s="123">
        <v>8</v>
      </c>
      <c r="I1000" s="124"/>
      <c r="J1000" s="124" t="s">
        <v>1164</v>
      </c>
      <c r="K1000" s="124" t="s">
        <v>1614</v>
      </c>
      <c r="L1000" s="120" t="s">
        <v>129</v>
      </c>
      <c r="M1000" s="120"/>
      <c r="N1000" s="124"/>
      <c r="O1000" s="120"/>
      <c r="P1000" s="120"/>
      <c r="Q1000" s="120"/>
      <c r="R1000" s="120"/>
      <c r="S1000" s="120"/>
      <c r="T1000" s="120"/>
    </row>
    <row r="1001" spans="2:22" ht="28.8" x14ac:dyDescent="0.3">
      <c r="B1001" s="120">
        <v>310589</v>
      </c>
      <c r="C1001" s="121">
        <v>310578</v>
      </c>
      <c r="D1001" s="120" t="s">
        <v>6</v>
      </c>
      <c r="E1001" s="120" t="s">
        <v>7</v>
      </c>
      <c r="F1001" s="122" t="s">
        <v>1165</v>
      </c>
      <c r="G1001" s="123" t="s">
        <v>442</v>
      </c>
      <c r="H1001" s="123">
        <v>1</v>
      </c>
      <c r="I1001" s="124"/>
      <c r="J1001" s="124" t="s">
        <v>1166</v>
      </c>
      <c r="K1001" s="124" t="s">
        <v>1614</v>
      </c>
      <c r="L1001" s="120" t="s">
        <v>8</v>
      </c>
      <c r="M1001" s="120"/>
      <c r="N1001" s="124"/>
      <c r="O1001" s="120"/>
      <c r="P1001" s="120"/>
      <c r="Q1001" s="120"/>
      <c r="R1001" s="120"/>
      <c r="S1001" s="120"/>
      <c r="T1001" s="120"/>
    </row>
    <row r="1002" spans="2:22" x14ac:dyDescent="0.3">
      <c r="B1002" s="120">
        <v>310581</v>
      </c>
      <c r="C1002" s="121">
        <v>310578</v>
      </c>
      <c r="D1002" s="120" t="s">
        <v>6</v>
      </c>
      <c r="E1002" s="120" t="s">
        <v>7</v>
      </c>
      <c r="F1002" s="122" t="s">
        <v>1167</v>
      </c>
      <c r="G1002" s="123" t="s">
        <v>442</v>
      </c>
      <c r="H1002" s="123">
        <v>8</v>
      </c>
      <c r="I1002" s="124"/>
      <c r="J1002" s="124" t="s">
        <v>1168</v>
      </c>
      <c r="K1002" s="124" t="s">
        <v>1614</v>
      </c>
      <c r="L1002" s="120" t="s">
        <v>129</v>
      </c>
      <c r="M1002" s="120"/>
      <c r="N1002" s="124"/>
      <c r="O1002" s="120"/>
      <c r="P1002" s="120"/>
      <c r="Q1002" s="120"/>
      <c r="R1002" s="120"/>
      <c r="S1002" s="120"/>
      <c r="T1002" s="120"/>
    </row>
    <row r="1003" spans="2:22" x14ac:dyDescent="0.3">
      <c r="B1003" s="120">
        <v>310543</v>
      </c>
      <c r="C1003" s="121">
        <v>310532</v>
      </c>
      <c r="D1003" s="120" t="s">
        <v>6</v>
      </c>
      <c r="E1003" s="120" t="s">
        <v>7</v>
      </c>
      <c r="F1003" s="122" t="s">
        <v>1169</v>
      </c>
      <c r="G1003" s="123" t="s">
        <v>442</v>
      </c>
      <c r="H1003" s="123">
        <v>1</v>
      </c>
      <c r="I1003" s="124"/>
      <c r="J1003" s="124" t="s">
        <v>1170</v>
      </c>
      <c r="K1003" s="124" t="s">
        <v>1614</v>
      </c>
      <c r="L1003" s="120" t="s">
        <v>8</v>
      </c>
      <c r="M1003" s="120"/>
      <c r="N1003" s="124"/>
      <c r="O1003" s="120"/>
      <c r="P1003" s="120"/>
      <c r="Q1003" s="120"/>
      <c r="R1003" s="120"/>
      <c r="S1003" s="120"/>
      <c r="T1003" s="120"/>
    </row>
    <row r="1004" spans="2:22" x14ac:dyDescent="0.3">
      <c r="B1004" s="120">
        <v>310535</v>
      </c>
      <c r="C1004" s="121">
        <v>310532</v>
      </c>
      <c r="D1004" s="120" t="s">
        <v>6</v>
      </c>
      <c r="E1004" s="120" t="s">
        <v>7</v>
      </c>
      <c r="F1004" s="122" t="s">
        <v>1171</v>
      </c>
      <c r="G1004" s="123" t="s">
        <v>442</v>
      </c>
      <c r="H1004" s="123">
        <v>8</v>
      </c>
      <c r="I1004" s="124"/>
      <c r="J1004" s="124" t="s">
        <v>1172</v>
      </c>
      <c r="K1004" s="124" t="s">
        <v>1614</v>
      </c>
      <c r="L1004" s="120" t="s">
        <v>129</v>
      </c>
      <c r="M1004" s="120"/>
      <c r="N1004" s="124"/>
      <c r="O1004" s="120"/>
      <c r="P1004" s="120"/>
      <c r="Q1004" s="120"/>
      <c r="R1004" s="120"/>
      <c r="S1004" s="120"/>
      <c r="T1004" s="120"/>
    </row>
    <row r="1005" spans="2:22" x14ac:dyDescent="0.3">
      <c r="B1005" s="120">
        <v>310310</v>
      </c>
      <c r="C1005" s="121">
        <v>310299</v>
      </c>
      <c r="D1005" s="120" t="s">
        <v>6</v>
      </c>
      <c r="E1005" s="120" t="s">
        <v>7</v>
      </c>
      <c r="F1005" s="122" t="s">
        <v>1173</v>
      </c>
      <c r="G1005" s="123" t="s">
        <v>442</v>
      </c>
      <c r="H1005" s="123">
        <v>1</v>
      </c>
      <c r="I1005" s="124"/>
      <c r="J1005" s="124" t="s">
        <v>1174</v>
      </c>
      <c r="K1005" s="124" t="s">
        <v>1614</v>
      </c>
      <c r="L1005" s="120" t="s">
        <v>8</v>
      </c>
      <c r="M1005" s="120"/>
      <c r="N1005" s="124"/>
      <c r="O1005" s="120"/>
      <c r="P1005" s="120"/>
      <c r="Q1005" s="120"/>
      <c r="R1005" s="120"/>
      <c r="S1005" s="120"/>
      <c r="T1005" s="120"/>
    </row>
    <row r="1006" spans="2:22" x14ac:dyDescent="0.3">
      <c r="B1006" s="120">
        <v>310302</v>
      </c>
      <c r="C1006" s="121">
        <v>310299</v>
      </c>
      <c r="D1006" s="120" t="s">
        <v>6</v>
      </c>
      <c r="E1006" s="120" t="s">
        <v>7</v>
      </c>
      <c r="F1006" s="122" t="s">
        <v>1175</v>
      </c>
      <c r="G1006" s="123" t="s">
        <v>442</v>
      </c>
      <c r="H1006" s="123">
        <v>8</v>
      </c>
      <c r="I1006" s="124"/>
      <c r="J1006" s="124" t="s">
        <v>1176</v>
      </c>
      <c r="K1006" s="124" t="s">
        <v>1614</v>
      </c>
      <c r="L1006" s="120" t="s">
        <v>129</v>
      </c>
      <c r="M1006" s="120"/>
      <c r="N1006" s="124"/>
      <c r="O1006" s="120"/>
      <c r="P1006" s="120"/>
      <c r="Q1006" s="120"/>
      <c r="R1006" s="120"/>
      <c r="S1006" s="120"/>
      <c r="T1006" s="120"/>
      <c r="V1006" s="111"/>
    </row>
    <row r="1007" spans="2:22" x14ac:dyDescent="0.3">
      <c r="B1007" s="90">
        <v>296263</v>
      </c>
      <c r="C1007" s="99">
        <v>245561</v>
      </c>
      <c r="D1007" s="90" t="s">
        <v>24</v>
      </c>
      <c r="E1007" s="90" t="s">
        <v>25</v>
      </c>
      <c r="F1007" s="100" t="s">
        <v>1189</v>
      </c>
      <c r="G1007" s="101" t="s">
        <v>442</v>
      </c>
      <c r="I1007" s="102" t="s">
        <v>48</v>
      </c>
      <c r="K1007" s="102" t="s">
        <v>1614</v>
      </c>
      <c r="L1007" s="90" t="s">
        <v>129</v>
      </c>
      <c r="V1007" s="111"/>
    </row>
    <row r="1008" spans="2:22" x14ac:dyDescent="0.3">
      <c r="B1008" s="120">
        <v>296254</v>
      </c>
      <c r="C1008" s="121">
        <v>245561</v>
      </c>
      <c r="D1008" s="120" t="s">
        <v>24</v>
      </c>
      <c r="E1008" s="120" t="s">
        <v>25</v>
      </c>
      <c r="F1008" s="122" t="s">
        <v>1190</v>
      </c>
      <c r="G1008" s="123" t="s">
        <v>442</v>
      </c>
      <c r="H1008" s="123"/>
      <c r="I1008" s="124" t="s">
        <v>48</v>
      </c>
      <c r="J1008" s="124"/>
      <c r="K1008" s="124" t="s">
        <v>1614</v>
      </c>
      <c r="L1008" s="120" t="s">
        <v>129</v>
      </c>
      <c r="M1008" s="120"/>
      <c r="N1008" s="124"/>
      <c r="O1008" s="120"/>
      <c r="P1008" s="120"/>
      <c r="Q1008" s="120"/>
      <c r="R1008" s="120"/>
      <c r="S1008" s="120"/>
      <c r="T1008" s="120"/>
      <c r="V1008" s="111"/>
    </row>
    <row r="1009" spans="1:22" x14ac:dyDescent="0.3">
      <c r="B1009" s="120">
        <v>296198</v>
      </c>
      <c r="C1009" s="121">
        <v>245559</v>
      </c>
      <c r="D1009" s="120" t="s">
        <v>24</v>
      </c>
      <c r="E1009" s="120" t="s">
        <v>25</v>
      </c>
      <c r="F1009" s="122" t="s">
        <v>1191</v>
      </c>
      <c r="G1009" s="123" t="s">
        <v>442</v>
      </c>
      <c r="H1009" s="123"/>
      <c r="I1009" s="124" t="s">
        <v>48</v>
      </c>
      <c r="J1009" s="124"/>
      <c r="K1009" s="124" t="s">
        <v>1614</v>
      </c>
      <c r="L1009" s="120" t="s">
        <v>129</v>
      </c>
      <c r="M1009" s="120"/>
      <c r="N1009" s="124"/>
      <c r="O1009" s="120"/>
      <c r="P1009" s="120"/>
      <c r="Q1009" s="120"/>
      <c r="R1009" s="120"/>
      <c r="S1009" s="120"/>
      <c r="T1009" s="120"/>
      <c r="V1009" s="111"/>
    </row>
    <row r="1010" spans="1:22" x14ac:dyDescent="0.3">
      <c r="B1010" s="90">
        <v>295399</v>
      </c>
      <c r="C1010" s="99">
        <v>293238</v>
      </c>
      <c r="D1010" s="90" t="s">
        <v>6</v>
      </c>
      <c r="E1010" s="90" t="s">
        <v>7</v>
      </c>
      <c r="F1010" s="100" t="s">
        <v>1192</v>
      </c>
      <c r="G1010" s="101" t="s">
        <v>442</v>
      </c>
      <c r="H1010" s="101">
        <v>1</v>
      </c>
      <c r="K1010" s="102" t="s">
        <v>1614</v>
      </c>
      <c r="L1010" s="90" t="s">
        <v>129</v>
      </c>
      <c r="V1010" s="111"/>
    </row>
    <row r="1011" spans="1:22" x14ac:dyDescent="0.3">
      <c r="B1011" s="90">
        <v>295160</v>
      </c>
      <c r="C1011" s="99">
        <v>216552</v>
      </c>
      <c r="D1011" s="90" t="s">
        <v>24</v>
      </c>
      <c r="E1011" s="90" t="s">
        <v>25</v>
      </c>
      <c r="F1011" s="100" t="s">
        <v>1193</v>
      </c>
      <c r="G1011" s="101" t="s">
        <v>442</v>
      </c>
      <c r="I1011" s="102" t="s">
        <v>48</v>
      </c>
      <c r="K1011" s="102" t="s">
        <v>1614</v>
      </c>
      <c r="L1011" s="90" t="s">
        <v>129</v>
      </c>
      <c r="V1011" s="111"/>
    </row>
    <row r="1012" spans="1:22" ht="28.8" x14ac:dyDescent="0.3">
      <c r="B1012" s="90">
        <v>276932</v>
      </c>
      <c r="C1012" s="99">
        <v>216552</v>
      </c>
      <c r="D1012" s="90" t="s">
        <v>24</v>
      </c>
      <c r="E1012" s="90" t="s">
        <v>653</v>
      </c>
      <c r="F1012" s="100" t="s">
        <v>1245</v>
      </c>
      <c r="G1012" s="101" t="s">
        <v>442</v>
      </c>
      <c r="K1012" s="102" t="s">
        <v>1614</v>
      </c>
      <c r="L1012" s="90" t="s">
        <v>129</v>
      </c>
      <c r="V1012" s="111"/>
    </row>
    <row r="1013" spans="1:22" x14ac:dyDescent="0.3">
      <c r="A1013" s="96"/>
      <c r="B1013" s="90">
        <v>276005</v>
      </c>
      <c r="C1013" s="99">
        <v>245561</v>
      </c>
      <c r="D1013" s="90" t="s">
        <v>24</v>
      </c>
      <c r="E1013" s="90" t="s">
        <v>25</v>
      </c>
      <c r="F1013" s="100" t="s">
        <v>1247</v>
      </c>
      <c r="G1013" s="101" t="s">
        <v>442</v>
      </c>
      <c r="I1013" s="102" t="s">
        <v>48</v>
      </c>
      <c r="K1013" s="102" t="s">
        <v>1614</v>
      </c>
      <c r="L1013" s="90" t="s">
        <v>129</v>
      </c>
      <c r="V1013" s="111"/>
    </row>
    <row r="1014" spans="1:22" x14ac:dyDescent="0.3">
      <c r="B1014" s="90">
        <v>243130</v>
      </c>
      <c r="C1014" s="99">
        <v>245560</v>
      </c>
      <c r="D1014" s="90" t="s">
        <v>24</v>
      </c>
      <c r="E1014" s="90" t="s">
        <v>723</v>
      </c>
      <c r="F1014" s="100" t="s">
        <v>1301</v>
      </c>
      <c r="G1014" s="101" t="s">
        <v>442</v>
      </c>
      <c r="K1014" s="102" t="s">
        <v>1614</v>
      </c>
      <c r="L1014" s="90" t="s">
        <v>129</v>
      </c>
      <c r="V1014" s="111"/>
    </row>
    <row r="1015" spans="1:22" x14ac:dyDescent="0.3">
      <c r="B1015" s="90">
        <v>216566</v>
      </c>
      <c r="C1015" s="99">
        <v>216634</v>
      </c>
      <c r="D1015" s="90" t="s">
        <v>24</v>
      </c>
      <c r="E1015" s="90" t="s">
        <v>25</v>
      </c>
      <c r="F1015" s="100" t="s">
        <v>1305</v>
      </c>
      <c r="G1015" s="101" t="s">
        <v>442</v>
      </c>
      <c r="K1015" s="102" t="s">
        <v>1618</v>
      </c>
      <c r="L1015" s="90" t="s">
        <v>108</v>
      </c>
      <c r="V1015" s="111"/>
    </row>
    <row r="1016" spans="1:22" x14ac:dyDescent="0.3">
      <c r="B1016" s="90">
        <v>274093</v>
      </c>
      <c r="C1016" s="99">
        <v>216575</v>
      </c>
      <c r="D1016" s="90" t="s">
        <v>6</v>
      </c>
      <c r="E1016" s="90" t="s">
        <v>345</v>
      </c>
      <c r="F1016" s="100" t="s">
        <v>1252</v>
      </c>
      <c r="G1016" s="101" t="s">
        <v>1359</v>
      </c>
      <c r="H1016" s="101">
        <v>0</v>
      </c>
      <c r="K1016" s="102" t="s">
        <v>1614</v>
      </c>
      <c r="L1016" s="90" t="s">
        <v>8</v>
      </c>
      <c r="V1016" s="111"/>
    </row>
    <row r="1017" spans="1:22" x14ac:dyDescent="0.3">
      <c r="B1017" s="90">
        <v>274092</v>
      </c>
      <c r="C1017" s="99">
        <v>216575</v>
      </c>
      <c r="D1017" s="90" t="s">
        <v>6</v>
      </c>
      <c r="E1017" s="90" t="s">
        <v>345</v>
      </c>
      <c r="F1017" s="100" t="s">
        <v>1253</v>
      </c>
      <c r="G1017" s="101" t="s">
        <v>1359</v>
      </c>
      <c r="H1017" s="101">
        <v>0</v>
      </c>
      <c r="K1017" s="102" t="s">
        <v>1614</v>
      </c>
      <c r="L1017" s="90" t="s">
        <v>8</v>
      </c>
      <c r="V1017" s="111"/>
    </row>
    <row r="1018" spans="1:22" x14ac:dyDescent="0.3">
      <c r="A1018" s="96"/>
      <c r="B1018" s="90">
        <v>287215</v>
      </c>
      <c r="C1018" s="99">
        <v>262244</v>
      </c>
      <c r="D1018" s="90" t="s">
        <v>6</v>
      </c>
      <c r="E1018" s="90" t="s">
        <v>345</v>
      </c>
      <c r="F1018" s="100" t="s">
        <v>1233</v>
      </c>
      <c r="G1018" s="101" t="s">
        <v>1234</v>
      </c>
      <c r="H1018" s="101">
        <v>0</v>
      </c>
      <c r="K1018" s="102" t="s">
        <v>1615</v>
      </c>
      <c r="L1018" s="90" t="s">
        <v>8</v>
      </c>
      <c r="V1018" s="111"/>
    </row>
    <row r="1019" spans="1:22" x14ac:dyDescent="0.3">
      <c r="B1019" s="90">
        <v>281744</v>
      </c>
      <c r="C1019" s="99">
        <v>281733</v>
      </c>
      <c r="D1019" s="90" t="s">
        <v>6</v>
      </c>
      <c r="E1019" s="90" t="s">
        <v>345</v>
      </c>
      <c r="F1019" s="100" t="s">
        <v>1235</v>
      </c>
      <c r="G1019" s="101" t="s">
        <v>1358</v>
      </c>
      <c r="H1019" s="101">
        <v>0</v>
      </c>
      <c r="J1019" s="102" t="s">
        <v>1236</v>
      </c>
      <c r="K1019" s="102" t="s">
        <v>1614</v>
      </c>
      <c r="L1019" s="90" t="s">
        <v>8</v>
      </c>
      <c r="V1019" s="111"/>
    </row>
    <row r="1020" spans="1:22" x14ac:dyDescent="0.3">
      <c r="B1020" s="90">
        <v>281736</v>
      </c>
      <c r="C1020" s="99">
        <v>281733</v>
      </c>
      <c r="D1020" s="90" t="s">
        <v>6</v>
      </c>
      <c r="E1020" s="90" t="s">
        <v>345</v>
      </c>
      <c r="F1020" s="100" t="s">
        <v>1237</v>
      </c>
      <c r="G1020" s="101" t="s">
        <v>1358</v>
      </c>
      <c r="H1020" s="101">
        <v>0</v>
      </c>
      <c r="J1020" s="102" t="s">
        <v>1238</v>
      </c>
      <c r="K1020" s="102" t="s">
        <v>1614</v>
      </c>
      <c r="L1020" s="90" t="s">
        <v>129</v>
      </c>
      <c r="V1020" s="111"/>
    </row>
    <row r="1021" spans="1:22" x14ac:dyDescent="0.3">
      <c r="B1021" s="90">
        <v>272230</v>
      </c>
      <c r="C1021" s="99">
        <v>272222</v>
      </c>
      <c r="D1021" s="90" t="s">
        <v>6</v>
      </c>
      <c r="E1021" s="90" t="s">
        <v>345</v>
      </c>
      <c r="F1021" s="100" t="s">
        <v>1266</v>
      </c>
      <c r="G1021" s="101" t="s">
        <v>1360</v>
      </c>
      <c r="H1021" s="101">
        <v>0</v>
      </c>
      <c r="J1021" s="102" t="s">
        <v>1267</v>
      </c>
      <c r="K1021" s="102" t="s">
        <v>780</v>
      </c>
      <c r="L1021" s="90" t="s">
        <v>134</v>
      </c>
      <c r="V1021" s="111"/>
    </row>
    <row r="1022" spans="1:22" ht="28.8" x14ac:dyDescent="0.3">
      <c r="B1022" s="90">
        <v>220361</v>
      </c>
      <c r="C1022" s="99">
        <v>245560</v>
      </c>
      <c r="D1022" s="90" t="s">
        <v>697</v>
      </c>
      <c r="E1022" s="90" t="s">
        <v>345</v>
      </c>
      <c r="F1022" s="100" t="s">
        <v>1304</v>
      </c>
      <c r="G1022" s="101" t="s">
        <v>1361</v>
      </c>
      <c r="K1022" s="102" t="s">
        <v>1614</v>
      </c>
      <c r="L1022" s="90" t="s">
        <v>129</v>
      </c>
      <c r="V1022" s="111"/>
    </row>
    <row r="1023" spans="1:22" ht="28.8" x14ac:dyDescent="0.3">
      <c r="A1023" s="96"/>
      <c r="B1023" s="120">
        <v>328212</v>
      </c>
      <c r="C1023" s="121">
        <v>216552</v>
      </c>
      <c r="D1023" s="120" t="s">
        <v>24</v>
      </c>
      <c r="E1023" s="120" t="s">
        <v>345</v>
      </c>
      <c r="F1023" s="122" t="s">
        <v>898</v>
      </c>
      <c r="G1023" s="123" t="s">
        <v>1352</v>
      </c>
      <c r="H1023" s="123"/>
      <c r="I1023" s="124" t="s">
        <v>48</v>
      </c>
      <c r="J1023" s="124"/>
      <c r="K1023" s="124" t="s">
        <v>1614</v>
      </c>
      <c r="L1023" s="120" t="s">
        <v>108</v>
      </c>
      <c r="M1023" s="120"/>
      <c r="N1023" s="124"/>
      <c r="O1023" s="120"/>
      <c r="P1023" s="120"/>
      <c r="Q1023" s="120"/>
      <c r="R1023" s="120"/>
      <c r="S1023" s="120"/>
      <c r="T1023" s="120"/>
      <c r="V1023" s="111"/>
    </row>
    <row r="1024" spans="1:22" x14ac:dyDescent="0.3">
      <c r="B1024" s="90">
        <v>272402</v>
      </c>
      <c r="C1024" s="99">
        <v>272399</v>
      </c>
      <c r="D1024" s="90" t="s">
        <v>6</v>
      </c>
      <c r="E1024" s="90" t="s">
        <v>7</v>
      </c>
      <c r="F1024" s="100" t="s">
        <v>1264</v>
      </c>
      <c r="G1024" s="101" t="s">
        <v>1388</v>
      </c>
      <c r="H1024" s="101">
        <v>2</v>
      </c>
      <c r="J1024" s="102" t="s">
        <v>1265</v>
      </c>
      <c r="K1024" s="102" t="s">
        <v>1614</v>
      </c>
      <c r="L1024" s="90" t="s">
        <v>129</v>
      </c>
      <c r="V1024" s="111"/>
    </row>
    <row r="1025" spans="1:22" x14ac:dyDescent="0.3">
      <c r="B1025" s="120">
        <v>315488</v>
      </c>
      <c r="C1025" s="121">
        <v>315485</v>
      </c>
      <c r="D1025" s="120" t="s">
        <v>6</v>
      </c>
      <c r="E1025" s="120" t="s">
        <v>7</v>
      </c>
      <c r="F1025" s="122" t="s">
        <v>1668</v>
      </c>
      <c r="G1025" s="123" t="s">
        <v>1525</v>
      </c>
      <c r="H1025" s="123">
        <v>1</v>
      </c>
      <c r="I1025" s="124"/>
      <c r="J1025" s="124" t="s">
        <v>1669</v>
      </c>
      <c r="K1025" s="124" t="s">
        <v>1614</v>
      </c>
      <c r="L1025" s="120" t="s">
        <v>8</v>
      </c>
      <c r="M1025" s="120"/>
      <c r="N1025" s="124"/>
      <c r="O1025" s="120"/>
      <c r="P1025" s="120"/>
      <c r="Q1025" s="120"/>
      <c r="R1025" s="120"/>
      <c r="S1025" s="120"/>
      <c r="T1025" s="120"/>
      <c r="V1025" s="111"/>
    </row>
    <row r="1026" spans="1:22" x14ac:dyDescent="0.3">
      <c r="A1026" s="96"/>
      <c r="B1026" s="120">
        <v>332292</v>
      </c>
      <c r="C1026" s="121">
        <v>332289</v>
      </c>
      <c r="D1026" s="120" t="s">
        <v>6</v>
      </c>
      <c r="E1026" s="120" t="s">
        <v>7</v>
      </c>
      <c r="F1026" s="122" t="s">
        <v>866</v>
      </c>
      <c r="G1026" s="123" t="s">
        <v>8</v>
      </c>
      <c r="H1026" s="123">
        <v>8</v>
      </c>
      <c r="I1026" s="124"/>
      <c r="J1026" s="124" t="s">
        <v>867</v>
      </c>
      <c r="K1026" s="124" t="s">
        <v>1614</v>
      </c>
      <c r="L1026" s="120" t="s">
        <v>8</v>
      </c>
      <c r="M1026" s="120"/>
      <c r="N1026" s="124"/>
      <c r="O1026" s="120"/>
      <c r="P1026" s="120"/>
      <c r="Q1026" s="120"/>
      <c r="R1026" s="120"/>
      <c r="S1026" s="120"/>
      <c r="T1026" s="120"/>
      <c r="V1026" s="111"/>
    </row>
    <row r="1027" spans="1:22" x14ac:dyDescent="0.3">
      <c r="B1027" s="120">
        <v>329420</v>
      </c>
      <c r="C1027" s="121">
        <v>329380</v>
      </c>
      <c r="D1027" s="120" t="s">
        <v>6</v>
      </c>
      <c r="E1027" s="120" t="s">
        <v>7</v>
      </c>
      <c r="F1027" s="122" t="s">
        <v>868</v>
      </c>
      <c r="G1027" s="123" t="s">
        <v>8</v>
      </c>
      <c r="H1027" s="123">
        <v>5</v>
      </c>
      <c r="I1027" s="124"/>
      <c r="J1027" s="124"/>
      <c r="K1027" s="124" t="s">
        <v>1614</v>
      </c>
      <c r="L1027" s="120" t="s">
        <v>8</v>
      </c>
      <c r="M1027" s="120"/>
      <c r="N1027" s="124"/>
      <c r="O1027" s="120"/>
      <c r="P1027" s="120"/>
      <c r="Q1027" s="120"/>
      <c r="R1027" s="120"/>
      <c r="S1027" s="120"/>
      <c r="T1027" s="120"/>
      <c r="V1027" s="111"/>
    </row>
    <row r="1028" spans="1:22" x14ac:dyDescent="0.3">
      <c r="A1028" s="96"/>
      <c r="B1028" s="120">
        <v>329417</v>
      </c>
      <c r="C1028" s="121">
        <v>329380</v>
      </c>
      <c r="D1028" s="120" t="s">
        <v>6</v>
      </c>
      <c r="E1028" s="120" t="s">
        <v>7</v>
      </c>
      <c r="F1028" s="122" t="s">
        <v>869</v>
      </c>
      <c r="G1028" s="123" t="s">
        <v>8</v>
      </c>
      <c r="H1028" s="123">
        <v>5</v>
      </c>
      <c r="I1028" s="124"/>
      <c r="J1028" s="124"/>
      <c r="K1028" s="124" t="s">
        <v>1614</v>
      </c>
      <c r="L1028" s="120" t="s">
        <v>8</v>
      </c>
      <c r="M1028" s="120"/>
      <c r="N1028" s="124"/>
      <c r="O1028" s="120"/>
      <c r="P1028" s="120"/>
      <c r="Q1028" s="120"/>
      <c r="R1028" s="120"/>
      <c r="S1028" s="120"/>
      <c r="T1028" s="120"/>
      <c r="V1028" s="111"/>
    </row>
    <row r="1029" spans="1:22" x14ac:dyDescent="0.3">
      <c r="B1029" s="120">
        <v>329413</v>
      </c>
      <c r="C1029" s="121">
        <v>329380</v>
      </c>
      <c r="D1029" s="120" t="s">
        <v>6</v>
      </c>
      <c r="E1029" s="120" t="s">
        <v>7</v>
      </c>
      <c r="F1029" s="122" t="s">
        <v>870</v>
      </c>
      <c r="G1029" s="123" t="s">
        <v>8</v>
      </c>
      <c r="H1029" s="123">
        <v>5</v>
      </c>
      <c r="I1029" s="124"/>
      <c r="J1029" s="124"/>
      <c r="K1029" s="124" t="s">
        <v>1614</v>
      </c>
      <c r="L1029" s="120" t="s">
        <v>8</v>
      </c>
      <c r="M1029" s="120"/>
      <c r="N1029" s="124"/>
      <c r="O1029" s="120"/>
      <c r="P1029" s="120"/>
      <c r="Q1029" s="120"/>
      <c r="R1029" s="120"/>
      <c r="S1029" s="120"/>
      <c r="T1029" s="120"/>
      <c r="V1029" s="111"/>
    </row>
    <row r="1030" spans="1:22" x14ac:dyDescent="0.3">
      <c r="B1030" s="120">
        <v>329412</v>
      </c>
      <c r="C1030" s="121">
        <v>329380</v>
      </c>
      <c r="D1030" s="120" t="s">
        <v>6</v>
      </c>
      <c r="E1030" s="120" t="s">
        <v>7</v>
      </c>
      <c r="F1030" s="122" t="s">
        <v>871</v>
      </c>
      <c r="G1030" s="123" t="s">
        <v>8</v>
      </c>
      <c r="H1030" s="123">
        <v>5</v>
      </c>
      <c r="I1030" s="124"/>
      <c r="J1030" s="124"/>
      <c r="K1030" s="124" t="s">
        <v>1614</v>
      </c>
      <c r="L1030" s="120" t="s">
        <v>8</v>
      </c>
      <c r="M1030" s="120"/>
      <c r="N1030" s="124"/>
      <c r="O1030" s="120"/>
      <c r="P1030" s="120"/>
      <c r="Q1030" s="120"/>
      <c r="R1030" s="120"/>
      <c r="S1030" s="120"/>
      <c r="T1030" s="120"/>
      <c r="V1030" s="111"/>
    </row>
    <row r="1031" spans="1:22" ht="28.8" x14ac:dyDescent="0.3">
      <c r="B1031" s="120">
        <v>329410</v>
      </c>
      <c r="C1031" s="121">
        <v>329380</v>
      </c>
      <c r="D1031" s="120" t="s">
        <v>6</v>
      </c>
      <c r="E1031" s="120" t="s">
        <v>7</v>
      </c>
      <c r="F1031" s="122" t="s">
        <v>872</v>
      </c>
      <c r="G1031" s="123" t="s">
        <v>8</v>
      </c>
      <c r="H1031" s="123">
        <v>5</v>
      </c>
      <c r="I1031" s="124"/>
      <c r="J1031" s="124"/>
      <c r="K1031" s="124" t="s">
        <v>1614</v>
      </c>
      <c r="L1031" s="120" t="s">
        <v>8</v>
      </c>
      <c r="M1031" s="120"/>
      <c r="N1031" s="124"/>
      <c r="O1031" s="120"/>
      <c r="P1031" s="120"/>
      <c r="Q1031" s="120"/>
      <c r="R1031" s="120"/>
      <c r="S1031" s="120"/>
      <c r="T1031" s="120"/>
      <c r="V1031" s="111"/>
    </row>
    <row r="1032" spans="1:22" x14ac:dyDescent="0.3">
      <c r="B1032" s="120">
        <v>329406</v>
      </c>
      <c r="C1032" s="121">
        <v>329380</v>
      </c>
      <c r="D1032" s="120" t="s">
        <v>6</v>
      </c>
      <c r="E1032" s="120" t="s">
        <v>7</v>
      </c>
      <c r="F1032" s="122" t="s">
        <v>873</v>
      </c>
      <c r="G1032" s="123" t="s">
        <v>8</v>
      </c>
      <c r="H1032" s="123">
        <v>5</v>
      </c>
      <c r="I1032" s="124"/>
      <c r="J1032" s="124"/>
      <c r="K1032" s="124" t="s">
        <v>1614</v>
      </c>
      <c r="L1032" s="120" t="s">
        <v>8</v>
      </c>
      <c r="M1032" s="120"/>
      <c r="N1032" s="124"/>
      <c r="O1032" s="120"/>
      <c r="P1032" s="120"/>
      <c r="Q1032" s="120"/>
      <c r="R1032" s="120"/>
      <c r="S1032" s="120"/>
      <c r="T1032" s="120"/>
    </row>
    <row r="1033" spans="1:22" x14ac:dyDescent="0.3">
      <c r="A1033" s="96"/>
      <c r="B1033" s="120">
        <v>329394</v>
      </c>
      <c r="C1033" s="121">
        <v>329380</v>
      </c>
      <c r="D1033" s="120" t="s">
        <v>344</v>
      </c>
      <c r="E1033" s="120" t="s">
        <v>7</v>
      </c>
      <c r="F1033" s="122" t="s">
        <v>874</v>
      </c>
      <c r="G1033" s="123" t="s">
        <v>8</v>
      </c>
      <c r="H1033" s="123"/>
      <c r="I1033" s="124"/>
      <c r="J1033" s="124"/>
      <c r="K1033" s="124" t="s">
        <v>8</v>
      </c>
      <c r="L1033" s="120" t="s">
        <v>8</v>
      </c>
      <c r="M1033" s="120"/>
      <c r="N1033" s="124"/>
      <c r="O1033" s="120"/>
      <c r="P1033" s="120"/>
      <c r="Q1033" s="120"/>
      <c r="R1033" s="120"/>
      <c r="S1033" s="120"/>
      <c r="T1033" s="120"/>
    </row>
    <row r="1034" spans="1:22" ht="28.8" x14ac:dyDescent="0.3">
      <c r="B1034" s="120">
        <v>329393</v>
      </c>
      <c r="C1034" s="121">
        <v>329380</v>
      </c>
      <c r="D1034" s="120" t="s">
        <v>6</v>
      </c>
      <c r="E1034" s="120" t="s">
        <v>7</v>
      </c>
      <c r="F1034" s="122" t="s">
        <v>875</v>
      </c>
      <c r="G1034" s="123" t="s">
        <v>8</v>
      </c>
      <c r="H1034" s="123">
        <v>5</v>
      </c>
      <c r="I1034" s="124"/>
      <c r="J1034" s="124"/>
      <c r="K1034" s="124" t="s">
        <v>1614</v>
      </c>
      <c r="L1034" s="120" t="s">
        <v>8</v>
      </c>
      <c r="M1034" s="120"/>
      <c r="N1034" s="124"/>
      <c r="O1034" s="120"/>
      <c r="P1034" s="120"/>
      <c r="Q1034" s="120"/>
      <c r="R1034" s="120"/>
      <c r="S1034" s="120"/>
      <c r="T1034" s="120"/>
    </row>
    <row r="1035" spans="1:22" ht="28.8" x14ac:dyDescent="0.3">
      <c r="B1035" s="90">
        <v>329392</v>
      </c>
      <c r="C1035" s="99">
        <v>329380</v>
      </c>
      <c r="D1035" s="90" t="s">
        <v>6</v>
      </c>
      <c r="E1035" s="90" t="s">
        <v>7</v>
      </c>
      <c r="F1035" s="100" t="s">
        <v>876</v>
      </c>
      <c r="G1035" s="101" t="s">
        <v>8</v>
      </c>
      <c r="H1035" s="101">
        <v>5</v>
      </c>
      <c r="K1035" s="102" t="s">
        <v>1614</v>
      </c>
      <c r="L1035" s="90" t="s">
        <v>8</v>
      </c>
    </row>
    <row r="1036" spans="1:22" x14ac:dyDescent="0.3">
      <c r="B1036" s="120">
        <v>329391</v>
      </c>
      <c r="C1036" s="121">
        <v>329380</v>
      </c>
      <c r="D1036" s="120" t="s">
        <v>6</v>
      </c>
      <c r="E1036" s="120" t="s">
        <v>7</v>
      </c>
      <c r="F1036" s="122" t="s">
        <v>877</v>
      </c>
      <c r="G1036" s="123" t="s">
        <v>8</v>
      </c>
      <c r="H1036" s="123">
        <v>1</v>
      </c>
      <c r="I1036" s="124"/>
      <c r="J1036" s="124" t="s">
        <v>878</v>
      </c>
      <c r="K1036" s="124" t="s">
        <v>1614</v>
      </c>
      <c r="L1036" s="120" t="s">
        <v>8</v>
      </c>
      <c r="M1036" s="120"/>
      <c r="N1036" s="124"/>
      <c r="O1036" s="120"/>
      <c r="P1036" s="120"/>
      <c r="Q1036" s="120"/>
      <c r="R1036" s="120"/>
      <c r="S1036" s="120"/>
      <c r="T1036" s="120"/>
    </row>
    <row r="1037" spans="1:22" x14ac:dyDescent="0.3">
      <c r="B1037" s="90">
        <v>329389</v>
      </c>
      <c r="C1037" s="99">
        <v>329380</v>
      </c>
      <c r="D1037" s="90" t="s">
        <v>6</v>
      </c>
      <c r="E1037" s="90" t="s">
        <v>7</v>
      </c>
      <c r="F1037" s="100" t="s">
        <v>879</v>
      </c>
      <c r="G1037" s="101" t="s">
        <v>8</v>
      </c>
      <c r="H1037" s="101">
        <v>1</v>
      </c>
      <c r="K1037" s="102" t="s">
        <v>1614</v>
      </c>
      <c r="L1037" s="90" t="s">
        <v>8</v>
      </c>
    </row>
    <row r="1038" spans="1:22" x14ac:dyDescent="0.3">
      <c r="B1038" s="90">
        <v>329388</v>
      </c>
      <c r="C1038" s="99">
        <v>329380</v>
      </c>
      <c r="D1038" s="90" t="s">
        <v>6</v>
      </c>
      <c r="E1038" s="90" t="s">
        <v>7</v>
      </c>
      <c r="F1038" s="100" t="s">
        <v>880</v>
      </c>
      <c r="G1038" s="101" t="s">
        <v>8</v>
      </c>
      <c r="H1038" s="101">
        <v>3</v>
      </c>
      <c r="J1038" s="102" t="s">
        <v>881</v>
      </c>
      <c r="K1038" s="102" t="s">
        <v>780</v>
      </c>
      <c r="L1038" s="90" t="s">
        <v>8</v>
      </c>
    </row>
    <row r="1039" spans="1:22" ht="28.8" x14ac:dyDescent="0.3">
      <c r="B1039" s="120">
        <v>329387</v>
      </c>
      <c r="C1039" s="121">
        <v>329380</v>
      </c>
      <c r="D1039" s="120" t="s">
        <v>6</v>
      </c>
      <c r="E1039" s="120" t="s">
        <v>7</v>
      </c>
      <c r="F1039" s="122" t="s">
        <v>882</v>
      </c>
      <c r="G1039" s="123" t="s">
        <v>8</v>
      </c>
      <c r="H1039" s="123">
        <v>2</v>
      </c>
      <c r="I1039" s="124"/>
      <c r="J1039" s="124"/>
      <c r="K1039" s="124" t="s">
        <v>1614</v>
      </c>
      <c r="L1039" s="120" t="s">
        <v>8</v>
      </c>
      <c r="M1039" s="120"/>
      <c r="N1039" s="124"/>
      <c r="O1039" s="120"/>
      <c r="P1039" s="120"/>
      <c r="Q1039" s="120"/>
      <c r="R1039" s="120"/>
      <c r="S1039" s="120"/>
      <c r="T1039" s="120"/>
    </row>
    <row r="1040" spans="1:22" x14ac:dyDescent="0.3">
      <c r="A1040" s="96"/>
      <c r="B1040" s="120">
        <v>329386</v>
      </c>
      <c r="C1040" s="121">
        <v>329380</v>
      </c>
      <c r="D1040" s="120" t="s">
        <v>6</v>
      </c>
      <c r="E1040" s="120" t="s">
        <v>7</v>
      </c>
      <c r="F1040" s="122" t="s">
        <v>883</v>
      </c>
      <c r="G1040" s="123" t="s">
        <v>8</v>
      </c>
      <c r="H1040" s="123">
        <v>5</v>
      </c>
      <c r="I1040" s="124"/>
      <c r="J1040" s="124" t="s">
        <v>884</v>
      </c>
      <c r="K1040" s="124" t="s">
        <v>1614</v>
      </c>
      <c r="L1040" s="120" t="s">
        <v>8</v>
      </c>
      <c r="M1040" s="120"/>
      <c r="N1040" s="124"/>
      <c r="O1040" s="120"/>
      <c r="P1040" s="120"/>
      <c r="Q1040" s="120"/>
      <c r="R1040" s="120"/>
      <c r="S1040" s="120"/>
      <c r="T1040" s="120"/>
    </row>
    <row r="1041" spans="2:20" x14ac:dyDescent="0.3">
      <c r="B1041" s="120">
        <v>329385</v>
      </c>
      <c r="C1041" s="121">
        <v>329380</v>
      </c>
      <c r="D1041" s="120" t="s">
        <v>6</v>
      </c>
      <c r="E1041" s="120" t="s">
        <v>7</v>
      </c>
      <c r="F1041" s="122" t="s">
        <v>885</v>
      </c>
      <c r="G1041" s="123" t="s">
        <v>8</v>
      </c>
      <c r="H1041" s="123">
        <v>2</v>
      </c>
      <c r="I1041" s="124"/>
      <c r="J1041" s="124"/>
      <c r="K1041" s="124" t="s">
        <v>1614</v>
      </c>
      <c r="L1041" s="120" t="s">
        <v>8</v>
      </c>
      <c r="M1041" s="120"/>
      <c r="N1041" s="124"/>
      <c r="O1041" s="120"/>
      <c r="P1041" s="120"/>
      <c r="Q1041" s="120"/>
      <c r="R1041" s="120"/>
      <c r="S1041" s="120"/>
      <c r="T1041" s="120"/>
    </row>
    <row r="1042" spans="2:20" ht="28.8" x14ac:dyDescent="0.3">
      <c r="B1042" s="90">
        <v>329384</v>
      </c>
      <c r="C1042" s="99">
        <v>329380</v>
      </c>
      <c r="D1042" s="90" t="s">
        <v>6</v>
      </c>
      <c r="E1042" s="90" t="s">
        <v>7</v>
      </c>
      <c r="F1042" s="100" t="s">
        <v>886</v>
      </c>
      <c r="G1042" s="101" t="s">
        <v>8</v>
      </c>
      <c r="H1042" s="101">
        <v>3</v>
      </c>
      <c r="K1042" s="102" t="s">
        <v>1614</v>
      </c>
      <c r="L1042" s="90" t="s">
        <v>8</v>
      </c>
    </row>
    <row r="1043" spans="2:20" x14ac:dyDescent="0.3">
      <c r="B1043" s="120">
        <v>329383</v>
      </c>
      <c r="C1043" s="121">
        <v>329380</v>
      </c>
      <c r="D1043" s="120" t="s">
        <v>6</v>
      </c>
      <c r="E1043" s="120" t="s">
        <v>7</v>
      </c>
      <c r="F1043" s="122" t="s">
        <v>887</v>
      </c>
      <c r="G1043" s="123" t="s">
        <v>8</v>
      </c>
      <c r="H1043" s="123">
        <v>8</v>
      </c>
      <c r="I1043" s="124"/>
      <c r="J1043" s="124" t="s">
        <v>888</v>
      </c>
      <c r="K1043" s="124" t="s">
        <v>1614</v>
      </c>
      <c r="L1043" s="120" t="s">
        <v>8</v>
      </c>
      <c r="M1043" s="120"/>
      <c r="N1043" s="124"/>
      <c r="O1043" s="120"/>
      <c r="P1043" s="120"/>
      <c r="Q1043" s="120"/>
      <c r="R1043" s="120"/>
      <c r="S1043" s="120"/>
      <c r="T1043" s="120"/>
    </row>
    <row r="1044" spans="2:20" x14ac:dyDescent="0.3">
      <c r="B1044" s="90">
        <v>329382</v>
      </c>
      <c r="C1044" s="99">
        <v>329380</v>
      </c>
      <c r="D1044" s="90" t="s">
        <v>6</v>
      </c>
      <c r="E1044" s="90" t="s">
        <v>7</v>
      </c>
      <c r="F1044" s="100" t="s">
        <v>889</v>
      </c>
      <c r="G1044" s="101" t="s">
        <v>8</v>
      </c>
      <c r="H1044" s="101">
        <v>1</v>
      </c>
      <c r="J1044" s="102" t="s">
        <v>890</v>
      </c>
      <c r="K1044" s="102" t="s">
        <v>1614</v>
      </c>
      <c r="L1044" s="90" t="s">
        <v>8</v>
      </c>
    </row>
    <row r="1045" spans="2:20" x14ac:dyDescent="0.3">
      <c r="B1045" s="90">
        <v>329381</v>
      </c>
      <c r="C1045" s="99">
        <v>329380</v>
      </c>
      <c r="D1045" s="90" t="s">
        <v>6</v>
      </c>
      <c r="E1045" s="90" t="s">
        <v>7</v>
      </c>
      <c r="F1045" s="100" t="s">
        <v>891</v>
      </c>
      <c r="G1045" s="101" t="s">
        <v>8</v>
      </c>
      <c r="H1045" s="101">
        <v>2</v>
      </c>
      <c r="K1045" s="102" t="s">
        <v>1614</v>
      </c>
      <c r="L1045" s="90" t="s">
        <v>8</v>
      </c>
    </row>
    <row r="1046" spans="2:20" x14ac:dyDescent="0.3">
      <c r="B1046" s="120">
        <v>327826</v>
      </c>
      <c r="C1046" s="121">
        <v>327823</v>
      </c>
      <c r="D1046" s="120" t="s">
        <v>6</v>
      </c>
      <c r="E1046" s="120" t="s">
        <v>7</v>
      </c>
      <c r="F1046" s="122" t="s">
        <v>899</v>
      </c>
      <c r="G1046" s="123" t="s">
        <v>8</v>
      </c>
      <c r="H1046" s="123">
        <v>8</v>
      </c>
      <c r="I1046" s="124"/>
      <c r="J1046" s="124" t="s">
        <v>900</v>
      </c>
      <c r="K1046" s="124" t="s">
        <v>1614</v>
      </c>
      <c r="L1046" s="120" t="s">
        <v>8</v>
      </c>
      <c r="M1046" s="120"/>
      <c r="N1046" s="124"/>
      <c r="O1046" s="120"/>
      <c r="P1046" s="120"/>
      <c r="Q1046" s="120"/>
      <c r="R1046" s="120"/>
      <c r="S1046" s="120"/>
      <c r="T1046" s="120"/>
    </row>
    <row r="1047" spans="2:20" x14ac:dyDescent="0.3">
      <c r="B1047" s="90">
        <v>325772</v>
      </c>
      <c r="C1047" s="99">
        <v>325746</v>
      </c>
      <c r="D1047" s="90" t="s">
        <v>6</v>
      </c>
      <c r="E1047" s="90" t="s">
        <v>7</v>
      </c>
      <c r="F1047" s="100" t="s">
        <v>901</v>
      </c>
      <c r="G1047" s="101" t="s">
        <v>8</v>
      </c>
      <c r="H1047" s="101">
        <v>13</v>
      </c>
      <c r="K1047" s="102" t="s">
        <v>1614</v>
      </c>
      <c r="L1047" s="90" t="s">
        <v>8</v>
      </c>
    </row>
    <row r="1048" spans="2:20" x14ac:dyDescent="0.3">
      <c r="B1048" s="90">
        <v>325771</v>
      </c>
      <c r="C1048" s="99">
        <v>325746</v>
      </c>
      <c r="D1048" s="90" t="s">
        <v>6</v>
      </c>
      <c r="E1048" s="90" t="s">
        <v>7</v>
      </c>
      <c r="F1048" s="100" t="s">
        <v>902</v>
      </c>
      <c r="G1048" s="101" t="s">
        <v>8</v>
      </c>
      <c r="H1048" s="101">
        <v>8</v>
      </c>
      <c r="K1048" s="102" t="s">
        <v>1614</v>
      </c>
      <c r="L1048" s="90" t="s">
        <v>8</v>
      </c>
    </row>
    <row r="1049" spans="2:20" x14ac:dyDescent="0.3">
      <c r="B1049" s="90">
        <v>325770</v>
      </c>
      <c r="C1049" s="99">
        <v>325746</v>
      </c>
      <c r="D1049" s="90" t="s">
        <v>6</v>
      </c>
      <c r="E1049" s="90" t="s">
        <v>7</v>
      </c>
      <c r="F1049" s="100" t="s">
        <v>903</v>
      </c>
      <c r="G1049" s="101" t="s">
        <v>8</v>
      </c>
      <c r="H1049" s="101">
        <v>2</v>
      </c>
      <c r="K1049" s="102" t="s">
        <v>1614</v>
      </c>
      <c r="L1049" s="90" t="s">
        <v>8</v>
      </c>
    </row>
    <row r="1050" spans="2:20" x14ac:dyDescent="0.3">
      <c r="B1050" s="120">
        <v>325769</v>
      </c>
      <c r="C1050" s="121">
        <v>325746</v>
      </c>
      <c r="D1050" s="120" t="s">
        <v>6</v>
      </c>
      <c r="E1050" s="120" t="s">
        <v>7</v>
      </c>
      <c r="F1050" s="122" t="s">
        <v>904</v>
      </c>
      <c r="G1050" s="123" t="s">
        <v>8</v>
      </c>
      <c r="H1050" s="123">
        <v>8</v>
      </c>
      <c r="I1050" s="124"/>
      <c r="J1050" s="124"/>
      <c r="K1050" s="124" t="s">
        <v>1614</v>
      </c>
      <c r="L1050" s="120" t="s">
        <v>8</v>
      </c>
      <c r="M1050" s="141" t="str">
        <f>VLOOKUP(L1050,lookups!B:C,2,FALSE)</f>
        <v>TBD</v>
      </c>
      <c r="N1050" s="124" t="s">
        <v>206</v>
      </c>
      <c r="O1050" s="120"/>
      <c r="P1050" s="120"/>
      <c r="Q1050" s="120"/>
      <c r="R1050" s="120"/>
      <c r="S1050" s="120"/>
      <c r="T1050" s="120"/>
    </row>
    <row r="1051" spans="2:20" x14ac:dyDescent="0.3">
      <c r="B1051" s="120">
        <v>325768</v>
      </c>
      <c r="C1051" s="121">
        <v>325746</v>
      </c>
      <c r="D1051" s="120" t="s">
        <v>6</v>
      </c>
      <c r="E1051" s="120" t="s">
        <v>7</v>
      </c>
      <c r="F1051" s="122" t="s">
        <v>905</v>
      </c>
      <c r="G1051" s="123" t="s">
        <v>8</v>
      </c>
      <c r="H1051" s="123">
        <v>5</v>
      </c>
      <c r="I1051" s="124"/>
      <c r="J1051" s="124"/>
      <c r="K1051" s="124" t="s">
        <v>1614</v>
      </c>
      <c r="L1051" s="120" t="s">
        <v>8</v>
      </c>
      <c r="M1051" s="120"/>
      <c r="N1051" s="124"/>
      <c r="O1051" s="120"/>
      <c r="P1051" s="120"/>
      <c r="Q1051" s="120"/>
      <c r="R1051" s="120"/>
      <c r="S1051" s="120"/>
      <c r="T1051" s="120"/>
    </row>
    <row r="1052" spans="2:20" x14ac:dyDescent="0.3">
      <c r="B1052" s="120">
        <v>325767</v>
      </c>
      <c r="C1052" s="121">
        <v>325746</v>
      </c>
      <c r="D1052" s="120" t="s">
        <v>6</v>
      </c>
      <c r="E1052" s="120" t="s">
        <v>7</v>
      </c>
      <c r="F1052" s="122" t="s">
        <v>906</v>
      </c>
      <c r="G1052" s="123" t="s">
        <v>8</v>
      </c>
      <c r="H1052" s="123">
        <v>8</v>
      </c>
      <c r="I1052" s="124"/>
      <c r="J1052" s="124"/>
      <c r="K1052" s="124" t="s">
        <v>1614</v>
      </c>
      <c r="L1052" s="120" t="s">
        <v>8</v>
      </c>
      <c r="M1052" s="120"/>
      <c r="N1052" s="124"/>
      <c r="O1052" s="120"/>
      <c r="P1052" s="120"/>
      <c r="Q1052" s="120"/>
      <c r="R1052" s="120"/>
      <c r="S1052" s="120"/>
      <c r="T1052" s="120"/>
    </row>
    <row r="1053" spans="2:20" x14ac:dyDescent="0.3">
      <c r="B1053" s="120">
        <v>325766</v>
      </c>
      <c r="C1053" s="121">
        <v>325746</v>
      </c>
      <c r="D1053" s="120" t="s">
        <v>6</v>
      </c>
      <c r="E1053" s="120" t="s">
        <v>7</v>
      </c>
      <c r="F1053" s="122" t="s">
        <v>907</v>
      </c>
      <c r="G1053" s="123" t="s">
        <v>8</v>
      </c>
      <c r="H1053" s="123">
        <v>2</v>
      </c>
      <c r="I1053" s="124"/>
      <c r="J1053" s="124"/>
      <c r="K1053" s="124" t="s">
        <v>1614</v>
      </c>
      <c r="L1053" s="120" t="s">
        <v>8</v>
      </c>
      <c r="M1053" s="120"/>
      <c r="N1053" s="124"/>
      <c r="O1053" s="120"/>
      <c r="P1053" s="120"/>
      <c r="Q1053" s="120"/>
      <c r="R1053" s="120"/>
      <c r="S1053" s="120"/>
      <c r="T1053" s="120"/>
    </row>
    <row r="1054" spans="2:20" x14ac:dyDescent="0.3">
      <c r="B1054" s="120">
        <v>325765</v>
      </c>
      <c r="C1054" s="121">
        <v>325746</v>
      </c>
      <c r="D1054" s="120" t="s">
        <v>6</v>
      </c>
      <c r="E1054" s="120" t="s">
        <v>7</v>
      </c>
      <c r="F1054" s="122" t="s">
        <v>908</v>
      </c>
      <c r="G1054" s="123" t="s">
        <v>8</v>
      </c>
      <c r="H1054" s="123">
        <v>3</v>
      </c>
      <c r="I1054" s="124"/>
      <c r="J1054" s="124"/>
      <c r="K1054" s="124" t="s">
        <v>1614</v>
      </c>
      <c r="L1054" s="120" t="s">
        <v>8</v>
      </c>
      <c r="M1054" s="120"/>
      <c r="N1054" s="124"/>
      <c r="O1054" s="120"/>
      <c r="P1054" s="120"/>
      <c r="Q1054" s="120"/>
      <c r="R1054" s="120"/>
      <c r="S1054" s="120"/>
      <c r="T1054" s="120"/>
    </row>
    <row r="1055" spans="2:20" x14ac:dyDescent="0.3">
      <c r="B1055" s="120">
        <v>325764</v>
      </c>
      <c r="C1055" s="121">
        <v>325746</v>
      </c>
      <c r="D1055" s="120" t="s">
        <v>6</v>
      </c>
      <c r="E1055" s="120" t="s">
        <v>7</v>
      </c>
      <c r="F1055" s="122" t="s">
        <v>909</v>
      </c>
      <c r="G1055" s="123" t="s">
        <v>8</v>
      </c>
      <c r="H1055" s="123">
        <v>5</v>
      </c>
      <c r="I1055" s="124"/>
      <c r="J1055" s="124"/>
      <c r="K1055" s="124" t="s">
        <v>1614</v>
      </c>
      <c r="L1055" s="120" t="s">
        <v>8</v>
      </c>
      <c r="M1055" s="120"/>
      <c r="N1055" s="124"/>
      <c r="O1055" s="120"/>
      <c r="P1055" s="120"/>
      <c r="Q1055" s="120"/>
      <c r="R1055" s="120"/>
      <c r="S1055" s="120"/>
      <c r="T1055" s="120"/>
    </row>
    <row r="1056" spans="2:20" x14ac:dyDescent="0.3">
      <c r="B1056" s="120">
        <v>325763</v>
      </c>
      <c r="C1056" s="121">
        <v>325746</v>
      </c>
      <c r="D1056" s="120" t="s">
        <v>6</v>
      </c>
      <c r="E1056" s="120" t="s">
        <v>7</v>
      </c>
      <c r="F1056" s="122" t="s">
        <v>910</v>
      </c>
      <c r="G1056" s="123" t="s">
        <v>8</v>
      </c>
      <c r="H1056" s="123">
        <v>3</v>
      </c>
      <c r="I1056" s="124"/>
      <c r="J1056" s="124"/>
      <c r="K1056" s="124" t="s">
        <v>1614</v>
      </c>
      <c r="L1056" s="120" t="s">
        <v>8</v>
      </c>
      <c r="M1056" s="120"/>
      <c r="N1056" s="124"/>
      <c r="O1056" s="120"/>
      <c r="P1056" s="120"/>
      <c r="Q1056" s="120"/>
      <c r="R1056" s="120"/>
      <c r="S1056" s="120"/>
      <c r="T1056" s="120"/>
    </row>
    <row r="1057" spans="1:20" x14ac:dyDescent="0.3">
      <c r="A1057" s="96"/>
      <c r="B1057" s="120">
        <v>325760</v>
      </c>
      <c r="C1057" s="121">
        <v>325746</v>
      </c>
      <c r="D1057" s="120" t="s">
        <v>344</v>
      </c>
      <c r="E1057" s="120" t="s">
        <v>7</v>
      </c>
      <c r="F1057" s="122" t="s">
        <v>911</v>
      </c>
      <c r="G1057" s="123" t="s">
        <v>8</v>
      </c>
      <c r="H1057" s="123"/>
      <c r="I1057" s="124"/>
      <c r="J1057" s="124"/>
      <c r="K1057" s="124" t="s">
        <v>8</v>
      </c>
      <c r="L1057" s="120" t="s">
        <v>8</v>
      </c>
      <c r="M1057" s="120"/>
      <c r="N1057" s="124"/>
      <c r="O1057" s="120"/>
      <c r="P1057" s="120"/>
      <c r="Q1057" s="120"/>
      <c r="R1057" s="120"/>
      <c r="S1057" s="120"/>
      <c r="T1057" s="120"/>
    </row>
    <row r="1058" spans="1:20" ht="28.8" x14ac:dyDescent="0.3">
      <c r="B1058" s="120">
        <v>325759</v>
      </c>
      <c r="C1058" s="121">
        <v>325746</v>
      </c>
      <c r="D1058" s="120" t="s">
        <v>6</v>
      </c>
      <c r="E1058" s="120" t="s">
        <v>7</v>
      </c>
      <c r="F1058" s="122" t="s">
        <v>912</v>
      </c>
      <c r="G1058" s="123" t="s">
        <v>8</v>
      </c>
      <c r="H1058" s="123">
        <v>5</v>
      </c>
      <c r="I1058" s="124"/>
      <c r="J1058" s="124"/>
      <c r="K1058" s="124" t="s">
        <v>1614</v>
      </c>
      <c r="L1058" s="120" t="s">
        <v>8</v>
      </c>
      <c r="M1058" s="120"/>
      <c r="N1058" s="124"/>
      <c r="O1058" s="120"/>
      <c r="P1058" s="120"/>
      <c r="Q1058" s="120"/>
      <c r="R1058" s="120"/>
      <c r="S1058" s="120"/>
      <c r="T1058" s="120"/>
    </row>
    <row r="1059" spans="1:20" ht="28.8" x14ac:dyDescent="0.3">
      <c r="B1059" s="120">
        <v>325758</v>
      </c>
      <c r="C1059" s="121">
        <v>325746</v>
      </c>
      <c r="D1059" s="120" t="s">
        <v>6</v>
      </c>
      <c r="E1059" s="120" t="s">
        <v>7</v>
      </c>
      <c r="F1059" s="122" t="s">
        <v>913</v>
      </c>
      <c r="G1059" s="123" t="s">
        <v>8</v>
      </c>
      <c r="H1059" s="123">
        <v>5</v>
      </c>
      <c r="I1059" s="124"/>
      <c r="J1059" s="124"/>
      <c r="K1059" s="124" t="s">
        <v>1614</v>
      </c>
      <c r="L1059" s="120" t="s">
        <v>8</v>
      </c>
      <c r="M1059" s="120"/>
      <c r="N1059" s="124"/>
      <c r="O1059" s="120"/>
      <c r="P1059" s="120"/>
      <c r="Q1059" s="120"/>
      <c r="R1059" s="120"/>
      <c r="S1059" s="120"/>
      <c r="T1059" s="120"/>
    </row>
    <row r="1060" spans="1:20" x14ac:dyDescent="0.3">
      <c r="B1060" s="120">
        <v>325757</v>
      </c>
      <c r="C1060" s="121">
        <v>325746</v>
      </c>
      <c r="D1060" s="120" t="s">
        <v>6</v>
      </c>
      <c r="E1060" s="120" t="s">
        <v>7</v>
      </c>
      <c r="F1060" s="122" t="s">
        <v>914</v>
      </c>
      <c r="G1060" s="123" t="s">
        <v>8</v>
      </c>
      <c r="H1060" s="123">
        <v>1</v>
      </c>
      <c r="I1060" s="124"/>
      <c r="J1060" s="124" t="s">
        <v>915</v>
      </c>
      <c r="K1060" s="124" t="s">
        <v>1614</v>
      </c>
      <c r="L1060" s="120" t="s">
        <v>8</v>
      </c>
      <c r="M1060" s="120"/>
      <c r="N1060" s="124"/>
      <c r="O1060" s="120"/>
      <c r="P1060" s="120"/>
      <c r="Q1060" s="120"/>
      <c r="R1060" s="120"/>
      <c r="S1060" s="120"/>
      <c r="T1060" s="120"/>
    </row>
    <row r="1061" spans="1:20" x14ac:dyDescent="0.3">
      <c r="B1061" s="120">
        <v>325755</v>
      </c>
      <c r="C1061" s="121">
        <v>325746</v>
      </c>
      <c r="D1061" s="120" t="s">
        <v>6</v>
      </c>
      <c r="E1061" s="120" t="s">
        <v>7</v>
      </c>
      <c r="F1061" s="122" t="s">
        <v>916</v>
      </c>
      <c r="G1061" s="123" t="s">
        <v>8</v>
      </c>
      <c r="H1061" s="123">
        <v>1</v>
      </c>
      <c r="I1061" s="124"/>
      <c r="J1061" s="124"/>
      <c r="K1061" s="124" t="s">
        <v>1614</v>
      </c>
      <c r="L1061" s="120" t="s">
        <v>8</v>
      </c>
      <c r="M1061" s="120"/>
      <c r="N1061" s="124"/>
      <c r="O1061" s="120"/>
      <c r="P1061" s="120"/>
      <c r="Q1061" s="120"/>
      <c r="R1061" s="120"/>
      <c r="S1061" s="120"/>
      <c r="T1061" s="120"/>
    </row>
    <row r="1062" spans="1:20" ht="28.8" x14ac:dyDescent="0.3">
      <c r="B1062" s="120">
        <v>325754</v>
      </c>
      <c r="C1062" s="121">
        <v>325746</v>
      </c>
      <c r="D1062" s="120" t="s">
        <v>6</v>
      </c>
      <c r="E1062" s="120" t="s">
        <v>7</v>
      </c>
      <c r="F1062" s="122" t="s">
        <v>917</v>
      </c>
      <c r="G1062" s="123" t="s">
        <v>8</v>
      </c>
      <c r="H1062" s="123">
        <v>3</v>
      </c>
      <c r="I1062" s="124"/>
      <c r="J1062" s="124" t="s">
        <v>918</v>
      </c>
      <c r="K1062" s="124" t="s">
        <v>1634</v>
      </c>
      <c r="L1062" s="120" t="s">
        <v>8</v>
      </c>
      <c r="M1062" s="120"/>
      <c r="N1062" s="124"/>
      <c r="O1062" s="120"/>
      <c r="P1062" s="120"/>
      <c r="Q1062" s="120"/>
      <c r="R1062" s="120"/>
      <c r="S1062" s="120"/>
      <c r="T1062" s="120"/>
    </row>
    <row r="1063" spans="1:20" ht="28.8" x14ac:dyDescent="0.3">
      <c r="B1063" s="120">
        <v>325753</v>
      </c>
      <c r="C1063" s="121">
        <v>325746</v>
      </c>
      <c r="D1063" s="120" t="s">
        <v>6</v>
      </c>
      <c r="E1063" s="120" t="s">
        <v>7</v>
      </c>
      <c r="F1063" s="122" t="s">
        <v>919</v>
      </c>
      <c r="G1063" s="123" t="s">
        <v>8</v>
      </c>
      <c r="H1063" s="123">
        <v>2</v>
      </c>
      <c r="I1063" s="124"/>
      <c r="J1063" s="124"/>
      <c r="K1063" s="124" t="s">
        <v>1614</v>
      </c>
      <c r="L1063" s="120" t="s">
        <v>8</v>
      </c>
      <c r="M1063" s="120"/>
      <c r="N1063" s="124"/>
      <c r="O1063" s="120"/>
      <c r="P1063" s="120"/>
      <c r="Q1063" s="120"/>
      <c r="R1063" s="120"/>
      <c r="S1063" s="120"/>
      <c r="T1063" s="120"/>
    </row>
    <row r="1064" spans="1:20" x14ac:dyDescent="0.3">
      <c r="A1064" s="96"/>
      <c r="B1064" s="120">
        <v>325752</v>
      </c>
      <c r="C1064" s="121">
        <v>325746</v>
      </c>
      <c r="D1064" s="120" t="s">
        <v>6</v>
      </c>
      <c r="E1064" s="120" t="s">
        <v>7</v>
      </c>
      <c r="F1064" s="122" t="s">
        <v>920</v>
      </c>
      <c r="G1064" s="123" t="s">
        <v>8</v>
      </c>
      <c r="H1064" s="123">
        <v>5</v>
      </c>
      <c r="I1064" s="124"/>
      <c r="J1064" s="124" t="s">
        <v>921</v>
      </c>
      <c r="K1064" s="124" t="s">
        <v>1614</v>
      </c>
      <c r="L1064" s="120" t="s">
        <v>8</v>
      </c>
      <c r="M1064" s="120"/>
      <c r="N1064" s="124"/>
      <c r="O1064" s="120"/>
      <c r="P1064" s="120"/>
      <c r="Q1064" s="120"/>
      <c r="R1064" s="120"/>
      <c r="S1064" s="120"/>
      <c r="T1064" s="120"/>
    </row>
    <row r="1065" spans="1:20" x14ac:dyDescent="0.3">
      <c r="B1065" s="120">
        <v>325751</v>
      </c>
      <c r="C1065" s="121">
        <v>325746</v>
      </c>
      <c r="D1065" s="120" t="s">
        <v>6</v>
      </c>
      <c r="E1065" s="120" t="s">
        <v>7</v>
      </c>
      <c r="F1065" s="122" t="s">
        <v>922</v>
      </c>
      <c r="G1065" s="123" t="s">
        <v>8</v>
      </c>
      <c r="H1065" s="123">
        <v>2</v>
      </c>
      <c r="I1065" s="124"/>
      <c r="J1065" s="124"/>
      <c r="K1065" s="124" t="s">
        <v>1614</v>
      </c>
      <c r="L1065" s="120" t="s">
        <v>8</v>
      </c>
      <c r="M1065" s="120"/>
      <c r="N1065" s="124"/>
      <c r="O1065" s="120"/>
      <c r="P1065" s="120"/>
      <c r="Q1065" s="120"/>
      <c r="R1065" s="120"/>
      <c r="S1065" s="120"/>
      <c r="T1065" s="120"/>
    </row>
    <row r="1066" spans="1:20" ht="28.8" x14ac:dyDescent="0.3">
      <c r="B1066" s="90">
        <v>325750</v>
      </c>
      <c r="C1066" s="99">
        <v>325746</v>
      </c>
      <c r="D1066" s="90" t="s">
        <v>6</v>
      </c>
      <c r="E1066" s="90" t="s">
        <v>7</v>
      </c>
      <c r="F1066" s="100" t="s">
        <v>923</v>
      </c>
      <c r="G1066" s="101" t="s">
        <v>8</v>
      </c>
      <c r="H1066" s="101">
        <v>3</v>
      </c>
      <c r="K1066" s="102" t="s">
        <v>1614</v>
      </c>
      <c r="L1066" s="90" t="s">
        <v>8</v>
      </c>
    </row>
    <row r="1067" spans="1:20" x14ac:dyDescent="0.3">
      <c r="B1067" s="90">
        <v>325749</v>
      </c>
      <c r="C1067" s="99">
        <v>325746</v>
      </c>
      <c r="D1067" s="90" t="s">
        <v>6</v>
      </c>
      <c r="E1067" s="90" t="s">
        <v>7</v>
      </c>
      <c r="F1067" s="100" t="s">
        <v>924</v>
      </c>
      <c r="G1067" s="101" t="s">
        <v>8</v>
      </c>
      <c r="H1067" s="101">
        <v>8</v>
      </c>
      <c r="J1067" s="102" t="s">
        <v>925</v>
      </c>
      <c r="K1067" s="102" t="s">
        <v>1614</v>
      </c>
      <c r="L1067" s="90" t="s">
        <v>8</v>
      </c>
    </row>
    <row r="1068" spans="1:20" x14ac:dyDescent="0.3">
      <c r="B1068" s="120">
        <v>325748</v>
      </c>
      <c r="C1068" s="121">
        <v>325746</v>
      </c>
      <c r="D1068" s="120" t="s">
        <v>6</v>
      </c>
      <c r="E1068" s="120" t="s">
        <v>7</v>
      </c>
      <c r="F1068" s="122" t="s">
        <v>926</v>
      </c>
      <c r="G1068" s="123" t="s">
        <v>8</v>
      </c>
      <c r="H1068" s="123">
        <v>1</v>
      </c>
      <c r="I1068" s="124"/>
      <c r="J1068" s="124" t="s">
        <v>927</v>
      </c>
      <c r="K1068" s="124" t="s">
        <v>1614</v>
      </c>
      <c r="L1068" s="120" t="s">
        <v>8</v>
      </c>
      <c r="M1068" s="120"/>
      <c r="N1068" s="124"/>
      <c r="O1068" s="120"/>
      <c r="P1068" s="120"/>
      <c r="Q1068" s="120"/>
      <c r="R1068" s="120"/>
      <c r="S1068" s="120"/>
      <c r="T1068" s="120"/>
    </row>
    <row r="1069" spans="1:20" x14ac:dyDescent="0.3">
      <c r="B1069" s="90">
        <v>325747</v>
      </c>
      <c r="C1069" s="99">
        <v>325746</v>
      </c>
      <c r="D1069" s="90" t="s">
        <v>6</v>
      </c>
      <c r="E1069" s="90" t="s">
        <v>7</v>
      </c>
      <c r="F1069" s="100" t="s">
        <v>928</v>
      </c>
      <c r="G1069" s="101" t="s">
        <v>8</v>
      </c>
      <c r="H1069" s="101">
        <v>2</v>
      </c>
      <c r="K1069" s="102" t="s">
        <v>1614</v>
      </c>
      <c r="L1069" s="90" t="s">
        <v>8</v>
      </c>
    </row>
    <row r="1070" spans="1:20" x14ac:dyDescent="0.3">
      <c r="B1070" s="90">
        <v>325271</v>
      </c>
      <c r="C1070" s="99">
        <v>325227</v>
      </c>
      <c r="D1070" s="90" t="s">
        <v>6</v>
      </c>
      <c r="E1070" s="90" t="s">
        <v>7</v>
      </c>
      <c r="F1070" s="100" t="s">
        <v>930</v>
      </c>
      <c r="G1070" s="101" t="s">
        <v>8</v>
      </c>
      <c r="H1070" s="101">
        <v>13</v>
      </c>
      <c r="K1070" s="102" t="s">
        <v>1614</v>
      </c>
      <c r="L1070" s="90" t="s">
        <v>8</v>
      </c>
    </row>
    <row r="1071" spans="1:20" x14ac:dyDescent="0.3">
      <c r="B1071" s="90">
        <v>325267</v>
      </c>
      <c r="C1071" s="99">
        <v>325227</v>
      </c>
      <c r="D1071" s="90" t="s">
        <v>6</v>
      </c>
      <c r="E1071" s="90" t="s">
        <v>7</v>
      </c>
      <c r="F1071" s="100" t="s">
        <v>931</v>
      </c>
      <c r="G1071" s="101" t="s">
        <v>8</v>
      </c>
      <c r="H1071" s="101">
        <v>8</v>
      </c>
      <c r="K1071" s="102" t="s">
        <v>1614</v>
      </c>
      <c r="L1071" s="90" t="s">
        <v>8</v>
      </c>
    </row>
    <row r="1072" spans="1:20" x14ac:dyDescent="0.3">
      <c r="B1072" s="90">
        <v>325266</v>
      </c>
      <c r="C1072" s="99">
        <v>325227</v>
      </c>
      <c r="D1072" s="90" t="s">
        <v>6</v>
      </c>
      <c r="E1072" s="90" t="s">
        <v>7</v>
      </c>
      <c r="F1072" s="100" t="s">
        <v>932</v>
      </c>
      <c r="G1072" s="101" t="s">
        <v>8</v>
      </c>
      <c r="H1072" s="101">
        <v>13</v>
      </c>
      <c r="K1072" s="102" t="s">
        <v>1614</v>
      </c>
      <c r="L1072" s="90" t="s">
        <v>8</v>
      </c>
    </row>
    <row r="1073" spans="1:20" x14ac:dyDescent="0.3">
      <c r="B1073" s="90">
        <v>325264</v>
      </c>
      <c r="C1073" s="99">
        <v>325227</v>
      </c>
      <c r="D1073" s="90" t="s">
        <v>6</v>
      </c>
      <c r="E1073" s="90" t="s">
        <v>7</v>
      </c>
      <c r="F1073" s="100" t="s">
        <v>933</v>
      </c>
      <c r="G1073" s="101" t="s">
        <v>8</v>
      </c>
      <c r="H1073" s="101">
        <v>13</v>
      </c>
      <c r="K1073" s="102" t="s">
        <v>1614</v>
      </c>
      <c r="L1073" s="90" t="s">
        <v>8</v>
      </c>
    </row>
    <row r="1074" spans="1:20" x14ac:dyDescent="0.3">
      <c r="B1074" s="90">
        <v>325260</v>
      </c>
      <c r="C1074" s="99">
        <v>325227</v>
      </c>
      <c r="D1074" s="90" t="s">
        <v>6</v>
      </c>
      <c r="E1074" s="90" t="s">
        <v>7</v>
      </c>
      <c r="F1074" s="100" t="s">
        <v>934</v>
      </c>
      <c r="G1074" s="101" t="s">
        <v>8</v>
      </c>
      <c r="H1074" s="101">
        <v>8</v>
      </c>
      <c r="K1074" s="102" t="s">
        <v>1614</v>
      </c>
      <c r="L1074" s="90" t="s">
        <v>8</v>
      </c>
    </row>
    <row r="1075" spans="1:20" x14ac:dyDescent="0.3">
      <c r="B1075" s="90">
        <v>325259</v>
      </c>
      <c r="C1075" s="99">
        <v>325227</v>
      </c>
      <c r="D1075" s="90" t="s">
        <v>6</v>
      </c>
      <c r="E1075" s="90" t="s">
        <v>7</v>
      </c>
      <c r="F1075" s="100" t="s">
        <v>935</v>
      </c>
      <c r="G1075" s="101" t="s">
        <v>8</v>
      </c>
      <c r="H1075" s="101">
        <v>13</v>
      </c>
      <c r="K1075" s="102" t="s">
        <v>1614</v>
      </c>
      <c r="L1075" s="90" t="s">
        <v>8</v>
      </c>
    </row>
    <row r="1076" spans="1:20" x14ac:dyDescent="0.3">
      <c r="B1076" s="90">
        <v>325258</v>
      </c>
      <c r="C1076" s="99">
        <v>325227</v>
      </c>
      <c r="D1076" s="90" t="s">
        <v>6</v>
      </c>
      <c r="E1076" s="90" t="s">
        <v>7</v>
      </c>
      <c r="F1076" s="100" t="s">
        <v>936</v>
      </c>
      <c r="G1076" s="101" t="s">
        <v>8</v>
      </c>
      <c r="H1076" s="101">
        <v>1</v>
      </c>
      <c r="K1076" s="102" t="s">
        <v>1614</v>
      </c>
      <c r="L1076" s="90" t="s">
        <v>8</v>
      </c>
    </row>
    <row r="1077" spans="1:20" ht="28.8" x14ac:dyDescent="0.3">
      <c r="B1077" s="90">
        <v>325257</v>
      </c>
      <c r="C1077" s="99">
        <v>325227</v>
      </c>
      <c r="D1077" s="90" t="s">
        <v>6</v>
      </c>
      <c r="E1077" s="90" t="s">
        <v>7</v>
      </c>
      <c r="F1077" s="100" t="s">
        <v>937</v>
      </c>
      <c r="G1077" s="101" t="s">
        <v>8</v>
      </c>
      <c r="H1077" s="101">
        <v>8</v>
      </c>
      <c r="K1077" s="102" t="s">
        <v>1614</v>
      </c>
      <c r="L1077" s="90" t="s">
        <v>8</v>
      </c>
    </row>
    <row r="1078" spans="1:20" x14ac:dyDescent="0.3">
      <c r="B1078" s="90">
        <v>325256</v>
      </c>
      <c r="C1078" s="99">
        <v>325227</v>
      </c>
      <c r="D1078" s="90" t="s">
        <v>671</v>
      </c>
      <c r="E1078" s="90" t="s">
        <v>672</v>
      </c>
      <c r="F1078" s="100" t="s">
        <v>681</v>
      </c>
      <c r="G1078" s="101" t="s">
        <v>8</v>
      </c>
      <c r="K1078" s="102" t="s">
        <v>1614</v>
      </c>
      <c r="L1078" s="90" t="s">
        <v>126</v>
      </c>
    </row>
    <row r="1079" spans="1:20" x14ac:dyDescent="0.3">
      <c r="B1079" s="90">
        <v>325255</v>
      </c>
      <c r="C1079" s="99">
        <v>325227</v>
      </c>
      <c r="D1079" s="90" t="s">
        <v>6</v>
      </c>
      <c r="E1079" s="90" t="s">
        <v>7</v>
      </c>
      <c r="F1079" s="100" t="s">
        <v>938</v>
      </c>
      <c r="G1079" s="101" t="s">
        <v>8</v>
      </c>
      <c r="H1079" s="101">
        <v>8</v>
      </c>
      <c r="K1079" s="102" t="s">
        <v>1614</v>
      </c>
      <c r="L1079" s="90" t="s">
        <v>8</v>
      </c>
    </row>
    <row r="1080" spans="1:20" x14ac:dyDescent="0.3">
      <c r="B1080" s="90">
        <v>325253</v>
      </c>
      <c r="C1080" s="99">
        <v>325227</v>
      </c>
      <c r="D1080" s="90" t="s">
        <v>6</v>
      </c>
      <c r="E1080" s="90" t="s">
        <v>7</v>
      </c>
      <c r="F1080" s="100" t="s">
        <v>939</v>
      </c>
      <c r="G1080" s="101" t="s">
        <v>8</v>
      </c>
      <c r="H1080" s="101">
        <v>13</v>
      </c>
      <c r="K1080" s="102" t="s">
        <v>1614</v>
      </c>
      <c r="L1080" s="90" t="s">
        <v>8</v>
      </c>
    </row>
    <row r="1081" spans="1:20" x14ac:dyDescent="0.3">
      <c r="A1081" s="132" t="s">
        <v>32</v>
      </c>
      <c r="B1081" s="90">
        <v>325251</v>
      </c>
      <c r="C1081" s="99">
        <v>325227</v>
      </c>
      <c r="D1081" s="90" t="s">
        <v>6</v>
      </c>
      <c r="E1081" s="90" t="s">
        <v>7</v>
      </c>
      <c r="F1081" s="100" t="s">
        <v>940</v>
      </c>
      <c r="G1081" s="101" t="s">
        <v>8</v>
      </c>
      <c r="H1081" s="101">
        <v>8</v>
      </c>
      <c r="K1081" s="102" t="s">
        <v>1614</v>
      </c>
      <c r="L1081" s="90" t="s">
        <v>8</v>
      </c>
    </row>
    <row r="1082" spans="1:20" x14ac:dyDescent="0.3">
      <c r="B1082" s="90">
        <v>325250</v>
      </c>
      <c r="C1082" s="99">
        <v>325227</v>
      </c>
      <c r="D1082" s="90" t="s">
        <v>6</v>
      </c>
      <c r="E1082" s="90" t="s">
        <v>7</v>
      </c>
      <c r="F1082" s="100" t="s">
        <v>941</v>
      </c>
      <c r="G1082" s="101" t="s">
        <v>8</v>
      </c>
      <c r="H1082" s="101">
        <v>3</v>
      </c>
      <c r="K1082" s="102" t="s">
        <v>1614</v>
      </c>
      <c r="L1082" s="90" t="s">
        <v>8</v>
      </c>
    </row>
    <row r="1083" spans="1:20" x14ac:dyDescent="0.3">
      <c r="B1083" s="90">
        <v>325249</v>
      </c>
      <c r="C1083" s="99">
        <v>325126</v>
      </c>
      <c r="D1083" s="90" t="s">
        <v>6</v>
      </c>
      <c r="E1083" s="90" t="s">
        <v>7</v>
      </c>
      <c r="F1083" s="100" t="s">
        <v>942</v>
      </c>
      <c r="G1083" s="101" t="s">
        <v>8</v>
      </c>
      <c r="H1083" s="101">
        <v>13</v>
      </c>
      <c r="K1083" s="102" t="s">
        <v>1614</v>
      </c>
      <c r="L1083" s="90" t="s">
        <v>8</v>
      </c>
    </row>
    <row r="1084" spans="1:20" x14ac:dyDescent="0.3">
      <c r="B1084" s="120">
        <v>325248</v>
      </c>
      <c r="C1084" s="121">
        <v>325227</v>
      </c>
      <c r="D1084" s="120" t="s">
        <v>6</v>
      </c>
      <c r="E1084" s="120" t="s">
        <v>7</v>
      </c>
      <c r="F1084" s="122" t="s">
        <v>943</v>
      </c>
      <c r="G1084" s="123" t="s">
        <v>8</v>
      </c>
      <c r="H1084" s="123">
        <v>3</v>
      </c>
      <c r="I1084" s="124"/>
      <c r="J1084" s="124"/>
      <c r="K1084" s="124" t="s">
        <v>1614</v>
      </c>
      <c r="L1084" s="120" t="s">
        <v>8</v>
      </c>
      <c r="M1084" s="120"/>
      <c r="N1084" s="124"/>
      <c r="O1084" s="120"/>
      <c r="P1084" s="120"/>
      <c r="Q1084" s="120"/>
      <c r="R1084" s="120"/>
      <c r="S1084" s="120"/>
      <c r="T1084" s="120"/>
    </row>
    <row r="1085" spans="1:20" x14ac:dyDescent="0.3">
      <c r="B1085" s="90">
        <v>325247</v>
      </c>
      <c r="C1085" s="99">
        <v>325126</v>
      </c>
      <c r="D1085" s="90" t="s">
        <v>6</v>
      </c>
      <c r="E1085" s="90" t="s">
        <v>7</v>
      </c>
      <c r="F1085" s="100" t="s">
        <v>944</v>
      </c>
      <c r="G1085" s="101" t="s">
        <v>8</v>
      </c>
      <c r="H1085" s="101">
        <v>13</v>
      </c>
      <c r="K1085" s="102" t="s">
        <v>1614</v>
      </c>
      <c r="L1085" s="90" t="s">
        <v>8</v>
      </c>
    </row>
    <row r="1086" spans="1:20" ht="28.8" x14ac:dyDescent="0.3">
      <c r="B1086" s="120">
        <v>325246</v>
      </c>
      <c r="C1086" s="121">
        <v>325126</v>
      </c>
      <c r="D1086" s="120" t="s">
        <v>6</v>
      </c>
      <c r="E1086" s="120" t="s">
        <v>7</v>
      </c>
      <c r="F1086" s="122" t="s">
        <v>945</v>
      </c>
      <c r="G1086" s="123" t="s">
        <v>8</v>
      </c>
      <c r="H1086" s="123">
        <v>5</v>
      </c>
      <c r="I1086" s="124"/>
      <c r="J1086" s="124"/>
      <c r="K1086" s="124" t="s">
        <v>1614</v>
      </c>
      <c r="L1086" s="120" t="s">
        <v>8</v>
      </c>
      <c r="M1086" s="120"/>
      <c r="N1086" s="124"/>
      <c r="O1086" s="120"/>
      <c r="P1086" s="120"/>
      <c r="Q1086" s="120"/>
      <c r="R1086" s="120"/>
      <c r="S1086" s="120"/>
      <c r="T1086" s="120"/>
    </row>
    <row r="1087" spans="1:20" x14ac:dyDescent="0.3">
      <c r="A1087" s="96"/>
      <c r="B1087" s="120">
        <v>325241</v>
      </c>
      <c r="C1087" s="121">
        <v>325227</v>
      </c>
      <c r="D1087" s="120" t="s">
        <v>344</v>
      </c>
      <c r="E1087" s="120" t="s">
        <v>7</v>
      </c>
      <c r="F1087" s="122" t="s">
        <v>733</v>
      </c>
      <c r="G1087" s="123" t="s">
        <v>8</v>
      </c>
      <c r="H1087" s="123"/>
      <c r="I1087" s="124"/>
      <c r="J1087" s="124"/>
      <c r="K1087" s="124" t="s">
        <v>8</v>
      </c>
      <c r="L1087" s="120" t="s">
        <v>8</v>
      </c>
      <c r="M1087" s="120"/>
      <c r="N1087" s="124"/>
      <c r="O1087" s="120"/>
      <c r="P1087" s="120"/>
      <c r="Q1087" s="120"/>
      <c r="R1087" s="120"/>
      <c r="S1087" s="120"/>
      <c r="T1087" s="120"/>
    </row>
    <row r="1088" spans="1:20" ht="28.8" x14ac:dyDescent="0.3">
      <c r="B1088" s="120">
        <v>325240</v>
      </c>
      <c r="C1088" s="121">
        <v>325227</v>
      </c>
      <c r="D1088" s="120" t="s">
        <v>6</v>
      </c>
      <c r="E1088" s="120" t="s">
        <v>7</v>
      </c>
      <c r="F1088" s="122" t="s">
        <v>946</v>
      </c>
      <c r="G1088" s="123" t="s">
        <v>8</v>
      </c>
      <c r="H1088" s="123">
        <v>5</v>
      </c>
      <c r="I1088" s="124"/>
      <c r="J1088" s="124"/>
      <c r="K1088" s="124" t="s">
        <v>1614</v>
      </c>
      <c r="L1088" s="120" t="s">
        <v>8</v>
      </c>
      <c r="M1088" s="120"/>
      <c r="N1088" s="124"/>
      <c r="O1088" s="120"/>
      <c r="P1088" s="120"/>
      <c r="Q1088" s="120"/>
      <c r="R1088" s="120"/>
      <c r="S1088" s="120"/>
      <c r="T1088" s="120"/>
    </row>
    <row r="1089" spans="1:20" ht="28.8" x14ac:dyDescent="0.3">
      <c r="B1089" s="120">
        <v>325239</v>
      </c>
      <c r="C1089" s="121">
        <v>325227</v>
      </c>
      <c r="D1089" s="120" t="s">
        <v>6</v>
      </c>
      <c r="E1089" s="120" t="s">
        <v>7</v>
      </c>
      <c r="F1089" s="122" t="s">
        <v>947</v>
      </c>
      <c r="G1089" s="123" t="s">
        <v>8</v>
      </c>
      <c r="H1089" s="123">
        <v>5</v>
      </c>
      <c r="I1089" s="124"/>
      <c r="J1089" s="124"/>
      <c r="K1089" s="124" t="s">
        <v>1614</v>
      </c>
      <c r="L1089" s="120" t="s">
        <v>8</v>
      </c>
      <c r="M1089" s="120"/>
      <c r="N1089" s="124"/>
      <c r="O1089" s="120"/>
      <c r="P1089" s="120"/>
      <c r="Q1089" s="120"/>
      <c r="R1089" s="120"/>
      <c r="S1089" s="120"/>
      <c r="T1089" s="120"/>
    </row>
    <row r="1090" spans="1:20" x14ac:dyDescent="0.3">
      <c r="B1090" s="120">
        <v>325238</v>
      </c>
      <c r="C1090" s="121">
        <v>325227</v>
      </c>
      <c r="D1090" s="120" t="s">
        <v>6</v>
      </c>
      <c r="E1090" s="120" t="s">
        <v>7</v>
      </c>
      <c r="F1090" s="122" t="s">
        <v>948</v>
      </c>
      <c r="G1090" s="123" t="s">
        <v>8</v>
      </c>
      <c r="H1090" s="123">
        <v>1</v>
      </c>
      <c r="I1090" s="124"/>
      <c r="J1090" s="124" t="s">
        <v>949</v>
      </c>
      <c r="K1090" s="124" t="s">
        <v>1614</v>
      </c>
      <c r="L1090" s="120" t="s">
        <v>8</v>
      </c>
      <c r="M1090" s="120"/>
      <c r="N1090" s="124"/>
      <c r="O1090" s="120"/>
      <c r="P1090" s="120"/>
      <c r="Q1090" s="120"/>
      <c r="R1090" s="120"/>
      <c r="S1090" s="120"/>
      <c r="T1090" s="120"/>
    </row>
    <row r="1091" spans="1:20" x14ac:dyDescent="0.3">
      <c r="B1091" s="120">
        <v>325236</v>
      </c>
      <c r="C1091" s="121">
        <v>325227</v>
      </c>
      <c r="D1091" s="120" t="s">
        <v>6</v>
      </c>
      <c r="E1091" s="120" t="s">
        <v>7</v>
      </c>
      <c r="F1091" s="122" t="s">
        <v>950</v>
      </c>
      <c r="G1091" s="123" t="s">
        <v>8</v>
      </c>
      <c r="H1091" s="123">
        <v>1</v>
      </c>
      <c r="I1091" s="124"/>
      <c r="J1091" s="124"/>
      <c r="K1091" s="124" t="s">
        <v>1614</v>
      </c>
      <c r="L1091" s="120" t="s">
        <v>8</v>
      </c>
      <c r="M1091" s="120"/>
      <c r="N1091" s="124"/>
      <c r="O1091" s="120"/>
      <c r="P1091" s="120"/>
      <c r="Q1091" s="120"/>
      <c r="R1091" s="120"/>
      <c r="S1091" s="120"/>
      <c r="T1091" s="120"/>
    </row>
    <row r="1092" spans="1:20" ht="28.8" x14ac:dyDescent="0.3">
      <c r="B1092" s="120">
        <v>325235</v>
      </c>
      <c r="C1092" s="121">
        <v>325227</v>
      </c>
      <c r="D1092" s="120" t="s">
        <v>6</v>
      </c>
      <c r="E1092" s="120" t="s">
        <v>7</v>
      </c>
      <c r="F1092" s="122" t="s">
        <v>951</v>
      </c>
      <c r="G1092" s="123" t="s">
        <v>8</v>
      </c>
      <c r="H1092" s="123">
        <v>3</v>
      </c>
      <c r="I1092" s="124"/>
      <c r="J1092" s="124" t="s">
        <v>952</v>
      </c>
      <c r="K1092" s="124" t="s">
        <v>1634</v>
      </c>
      <c r="L1092" s="120" t="s">
        <v>8</v>
      </c>
      <c r="M1092" s="120"/>
      <c r="N1092" s="124"/>
      <c r="O1092" s="120"/>
      <c r="P1092" s="120"/>
      <c r="Q1092" s="120"/>
      <c r="R1092" s="120"/>
      <c r="S1092" s="120"/>
      <c r="T1092" s="120"/>
    </row>
    <row r="1093" spans="1:20" ht="28.8" x14ac:dyDescent="0.3">
      <c r="B1093" s="120">
        <v>325234</v>
      </c>
      <c r="C1093" s="121">
        <v>325227</v>
      </c>
      <c r="D1093" s="120" t="s">
        <v>6</v>
      </c>
      <c r="E1093" s="120" t="s">
        <v>7</v>
      </c>
      <c r="F1093" s="122" t="s">
        <v>953</v>
      </c>
      <c r="G1093" s="123" t="s">
        <v>8</v>
      </c>
      <c r="H1093" s="123">
        <v>2</v>
      </c>
      <c r="I1093" s="124"/>
      <c r="J1093" s="124"/>
      <c r="K1093" s="124" t="s">
        <v>1614</v>
      </c>
      <c r="L1093" s="120" t="s">
        <v>8</v>
      </c>
      <c r="M1093" s="120"/>
      <c r="N1093" s="124"/>
      <c r="O1093" s="120"/>
      <c r="P1093" s="120"/>
      <c r="Q1093" s="120"/>
      <c r="R1093" s="120"/>
      <c r="S1093" s="120"/>
      <c r="T1093" s="120"/>
    </row>
    <row r="1094" spans="1:20" x14ac:dyDescent="0.3">
      <c r="B1094" s="120">
        <v>325233</v>
      </c>
      <c r="C1094" s="121">
        <v>325227</v>
      </c>
      <c r="D1094" s="120" t="s">
        <v>6</v>
      </c>
      <c r="E1094" s="120" t="s">
        <v>7</v>
      </c>
      <c r="F1094" s="122" t="s">
        <v>954</v>
      </c>
      <c r="G1094" s="123" t="s">
        <v>8</v>
      </c>
      <c r="H1094" s="123">
        <v>5</v>
      </c>
      <c r="I1094" s="124"/>
      <c r="J1094" s="124" t="s">
        <v>955</v>
      </c>
      <c r="K1094" s="124" t="s">
        <v>1614</v>
      </c>
      <c r="L1094" s="120" t="s">
        <v>8</v>
      </c>
      <c r="M1094" s="120"/>
      <c r="N1094" s="124"/>
      <c r="O1094" s="120"/>
      <c r="P1094" s="120"/>
      <c r="Q1094" s="120"/>
      <c r="R1094" s="120"/>
      <c r="S1094" s="120"/>
      <c r="T1094" s="120"/>
    </row>
    <row r="1095" spans="1:20" x14ac:dyDescent="0.3">
      <c r="B1095" s="120">
        <v>325232</v>
      </c>
      <c r="C1095" s="121">
        <v>325227</v>
      </c>
      <c r="D1095" s="120" t="s">
        <v>6</v>
      </c>
      <c r="E1095" s="120" t="s">
        <v>7</v>
      </c>
      <c r="F1095" s="122" t="s">
        <v>956</v>
      </c>
      <c r="G1095" s="123" t="s">
        <v>8</v>
      </c>
      <c r="H1095" s="123">
        <v>2</v>
      </c>
      <c r="I1095" s="124"/>
      <c r="J1095" s="124"/>
      <c r="K1095" s="124" t="s">
        <v>1614</v>
      </c>
      <c r="L1095" s="120" t="s">
        <v>8</v>
      </c>
      <c r="M1095" s="120"/>
      <c r="N1095" s="124"/>
      <c r="O1095" s="120"/>
      <c r="P1095" s="120"/>
      <c r="Q1095" s="120"/>
      <c r="R1095" s="120"/>
      <c r="S1095" s="120"/>
      <c r="T1095" s="120"/>
    </row>
    <row r="1096" spans="1:20" ht="28.8" x14ac:dyDescent="0.3">
      <c r="B1096" s="120">
        <v>325231</v>
      </c>
      <c r="C1096" s="121">
        <v>325227</v>
      </c>
      <c r="D1096" s="120" t="s">
        <v>6</v>
      </c>
      <c r="E1096" s="120" t="s">
        <v>7</v>
      </c>
      <c r="F1096" s="122" t="s">
        <v>957</v>
      </c>
      <c r="G1096" s="123" t="s">
        <v>8</v>
      </c>
      <c r="H1096" s="123">
        <v>3</v>
      </c>
      <c r="I1096" s="124"/>
      <c r="J1096" s="124"/>
      <c r="K1096" s="124" t="s">
        <v>1614</v>
      </c>
      <c r="L1096" s="120" t="s">
        <v>8</v>
      </c>
      <c r="M1096" s="120"/>
      <c r="N1096" s="124"/>
      <c r="O1096" s="120"/>
      <c r="P1096" s="120"/>
      <c r="Q1096" s="120"/>
      <c r="R1096" s="120"/>
      <c r="S1096" s="120"/>
      <c r="T1096" s="120"/>
    </row>
    <row r="1097" spans="1:20" x14ac:dyDescent="0.3">
      <c r="B1097" s="120">
        <v>325230</v>
      </c>
      <c r="C1097" s="121">
        <v>325227</v>
      </c>
      <c r="D1097" s="120" t="s">
        <v>6</v>
      </c>
      <c r="E1097" s="120" t="s">
        <v>7</v>
      </c>
      <c r="F1097" s="122" t="s">
        <v>958</v>
      </c>
      <c r="G1097" s="123" t="s">
        <v>8</v>
      </c>
      <c r="H1097" s="123">
        <v>8</v>
      </c>
      <c r="I1097" s="124"/>
      <c r="J1097" s="124" t="s">
        <v>959</v>
      </c>
      <c r="K1097" s="124" t="s">
        <v>1614</v>
      </c>
      <c r="L1097" s="120" t="s">
        <v>8</v>
      </c>
      <c r="M1097" s="120"/>
      <c r="N1097" s="124"/>
      <c r="O1097" s="120"/>
      <c r="P1097" s="120"/>
      <c r="Q1097" s="120"/>
      <c r="R1097" s="120"/>
      <c r="S1097" s="120"/>
      <c r="T1097" s="120"/>
    </row>
    <row r="1098" spans="1:20" x14ac:dyDescent="0.3">
      <c r="B1098" s="120">
        <v>325229</v>
      </c>
      <c r="C1098" s="121">
        <v>325227</v>
      </c>
      <c r="D1098" s="120" t="s">
        <v>6</v>
      </c>
      <c r="E1098" s="120" t="s">
        <v>7</v>
      </c>
      <c r="F1098" s="122" t="s">
        <v>960</v>
      </c>
      <c r="G1098" s="123" t="s">
        <v>8</v>
      </c>
      <c r="H1098" s="123">
        <v>1</v>
      </c>
      <c r="I1098" s="124"/>
      <c r="J1098" s="124" t="s">
        <v>961</v>
      </c>
      <c r="K1098" s="124" t="s">
        <v>1614</v>
      </c>
      <c r="L1098" s="120" t="s">
        <v>8</v>
      </c>
      <c r="M1098" s="120"/>
      <c r="N1098" s="124"/>
      <c r="O1098" s="120"/>
      <c r="P1098" s="120"/>
      <c r="Q1098" s="120"/>
      <c r="R1098" s="120"/>
      <c r="S1098" s="120"/>
      <c r="T1098" s="120"/>
    </row>
    <row r="1099" spans="1:20" x14ac:dyDescent="0.3">
      <c r="B1099" s="120">
        <v>325228</v>
      </c>
      <c r="C1099" s="121">
        <v>325227</v>
      </c>
      <c r="D1099" s="120" t="s">
        <v>6</v>
      </c>
      <c r="E1099" s="120" t="s">
        <v>7</v>
      </c>
      <c r="F1099" s="122" t="s">
        <v>962</v>
      </c>
      <c r="G1099" s="123" t="s">
        <v>8</v>
      </c>
      <c r="H1099" s="123">
        <v>2</v>
      </c>
      <c r="I1099" s="124"/>
      <c r="J1099" s="124"/>
      <c r="K1099" s="124" t="s">
        <v>1614</v>
      </c>
      <c r="L1099" s="120" t="s">
        <v>8</v>
      </c>
      <c r="M1099" s="120"/>
      <c r="N1099" s="124"/>
      <c r="O1099" s="120"/>
      <c r="P1099" s="120"/>
      <c r="Q1099" s="120"/>
      <c r="R1099" s="120"/>
      <c r="S1099" s="120"/>
      <c r="T1099" s="120"/>
    </row>
    <row r="1100" spans="1:20" x14ac:dyDescent="0.3">
      <c r="B1100" s="120">
        <v>325211</v>
      </c>
      <c r="C1100" s="121">
        <v>325126</v>
      </c>
      <c r="D1100" s="120" t="s">
        <v>6</v>
      </c>
      <c r="E1100" s="120" t="s">
        <v>7</v>
      </c>
      <c r="F1100" s="122" t="s">
        <v>964</v>
      </c>
      <c r="G1100" s="123" t="s">
        <v>8</v>
      </c>
      <c r="H1100" s="123">
        <v>8</v>
      </c>
      <c r="I1100" s="124"/>
      <c r="J1100" s="124"/>
      <c r="K1100" s="124" t="s">
        <v>1614</v>
      </c>
      <c r="L1100" s="120" t="s">
        <v>8</v>
      </c>
      <c r="M1100" s="120"/>
      <c r="N1100" s="124"/>
      <c r="O1100" s="120"/>
      <c r="P1100" s="120"/>
      <c r="Q1100" s="120"/>
      <c r="R1100" s="120"/>
      <c r="S1100" s="120"/>
      <c r="T1100" s="120"/>
    </row>
    <row r="1101" spans="1:20" x14ac:dyDescent="0.3">
      <c r="B1101" s="120">
        <v>325210</v>
      </c>
      <c r="C1101" s="121">
        <v>325126</v>
      </c>
      <c r="D1101" s="120" t="s">
        <v>6</v>
      </c>
      <c r="E1101" s="120" t="s">
        <v>7</v>
      </c>
      <c r="F1101" s="122" t="s">
        <v>965</v>
      </c>
      <c r="G1101" s="123" t="s">
        <v>8</v>
      </c>
      <c r="H1101" s="123">
        <v>2</v>
      </c>
      <c r="I1101" s="124"/>
      <c r="J1101" s="124"/>
      <c r="K1101" s="124" t="s">
        <v>1614</v>
      </c>
      <c r="L1101" s="120" t="s">
        <v>8</v>
      </c>
      <c r="M1101" s="120"/>
      <c r="N1101" s="124"/>
      <c r="O1101" s="120"/>
      <c r="P1101" s="120"/>
      <c r="Q1101" s="120"/>
      <c r="R1101" s="120"/>
      <c r="S1101" s="120"/>
      <c r="T1101" s="120"/>
    </row>
    <row r="1102" spans="1:20" ht="28.8" x14ac:dyDescent="0.3">
      <c r="B1102" s="120">
        <v>325178</v>
      </c>
      <c r="C1102" s="121">
        <v>325142</v>
      </c>
      <c r="D1102" s="120" t="s">
        <v>6</v>
      </c>
      <c r="E1102" s="120" t="s">
        <v>7</v>
      </c>
      <c r="F1102" s="122" t="s">
        <v>966</v>
      </c>
      <c r="G1102" s="123" t="s">
        <v>8</v>
      </c>
      <c r="H1102" s="123">
        <v>5</v>
      </c>
      <c r="I1102" s="124"/>
      <c r="J1102" s="124"/>
      <c r="K1102" s="124" t="s">
        <v>1614</v>
      </c>
      <c r="L1102" s="120" t="s">
        <v>8</v>
      </c>
      <c r="M1102" s="120"/>
      <c r="N1102" s="124"/>
      <c r="O1102" s="120"/>
      <c r="P1102" s="120"/>
      <c r="Q1102" s="120"/>
      <c r="R1102" s="120"/>
      <c r="S1102" s="120"/>
      <c r="T1102" s="120"/>
    </row>
    <row r="1103" spans="1:20" x14ac:dyDescent="0.3">
      <c r="B1103" s="120">
        <v>325176</v>
      </c>
      <c r="C1103" s="121">
        <v>325142</v>
      </c>
      <c r="D1103" s="120" t="s">
        <v>6</v>
      </c>
      <c r="E1103" s="120" t="s">
        <v>7</v>
      </c>
      <c r="F1103" s="122" t="s">
        <v>967</v>
      </c>
      <c r="G1103" s="123" t="s">
        <v>8</v>
      </c>
      <c r="H1103" s="123">
        <v>8</v>
      </c>
      <c r="I1103" s="124"/>
      <c r="J1103" s="124"/>
      <c r="K1103" s="124" t="s">
        <v>1614</v>
      </c>
      <c r="L1103" s="120" t="s">
        <v>8</v>
      </c>
      <c r="M1103" s="120"/>
      <c r="N1103" s="124"/>
      <c r="O1103" s="120"/>
      <c r="P1103" s="120"/>
      <c r="Q1103" s="120"/>
      <c r="R1103" s="120"/>
      <c r="S1103" s="120"/>
      <c r="T1103" s="120"/>
    </row>
    <row r="1104" spans="1:20" x14ac:dyDescent="0.3">
      <c r="A1104" s="96"/>
      <c r="B1104" s="120">
        <v>325174</v>
      </c>
      <c r="C1104" s="121">
        <v>325126</v>
      </c>
      <c r="D1104" s="120" t="s">
        <v>6</v>
      </c>
      <c r="E1104" s="120" t="s">
        <v>7</v>
      </c>
      <c r="F1104" s="122" t="s">
        <v>968</v>
      </c>
      <c r="G1104" s="123" t="s">
        <v>8</v>
      </c>
      <c r="H1104" s="123">
        <v>8</v>
      </c>
      <c r="I1104" s="124"/>
      <c r="J1104" s="124"/>
      <c r="K1104" s="124" t="s">
        <v>1614</v>
      </c>
      <c r="L1104" s="120" t="s">
        <v>8</v>
      </c>
      <c r="M1104" s="120"/>
      <c r="N1104" s="124"/>
      <c r="O1104" s="120"/>
      <c r="P1104" s="120"/>
      <c r="Q1104" s="120"/>
      <c r="R1104" s="120"/>
      <c r="S1104" s="120"/>
      <c r="T1104" s="120"/>
    </row>
    <row r="1105" spans="1:20" x14ac:dyDescent="0.3">
      <c r="B1105" s="120">
        <v>325173</v>
      </c>
      <c r="C1105" s="121">
        <v>325126</v>
      </c>
      <c r="D1105" s="120" t="s">
        <v>6</v>
      </c>
      <c r="E1105" s="120" t="s">
        <v>7</v>
      </c>
      <c r="F1105" s="122" t="s">
        <v>969</v>
      </c>
      <c r="G1105" s="123" t="s">
        <v>8</v>
      </c>
      <c r="H1105" s="123">
        <v>5</v>
      </c>
      <c r="I1105" s="124"/>
      <c r="J1105" s="124"/>
      <c r="K1105" s="124" t="s">
        <v>1614</v>
      </c>
      <c r="L1105" s="120" t="s">
        <v>8</v>
      </c>
      <c r="M1105" s="120"/>
      <c r="N1105" s="124"/>
      <c r="O1105" s="120"/>
      <c r="P1105" s="120"/>
      <c r="Q1105" s="120"/>
      <c r="R1105" s="120"/>
      <c r="S1105" s="120"/>
      <c r="T1105" s="120"/>
    </row>
    <row r="1106" spans="1:20" x14ac:dyDescent="0.3">
      <c r="B1106" s="120">
        <v>325171</v>
      </c>
      <c r="C1106" s="121">
        <v>325142</v>
      </c>
      <c r="D1106" s="120" t="s">
        <v>6</v>
      </c>
      <c r="E1106" s="120" t="s">
        <v>7</v>
      </c>
      <c r="F1106" s="122" t="s">
        <v>970</v>
      </c>
      <c r="G1106" s="123" t="s">
        <v>8</v>
      </c>
      <c r="H1106" s="123">
        <v>8</v>
      </c>
      <c r="I1106" s="124"/>
      <c r="J1106" s="124"/>
      <c r="K1106" s="124" t="s">
        <v>1614</v>
      </c>
      <c r="L1106" s="120" t="s">
        <v>8</v>
      </c>
      <c r="M1106" s="120"/>
      <c r="N1106" s="124"/>
      <c r="O1106" s="120"/>
      <c r="P1106" s="120"/>
      <c r="Q1106" s="120"/>
      <c r="R1106" s="120"/>
      <c r="S1106" s="120"/>
      <c r="T1106" s="120"/>
    </row>
    <row r="1107" spans="1:20" x14ac:dyDescent="0.3">
      <c r="B1107" s="120">
        <v>325170</v>
      </c>
      <c r="C1107" s="121">
        <v>325126</v>
      </c>
      <c r="D1107" s="120" t="s">
        <v>6</v>
      </c>
      <c r="E1107" s="120" t="s">
        <v>7</v>
      </c>
      <c r="F1107" s="122" t="s">
        <v>971</v>
      </c>
      <c r="G1107" s="123" t="s">
        <v>8</v>
      </c>
      <c r="H1107" s="123">
        <v>8</v>
      </c>
      <c r="I1107" s="124"/>
      <c r="J1107" s="124"/>
      <c r="K1107" s="124" t="s">
        <v>1614</v>
      </c>
      <c r="L1107" s="120" t="s">
        <v>8</v>
      </c>
      <c r="M1107" s="120"/>
      <c r="N1107" s="124"/>
      <c r="O1107" s="120"/>
      <c r="P1107" s="120"/>
      <c r="Q1107" s="120"/>
      <c r="R1107" s="120"/>
      <c r="S1107" s="120"/>
      <c r="T1107" s="120"/>
    </row>
    <row r="1108" spans="1:20" x14ac:dyDescent="0.3">
      <c r="B1108" s="120">
        <v>325167</v>
      </c>
      <c r="C1108" s="121">
        <v>325126</v>
      </c>
      <c r="D1108" s="120" t="s">
        <v>6</v>
      </c>
      <c r="E1108" s="120" t="s">
        <v>7</v>
      </c>
      <c r="F1108" s="122" t="s">
        <v>972</v>
      </c>
      <c r="G1108" s="123" t="s">
        <v>8</v>
      </c>
      <c r="H1108" s="123">
        <v>2</v>
      </c>
      <c r="I1108" s="124"/>
      <c r="J1108" s="124"/>
      <c r="K1108" s="124" t="s">
        <v>1614</v>
      </c>
      <c r="L1108" s="120" t="s">
        <v>8</v>
      </c>
      <c r="M1108" s="120"/>
      <c r="N1108" s="124"/>
      <c r="O1108" s="120"/>
      <c r="P1108" s="120"/>
      <c r="Q1108" s="120"/>
      <c r="R1108" s="120"/>
      <c r="S1108" s="120"/>
      <c r="T1108" s="120"/>
    </row>
    <row r="1109" spans="1:20" x14ac:dyDescent="0.3">
      <c r="B1109" s="120">
        <v>325166</v>
      </c>
      <c r="C1109" s="121">
        <v>325142</v>
      </c>
      <c r="D1109" s="120" t="s">
        <v>6</v>
      </c>
      <c r="E1109" s="120" t="s">
        <v>7</v>
      </c>
      <c r="F1109" s="122" t="s">
        <v>973</v>
      </c>
      <c r="G1109" s="123" t="s">
        <v>8</v>
      </c>
      <c r="H1109" s="123">
        <v>8</v>
      </c>
      <c r="I1109" s="124"/>
      <c r="J1109" s="124"/>
      <c r="K1109" s="124" t="s">
        <v>1614</v>
      </c>
      <c r="L1109" s="120" t="s">
        <v>8</v>
      </c>
      <c r="M1109" s="120"/>
      <c r="N1109" s="124"/>
      <c r="O1109" s="120"/>
      <c r="P1109" s="120"/>
      <c r="Q1109" s="120"/>
      <c r="R1109" s="120"/>
      <c r="S1109" s="120"/>
      <c r="T1109" s="120"/>
    </row>
    <row r="1110" spans="1:20" x14ac:dyDescent="0.3">
      <c r="B1110" s="120">
        <v>325165</v>
      </c>
      <c r="C1110" s="121">
        <v>325126</v>
      </c>
      <c r="D1110" s="120" t="s">
        <v>6</v>
      </c>
      <c r="E1110" s="120" t="s">
        <v>7</v>
      </c>
      <c r="F1110" s="122" t="s">
        <v>974</v>
      </c>
      <c r="G1110" s="123" t="s">
        <v>8</v>
      </c>
      <c r="H1110" s="123">
        <v>3</v>
      </c>
      <c r="I1110" s="124"/>
      <c r="J1110" s="124"/>
      <c r="K1110" s="124" t="s">
        <v>1614</v>
      </c>
      <c r="L1110" s="120" t="s">
        <v>8</v>
      </c>
      <c r="M1110" s="120"/>
      <c r="N1110" s="124"/>
      <c r="O1110" s="120"/>
      <c r="P1110" s="120"/>
      <c r="Q1110" s="120"/>
      <c r="R1110" s="120"/>
      <c r="S1110" s="120"/>
      <c r="T1110" s="120"/>
    </row>
    <row r="1111" spans="1:20" x14ac:dyDescent="0.3">
      <c r="B1111" s="120">
        <v>325164</v>
      </c>
      <c r="C1111" s="121">
        <v>325126</v>
      </c>
      <c r="D1111" s="120" t="s">
        <v>6</v>
      </c>
      <c r="E1111" s="120" t="s">
        <v>7</v>
      </c>
      <c r="F1111" s="122" t="s">
        <v>975</v>
      </c>
      <c r="G1111" s="123" t="s">
        <v>8</v>
      </c>
      <c r="H1111" s="123">
        <v>5</v>
      </c>
      <c r="I1111" s="124"/>
      <c r="J1111" s="124"/>
      <c r="K1111" s="124" t="s">
        <v>1614</v>
      </c>
      <c r="L1111" s="120" t="s">
        <v>8</v>
      </c>
      <c r="M1111" s="120"/>
      <c r="N1111" s="124"/>
      <c r="O1111" s="120"/>
      <c r="P1111" s="120"/>
      <c r="Q1111" s="120"/>
      <c r="R1111" s="120"/>
      <c r="S1111" s="120"/>
      <c r="T1111" s="120"/>
    </row>
    <row r="1112" spans="1:20" x14ac:dyDescent="0.3">
      <c r="B1112" s="90">
        <v>325161</v>
      </c>
      <c r="C1112" s="99">
        <v>325126</v>
      </c>
      <c r="D1112" s="90" t="s">
        <v>6</v>
      </c>
      <c r="E1112" s="90" t="s">
        <v>7</v>
      </c>
      <c r="F1112" s="100" t="s">
        <v>976</v>
      </c>
      <c r="G1112" s="101" t="s">
        <v>8</v>
      </c>
      <c r="H1112" s="101">
        <v>3</v>
      </c>
      <c r="K1112" s="102" t="s">
        <v>1614</v>
      </c>
      <c r="L1112" s="90" t="s">
        <v>8</v>
      </c>
    </row>
    <row r="1113" spans="1:20" x14ac:dyDescent="0.3">
      <c r="B1113" s="90">
        <v>325156</v>
      </c>
      <c r="C1113" s="99">
        <v>325142</v>
      </c>
      <c r="D1113" s="90" t="s">
        <v>344</v>
      </c>
      <c r="E1113" s="90" t="s">
        <v>7</v>
      </c>
      <c r="F1113" s="100" t="s">
        <v>733</v>
      </c>
      <c r="G1113" s="101" t="s">
        <v>8</v>
      </c>
      <c r="K1113" s="102" t="s">
        <v>8</v>
      </c>
      <c r="L1113" s="90" t="s">
        <v>8</v>
      </c>
    </row>
    <row r="1114" spans="1:20" ht="28.8" x14ac:dyDescent="0.3">
      <c r="B1114" s="90">
        <v>325155</v>
      </c>
      <c r="C1114" s="99">
        <v>325142</v>
      </c>
      <c r="D1114" s="90" t="s">
        <v>6</v>
      </c>
      <c r="E1114" s="90" t="s">
        <v>7</v>
      </c>
      <c r="F1114" s="100" t="s">
        <v>977</v>
      </c>
      <c r="G1114" s="101" t="s">
        <v>8</v>
      </c>
      <c r="H1114" s="101">
        <v>5</v>
      </c>
      <c r="K1114" s="102" t="s">
        <v>1614</v>
      </c>
      <c r="L1114" s="90" t="s">
        <v>8</v>
      </c>
    </row>
    <row r="1115" spans="1:20" ht="28.8" x14ac:dyDescent="0.3">
      <c r="B1115" s="90">
        <v>325154</v>
      </c>
      <c r="C1115" s="99">
        <v>325142</v>
      </c>
      <c r="D1115" s="90" t="s">
        <v>6</v>
      </c>
      <c r="E1115" s="90" t="s">
        <v>7</v>
      </c>
      <c r="F1115" s="100" t="s">
        <v>978</v>
      </c>
      <c r="G1115" s="101" t="s">
        <v>8</v>
      </c>
      <c r="H1115" s="101">
        <v>5</v>
      </c>
      <c r="K1115" s="102" t="s">
        <v>1614</v>
      </c>
      <c r="L1115" s="90" t="s">
        <v>8</v>
      </c>
    </row>
    <row r="1116" spans="1:20" x14ac:dyDescent="0.3">
      <c r="B1116" s="90">
        <v>325153</v>
      </c>
      <c r="C1116" s="99">
        <v>325142</v>
      </c>
      <c r="D1116" s="90" t="s">
        <v>6</v>
      </c>
      <c r="E1116" s="90" t="s">
        <v>7</v>
      </c>
      <c r="F1116" s="100" t="s">
        <v>979</v>
      </c>
      <c r="G1116" s="101" t="s">
        <v>8</v>
      </c>
      <c r="H1116" s="101">
        <v>1</v>
      </c>
      <c r="J1116" s="102" t="s">
        <v>980</v>
      </c>
      <c r="K1116" s="102" t="s">
        <v>1614</v>
      </c>
      <c r="L1116" s="90" t="s">
        <v>8</v>
      </c>
    </row>
    <row r="1117" spans="1:20" x14ac:dyDescent="0.3">
      <c r="A1117" s="96"/>
      <c r="B1117" s="90">
        <v>325151</v>
      </c>
      <c r="C1117" s="99">
        <v>325142</v>
      </c>
      <c r="D1117" s="90" t="s">
        <v>6</v>
      </c>
      <c r="E1117" s="90" t="s">
        <v>7</v>
      </c>
      <c r="F1117" s="100" t="s">
        <v>981</v>
      </c>
      <c r="G1117" s="101" t="s">
        <v>8</v>
      </c>
      <c r="H1117" s="101">
        <v>1</v>
      </c>
      <c r="K1117" s="102" t="s">
        <v>1614</v>
      </c>
      <c r="L1117" s="90" t="s">
        <v>8</v>
      </c>
    </row>
    <row r="1118" spans="1:20" ht="28.8" x14ac:dyDescent="0.3">
      <c r="B1118" s="90">
        <v>325150</v>
      </c>
      <c r="C1118" s="99">
        <v>325142</v>
      </c>
      <c r="D1118" s="90" t="s">
        <v>6</v>
      </c>
      <c r="E1118" s="90" t="s">
        <v>7</v>
      </c>
      <c r="F1118" s="100" t="s">
        <v>982</v>
      </c>
      <c r="G1118" s="101" t="s">
        <v>8</v>
      </c>
      <c r="H1118" s="101">
        <v>3</v>
      </c>
      <c r="J1118" s="102" t="s">
        <v>983</v>
      </c>
      <c r="K1118" s="102" t="s">
        <v>1634</v>
      </c>
      <c r="L1118" s="90" t="s">
        <v>8</v>
      </c>
    </row>
    <row r="1119" spans="1:20" ht="28.8" x14ac:dyDescent="0.3">
      <c r="B1119" s="90">
        <v>325149</v>
      </c>
      <c r="C1119" s="99">
        <v>325142</v>
      </c>
      <c r="D1119" s="90" t="s">
        <v>6</v>
      </c>
      <c r="E1119" s="90" t="s">
        <v>7</v>
      </c>
      <c r="F1119" s="100" t="s">
        <v>984</v>
      </c>
      <c r="G1119" s="101" t="s">
        <v>8</v>
      </c>
      <c r="H1119" s="101">
        <v>2</v>
      </c>
      <c r="K1119" s="102" t="s">
        <v>1614</v>
      </c>
      <c r="L1119" s="90" t="s">
        <v>8</v>
      </c>
    </row>
    <row r="1120" spans="1:20" x14ac:dyDescent="0.3">
      <c r="B1120" s="90">
        <v>325148</v>
      </c>
      <c r="C1120" s="99">
        <v>325142</v>
      </c>
      <c r="D1120" s="90" t="s">
        <v>6</v>
      </c>
      <c r="E1120" s="90" t="s">
        <v>7</v>
      </c>
      <c r="F1120" s="100" t="s">
        <v>985</v>
      </c>
      <c r="G1120" s="101" t="s">
        <v>8</v>
      </c>
      <c r="H1120" s="101">
        <v>5</v>
      </c>
      <c r="J1120" s="102" t="s">
        <v>986</v>
      </c>
      <c r="K1120" s="102" t="s">
        <v>1614</v>
      </c>
      <c r="L1120" s="90" t="s">
        <v>8</v>
      </c>
    </row>
    <row r="1121" spans="2:20" x14ac:dyDescent="0.3">
      <c r="B1121" s="120">
        <v>325147</v>
      </c>
      <c r="C1121" s="121">
        <v>325142</v>
      </c>
      <c r="D1121" s="120" t="s">
        <v>6</v>
      </c>
      <c r="E1121" s="120" t="s">
        <v>7</v>
      </c>
      <c r="F1121" s="122" t="s">
        <v>987</v>
      </c>
      <c r="G1121" s="123" t="s">
        <v>8</v>
      </c>
      <c r="H1121" s="123">
        <v>2</v>
      </c>
      <c r="I1121" s="124"/>
      <c r="J1121" s="124"/>
      <c r="K1121" s="124" t="s">
        <v>1614</v>
      </c>
      <c r="L1121" s="120" t="s">
        <v>8</v>
      </c>
      <c r="M1121" s="120"/>
      <c r="N1121" s="124"/>
      <c r="O1121" s="120"/>
      <c r="P1121" s="120"/>
      <c r="Q1121" s="120"/>
      <c r="R1121" s="120"/>
      <c r="S1121" s="120"/>
      <c r="T1121" s="120"/>
    </row>
    <row r="1122" spans="2:20" ht="28.8" x14ac:dyDescent="0.3">
      <c r="B1122" s="120">
        <v>325146</v>
      </c>
      <c r="C1122" s="121">
        <v>325142</v>
      </c>
      <c r="D1122" s="120" t="s">
        <v>6</v>
      </c>
      <c r="E1122" s="120" t="s">
        <v>7</v>
      </c>
      <c r="F1122" s="122" t="s">
        <v>988</v>
      </c>
      <c r="G1122" s="123" t="s">
        <v>8</v>
      </c>
      <c r="H1122" s="123">
        <v>3</v>
      </c>
      <c r="I1122" s="124"/>
      <c r="J1122" s="124"/>
      <c r="K1122" s="124" t="s">
        <v>1614</v>
      </c>
      <c r="L1122" s="120" t="s">
        <v>8</v>
      </c>
      <c r="M1122" s="120"/>
      <c r="N1122" s="124"/>
      <c r="O1122" s="120"/>
      <c r="P1122" s="120"/>
      <c r="Q1122" s="120"/>
      <c r="R1122" s="120"/>
      <c r="S1122" s="120"/>
      <c r="T1122" s="120"/>
    </row>
    <row r="1123" spans="2:20" ht="48.6" customHeight="1" x14ac:dyDescent="0.3">
      <c r="B1123" s="120">
        <v>325145</v>
      </c>
      <c r="C1123" s="121">
        <v>325142</v>
      </c>
      <c r="D1123" s="120" t="s">
        <v>6</v>
      </c>
      <c r="E1123" s="120" t="s">
        <v>7</v>
      </c>
      <c r="F1123" s="122" t="s">
        <v>989</v>
      </c>
      <c r="G1123" s="123" t="s">
        <v>8</v>
      </c>
      <c r="H1123" s="123">
        <v>8</v>
      </c>
      <c r="I1123" s="124"/>
      <c r="J1123" s="124" t="s">
        <v>990</v>
      </c>
      <c r="K1123" s="124" t="s">
        <v>1614</v>
      </c>
      <c r="L1123" s="120" t="s">
        <v>8</v>
      </c>
      <c r="M1123" s="120"/>
      <c r="N1123" s="124"/>
      <c r="O1123" s="120"/>
      <c r="P1123" s="120"/>
      <c r="Q1123" s="120"/>
      <c r="R1123" s="120"/>
      <c r="S1123" s="120"/>
      <c r="T1123" s="120"/>
    </row>
    <row r="1124" spans="2:20" x14ac:dyDescent="0.3">
      <c r="B1124" s="120">
        <v>325144</v>
      </c>
      <c r="C1124" s="121">
        <v>325142</v>
      </c>
      <c r="D1124" s="120" t="s">
        <v>6</v>
      </c>
      <c r="E1124" s="120" t="s">
        <v>7</v>
      </c>
      <c r="F1124" s="122" t="s">
        <v>960</v>
      </c>
      <c r="G1124" s="123" t="s">
        <v>8</v>
      </c>
      <c r="H1124" s="123">
        <v>1</v>
      </c>
      <c r="I1124" s="124"/>
      <c r="J1124" s="124" t="s">
        <v>991</v>
      </c>
      <c r="K1124" s="124" t="s">
        <v>1614</v>
      </c>
      <c r="L1124" s="120" t="s">
        <v>8</v>
      </c>
      <c r="M1124" s="120"/>
      <c r="N1124" s="124"/>
      <c r="O1124" s="120"/>
      <c r="P1124" s="120"/>
      <c r="Q1124" s="120"/>
      <c r="R1124" s="120"/>
      <c r="S1124" s="120"/>
      <c r="T1124" s="120"/>
    </row>
    <row r="1125" spans="2:20" x14ac:dyDescent="0.3">
      <c r="B1125" s="90">
        <v>325143</v>
      </c>
      <c r="C1125" s="99">
        <v>325142</v>
      </c>
      <c r="D1125" s="90" t="s">
        <v>6</v>
      </c>
      <c r="E1125" s="90" t="s">
        <v>7</v>
      </c>
      <c r="F1125" s="100" t="s">
        <v>992</v>
      </c>
      <c r="G1125" s="101" t="s">
        <v>8</v>
      </c>
      <c r="H1125" s="101">
        <v>2</v>
      </c>
      <c r="K1125" s="102" t="s">
        <v>1614</v>
      </c>
      <c r="L1125" s="90" t="s">
        <v>8</v>
      </c>
    </row>
    <row r="1126" spans="2:20" x14ac:dyDescent="0.3">
      <c r="B1126" s="90">
        <v>325140</v>
      </c>
      <c r="C1126" s="99">
        <v>325126</v>
      </c>
      <c r="D1126" s="90" t="s">
        <v>344</v>
      </c>
      <c r="E1126" s="90" t="s">
        <v>7</v>
      </c>
      <c r="F1126" s="100" t="s">
        <v>994</v>
      </c>
      <c r="G1126" s="101" t="s">
        <v>8</v>
      </c>
      <c r="K1126" s="102" t="s">
        <v>8</v>
      </c>
      <c r="L1126" s="90" t="s">
        <v>8</v>
      </c>
    </row>
    <row r="1127" spans="2:20" ht="28.8" x14ac:dyDescent="0.3">
      <c r="B1127" s="120">
        <v>325139</v>
      </c>
      <c r="C1127" s="121">
        <v>325126</v>
      </c>
      <c r="D1127" s="120" t="s">
        <v>6</v>
      </c>
      <c r="E1127" s="120" t="s">
        <v>7</v>
      </c>
      <c r="F1127" s="122" t="s">
        <v>995</v>
      </c>
      <c r="G1127" s="123" t="s">
        <v>8</v>
      </c>
      <c r="H1127" s="123">
        <v>5</v>
      </c>
      <c r="I1127" s="124"/>
      <c r="J1127" s="124"/>
      <c r="K1127" s="124" t="s">
        <v>1614</v>
      </c>
      <c r="L1127" s="120" t="s">
        <v>8</v>
      </c>
      <c r="M1127" s="120"/>
      <c r="N1127" s="124"/>
      <c r="O1127" s="120"/>
      <c r="P1127" s="120"/>
      <c r="Q1127" s="120"/>
      <c r="R1127" s="120"/>
      <c r="S1127" s="120"/>
      <c r="T1127" s="120"/>
    </row>
    <row r="1128" spans="2:20" ht="28.8" x14ac:dyDescent="0.3">
      <c r="B1128" s="120">
        <v>325138</v>
      </c>
      <c r="C1128" s="121">
        <v>325126</v>
      </c>
      <c r="D1128" s="120" t="s">
        <v>6</v>
      </c>
      <c r="E1128" s="120" t="s">
        <v>7</v>
      </c>
      <c r="F1128" s="122" t="s">
        <v>996</v>
      </c>
      <c r="G1128" s="123" t="s">
        <v>8</v>
      </c>
      <c r="H1128" s="123">
        <v>5</v>
      </c>
      <c r="I1128" s="124"/>
      <c r="J1128" s="124"/>
      <c r="K1128" s="124" t="s">
        <v>1614</v>
      </c>
      <c r="L1128" s="120" t="s">
        <v>8</v>
      </c>
      <c r="M1128" s="120"/>
      <c r="N1128" s="124"/>
      <c r="O1128" s="120"/>
      <c r="P1128" s="120"/>
      <c r="Q1128" s="120"/>
      <c r="R1128" s="120"/>
      <c r="S1128" s="120"/>
      <c r="T1128" s="120"/>
    </row>
    <row r="1129" spans="2:20" x14ac:dyDescent="0.3">
      <c r="B1129" s="90">
        <v>325137</v>
      </c>
      <c r="C1129" s="99">
        <v>325126</v>
      </c>
      <c r="D1129" s="90" t="s">
        <v>6</v>
      </c>
      <c r="E1129" s="90" t="s">
        <v>7</v>
      </c>
      <c r="F1129" s="100" t="s">
        <v>997</v>
      </c>
      <c r="G1129" s="101" t="s">
        <v>8</v>
      </c>
      <c r="H1129" s="101">
        <v>1</v>
      </c>
      <c r="J1129" s="102" t="s">
        <v>998</v>
      </c>
      <c r="K1129" s="102" t="s">
        <v>1614</v>
      </c>
      <c r="L1129" s="90" t="s">
        <v>8</v>
      </c>
    </row>
    <row r="1130" spans="2:20" x14ac:dyDescent="0.3">
      <c r="B1130" s="90">
        <v>325135</v>
      </c>
      <c r="C1130" s="99">
        <v>325126</v>
      </c>
      <c r="D1130" s="90" t="s">
        <v>6</v>
      </c>
      <c r="E1130" s="90" t="s">
        <v>7</v>
      </c>
      <c r="F1130" s="100" t="s">
        <v>999</v>
      </c>
      <c r="G1130" s="101" t="s">
        <v>8</v>
      </c>
      <c r="H1130" s="101">
        <v>1</v>
      </c>
      <c r="K1130" s="102" t="s">
        <v>1614</v>
      </c>
      <c r="L1130" s="90" t="s">
        <v>8</v>
      </c>
    </row>
    <row r="1131" spans="2:20" ht="28.8" x14ac:dyDescent="0.3">
      <c r="B1131" s="90">
        <v>325134</v>
      </c>
      <c r="C1131" s="99">
        <v>325126</v>
      </c>
      <c r="D1131" s="90" t="s">
        <v>6</v>
      </c>
      <c r="E1131" s="90" t="s">
        <v>7</v>
      </c>
      <c r="F1131" s="100" t="s">
        <v>1000</v>
      </c>
      <c r="G1131" s="101" t="s">
        <v>8</v>
      </c>
      <c r="H1131" s="101">
        <v>3</v>
      </c>
      <c r="J1131" s="102" t="s">
        <v>1001</v>
      </c>
      <c r="K1131" s="102" t="s">
        <v>1634</v>
      </c>
      <c r="L1131" s="90" t="s">
        <v>8</v>
      </c>
    </row>
    <row r="1132" spans="2:20" ht="28.8" x14ac:dyDescent="0.3">
      <c r="B1132" s="90">
        <v>325133</v>
      </c>
      <c r="C1132" s="99">
        <v>325126</v>
      </c>
      <c r="D1132" s="90" t="s">
        <v>6</v>
      </c>
      <c r="E1132" s="90" t="s">
        <v>7</v>
      </c>
      <c r="F1132" s="100" t="s">
        <v>1002</v>
      </c>
      <c r="G1132" s="101" t="s">
        <v>8</v>
      </c>
      <c r="H1132" s="101">
        <v>2</v>
      </c>
      <c r="K1132" s="102" t="s">
        <v>1614</v>
      </c>
      <c r="L1132" s="90" t="s">
        <v>8</v>
      </c>
    </row>
    <row r="1133" spans="2:20" x14ac:dyDescent="0.3">
      <c r="B1133" s="90">
        <v>325132</v>
      </c>
      <c r="C1133" s="99">
        <v>325126</v>
      </c>
      <c r="D1133" s="90" t="s">
        <v>6</v>
      </c>
      <c r="E1133" s="90" t="s">
        <v>7</v>
      </c>
      <c r="F1133" s="100" t="s">
        <v>1003</v>
      </c>
      <c r="G1133" s="101" t="s">
        <v>8</v>
      </c>
      <c r="H1133" s="101">
        <v>5</v>
      </c>
      <c r="J1133" s="102" t="s">
        <v>1004</v>
      </c>
      <c r="K1133" s="102" t="s">
        <v>1614</v>
      </c>
      <c r="L1133" s="90" t="s">
        <v>8</v>
      </c>
    </row>
    <row r="1134" spans="2:20" x14ac:dyDescent="0.3">
      <c r="B1134" s="90">
        <v>325131</v>
      </c>
      <c r="C1134" s="99">
        <v>325126</v>
      </c>
      <c r="D1134" s="90" t="s">
        <v>6</v>
      </c>
      <c r="E1134" s="90" t="s">
        <v>7</v>
      </c>
      <c r="F1134" s="100" t="s">
        <v>1005</v>
      </c>
      <c r="G1134" s="101" t="s">
        <v>8</v>
      </c>
      <c r="H1134" s="101">
        <v>2</v>
      </c>
      <c r="K1134" s="102" t="s">
        <v>1614</v>
      </c>
      <c r="L1134" s="90" t="s">
        <v>8</v>
      </c>
    </row>
    <row r="1135" spans="2:20" ht="28.8" x14ac:dyDescent="0.3">
      <c r="B1135" s="120">
        <v>325130</v>
      </c>
      <c r="C1135" s="121">
        <v>325126</v>
      </c>
      <c r="D1135" s="120" t="s">
        <v>6</v>
      </c>
      <c r="E1135" s="120" t="s">
        <v>7</v>
      </c>
      <c r="F1135" s="122" t="s">
        <v>1006</v>
      </c>
      <c r="G1135" s="123" t="s">
        <v>8</v>
      </c>
      <c r="H1135" s="123">
        <v>3</v>
      </c>
      <c r="I1135" s="124"/>
      <c r="J1135" s="124"/>
      <c r="K1135" s="124" t="s">
        <v>1614</v>
      </c>
      <c r="L1135" s="120" t="s">
        <v>8</v>
      </c>
      <c r="M1135" s="120"/>
      <c r="N1135" s="124"/>
      <c r="O1135" s="120"/>
      <c r="P1135" s="120"/>
      <c r="Q1135" s="120"/>
      <c r="R1135" s="120"/>
      <c r="S1135" s="120"/>
      <c r="T1135" s="120"/>
    </row>
    <row r="1136" spans="2:20" x14ac:dyDescent="0.3">
      <c r="B1136" s="120">
        <v>325129</v>
      </c>
      <c r="C1136" s="121">
        <v>325126</v>
      </c>
      <c r="D1136" s="120" t="s">
        <v>6</v>
      </c>
      <c r="E1136" s="120" t="s">
        <v>7</v>
      </c>
      <c r="F1136" s="122" t="s">
        <v>1007</v>
      </c>
      <c r="G1136" s="123" t="s">
        <v>8</v>
      </c>
      <c r="H1136" s="123">
        <v>8</v>
      </c>
      <c r="I1136" s="124"/>
      <c r="J1136" s="124" t="s">
        <v>1008</v>
      </c>
      <c r="K1136" s="124" t="s">
        <v>1614</v>
      </c>
      <c r="L1136" s="120" t="s">
        <v>8</v>
      </c>
      <c r="M1136" s="120"/>
      <c r="N1136" s="124"/>
      <c r="O1136" s="120"/>
      <c r="P1136" s="120"/>
      <c r="Q1136" s="120"/>
      <c r="R1136" s="120"/>
      <c r="S1136" s="120"/>
      <c r="T1136" s="120"/>
    </row>
    <row r="1137" spans="1:20" x14ac:dyDescent="0.3">
      <c r="B1137" s="120">
        <v>325128</v>
      </c>
      <c r="C1137" s="121">
        <v>325126</v>
      </c>
      <c r="D1137" s="120" t="s">
        <v>6</v>
      </c>
      <c r="E1137" s="120" t="s">
        <v>7</v>
      </c>
      <c r="F1137" s="122" t="s">
        <v>1009</v>
      </c>
      <c r="G1137" s="123" t="s">
        <v>8</v>
      </c>
      <c r="H1137" s="123">
        <v>1</v>
      </c>
      <c r="I1137" s="124"/>
      <c r="J1137" s="124" t="s">
        <v>1010</v>
      </c>
      <c r="K1137" s="124" t="s">
        <v>1614</v>
      </c>
      <c r="L1137" s="120" t="s">
        <v>8</v>
      </c>
      <c r="M1137" s="120"/>
      <c r="N1137" s="124"/>
      <c r="O1137" s="120"/>
      <c r="P1137" s="120"/>
      <c r="Q1137" s="120"/>
      <c r="R1137" s="120"/>
      <c r="S1137" s="120"/>
      <c r="T1137" s="120"/>
    </row>
    <row r="1138" spans="1:20" x14ac:dyDescent="0.3">
      <c r="B1138" s="90">
        <v>325127</v>
      </c>
      <c r="C1138" s="99">
        <v>325126</v>
      </c>
      <c r="D1138" s="90" t="s">
        <v>6</v>
      </c>
      <c r="E1138" s="90" t="s">
        <v>7</v>
      </c>
      <c r="F1138" s="100" t="s">
        <v>1011</v>
      </c>
      <c r="G1138" s="101" t="s">
        <v>8</v>
      </c>
      <c r="H1138" s="101">
        <v>2</v>
      </c>
      <c r="K1138" s="102" t="s">
        <v>1614</v>
      </c>
      <c r="L1138" s="90" t="s">
        <v>8</v>
      </c>
    </row>
    <row r="1139" spans="1:20" ht="28.8" x14ac:dyDescent="0.3">
      <c r="B1139" s="90">
        <v>325124</v>
      </c>
      <c r="C1139" s="99">
        <v>325142</v>
      </c>
      <c r="D1139" s="90" t="s">
        <v>6</v>
      </c>
      <c r="E1139" s="90" t="s">
        <v>7</v>
      </c>
      <c r="F1139" s="100" t="s">
        <v>1013</v>
      </c>
      <c r="G1139" s="101" t="s">
        <v>8</v>
      </c>
      <c r="H1139" s="101">
        <v>13</v>
      </c>
      <c r="K1139" s="102" t="s">
        <v>1614</v>
      </c>
      <c r="L1139" s="90" t="s">
        <v>8</v>
      </c>
    </row>
    <row r="1140" spans="1:20" x14ac:dyDescent="0.3">
      <c r="B1140" s="120">
        <v>325122</v>
      </c>
      <c r="C1140" s="121">
        <v>324993</v>
      </c>
      <c r="D1140" s="120" t="s">
        <v>6</v>
      </c>
      <c r="E1140" s="120" t="s">
        <v>7</v>
      </c>
      <c r="F1140" s="122" t="s">
        <v>1014</v>
      </c>
      <c r="G1140" s="123" t="s">
        <v>8</v>
      </c>
      <c r="H1140" s="123">
        <v>3</v>
      </c>
      <c r="I1140" s="124"/>
      <c r="J1140" s="124"/>
      <c r="K1140" s="124" t="s">
        <v>1614</v>
      </c>
      <c r="L1140" s="120" t="s">
        <v>8</v>
      </c>
      <c r="M1140" s="120"/>
      <c r="N1140" s="124"/>
      <c r="O1140" s="120"/>
      <c r="P1140" s="120"/>
      <c r="Q1140" s="120"/>
      <c r="R1140" s="120"/>
      <c r="S1140" s="120"/>
      <c r="T1140" s="120"/>
    </row>
    <row r="1141" spans="1:20" x14ac:dyDescent="0.3">
      <c r="B1141" s="120">
        <v>325121</v>
      </c>
      <c r="C1141" s="121">
        <v>325142</v>
      </c>
      <c r="D1141" s="120" t="s">
        <v>6</v>
      </c>
      <c r="E1141" s="120" t="s">
        <v>7</v>
      </c>
      <c r="F1141" s="122" t="s">
        <v>1015</v>
      </c>
      <c r="G1141" s="123" t="s">
        <v>8</v>
      </c>
      <c r="H1141" s="123">
        <v>3</v>
      </c>
      <c r="I1141" s="124"/>
      <c r="J1141" s="124"/>
      <c r="K1141" s="124" t="s">
        <v>1614</v>
      </c>
      <c r="L1141" s="120" t="s">
        <v>8</v>
      </c>
      <c r="M1141" s="120"/>
      <c r="N1141" s="124"/>
      <c r="O1141" s="120"/>
      <c r="P1141" s="120"/>
      <c r="Q1141" s="120"/>
      <c r="R1141" s="120"/>
      <c r="S1141" s="120"/>
      <c r="T1141" s="120"/>
    </row>
    <row r="1142" spans="1:20" x14ac:dyDescent="0.3">
      <c r="B1142" s="120">
        <v>325119</v>
      </c>
      <c r="C1142" s="121">
        <v>324993</v>
      </c>
      <c r="D1142" s="120" t="s">
        <v>6</v>
      </c>
      <c r="E1142" s="120" t="s">
        <v>7</v>
      </c>
      <c r="F1142" s="122" t="s">
        <v>1016</v>
      </c>
      <c r="G1142" s="123" t="s">
        <v>8</v>
      </c>
      <c r="H1142" s="123">
        <v>13</v>
      </c>
      <c r="I1142" s="124"/>
      <c r="J1142" s="124"/>
      <c r="K1142" s="124" t="s">
        <v>1614</v>
      </c>
      <c r="L1142" s="120" t="s">
        <v>8</v>
      </c>
      <c r="M1142" s="120"/>
      <c r="N1142" s="124"/>
      <c r="O1142" s="120"/>
      <c r="P1142" s="120"/>
      <c r="Q1142" s="120"/>
      <c r="R1142" s="120"/>
      <c r="S1142" s="120"/>
      <c r="T1142" s="120"/>
    </row>
    <row r="1143" spans="1:20" x14ac:dyDescent="0.3">
      <c r="B1143" s="120">
        <v>325118</v>
      </c>
      <c r="C1143" s="121">
        <v>324993</v>
      </c>
      <c r="D1143" s="120" t="s">
        <v>6</v>
      </c>
      <c r="E1143" s="120" t="s">
        <v>7</v>
      </c>
      <c r="F1143" s="122" t="s">
        <v>1017</v>
      </c>
      <c r="G1143" s="123" t="s">
        <v>8</v>
      </c>
      <c r="H1143" s="123">
        <v>13</v>
      </c>
      <c r="I1143" s="124"/>
      <c r="J1143" s="124"/>
      <c r="K1143" s="124" t="s">
        <v>1614</v>
      </c>
      <c r="L1143" s="120" t="s">
        <v>8</v>
      </c>
      <c r="M1143" s="120"/>
      <c r="N1143" s="124"/>
      <c r="O1143" s="120"/>
      <c r="P1143" s="120"/>
      <c r="Q1143" s="120"/>
      <c r="R1143" s="120"/>
      <c r="S1143" s="120"/>
      <c r="T1143" s="120"/>
    </row>
    <row r="1144" spans="1:20" x14ac:dyDescent="0.3">
      <c r="A1144" s="96"/>
      <c r="B1144" s="120">
        <v>325117</v>
      </c>
      <c r="C1144" s="121">
        <v>324993</v>
      </c>
      <c r="D1144" s="120" t="s">
        <v>6</v>
      </c>
      <c r="E1144" s="120" t="s">
        <v>7</v>
      </c>
      <c r="F1144" s="122" t="s">
        <v>1018</v>
      </c>
      <c r="G1144" s="123" t="s">
        <v>8</v>
      </c>
      <c r="H1144" s="123">
        <v>2</v>
      </c>
      <c r="I1144" s="124"/>
      <c r="J1144" s="124"/>
      <c r="K1144" s="124" t="s">
        <v>1614</v>
      </c>
      <c r="L1144" s="120" t="s">
        <v>8</v>
      </c>
      <c r="M1144" s="120"/>
      <c r="N1144" s="124"/>
      <c r="O1144" s="120"/>
      <c r="P1144" s="120"/>
      <c r="Q1144" s="120"/>
      <c r="R1144" s="120"/>
      <c r="S1144" s="120"/>
      <c r="T1144" s="120"/>
    </row>
    <row r="1145" spans="1:20" x14ac:dyDescent="0.3">
      <c r="B1145" s="120">
        <v>325114</v>
      </c>
      <c r="C1145" s="121">
        <v>324993</v>
      </c>
      <c r="D1145" s="120" t="s">
        <v>6</v>
      </c>
      <c r="E1145" s="120" t="s">
        <v>7</v>
      </c>
      <c r="F1145" s="122" t="s">
        <v>1019</v>
      </c>
      <c r="G1145" s="123" t="s">
        <v>8</v>
      </c>
      <c r="H1145" s="123">
        <v>2</v>
      </c>
      <c r="I1145" s="124"/>
      <c r="J1145" s="124"/>
      <c r="K1145" s="124" t="s">
        <v>1614</v>
      </c>
      <c r="L1145" s="120" t="s">
        <v>8</v>
      </c>
      <c r="M1145" s="120"/>
      <c r="N1145" s="124"/>
      <c r="O1145" s="120"/>
      <c r="P1145" s="120"/>
      <c r="Q1145" s="120"/>
      <c r="R1145" s="120"/>
      <c r="S1145" s="120"/>
      <c r="T1145" s="120"/>
    </row>
    <row r="1146" spans="1:20" ht="28.8" x14ac:dyDescent="0.3">
      <c r="B1146" s="120">
        <v>325113</v>
      </c>
      <c r="C1146" s="121">
        <v>324993</v>
      </c>
      <c r="D1146" s="120" t="s">
        <v>6</v>
      </c>
      <c r="E1146" s="120" t="s">
        <v>7</v>
      </c>
      <c r="F1146" s="122" t="s">
        <v>1020</v>
      </c>
      <c r="G1146" s="123" t="s">
        <v>8</v>
      </c>
      <c r="H1146" s="123">
        <v>13</v>
      </c>
      <c r="I1146" s="124"/>
      <c r="J1146" s="124"/>
      <c r="K1146" s="124" t="s">
        <v>1614</v>
      </c>
      <c r="L1146" s="120" t="s">
        <v>8</v>
      </c>
      <c r="M1146" s="120"/>
      <c r="N1146" s="124"/>
      <c r="O1146" s="120"/>
      <c r="P1146" s="120"/>
      <c r="Q1146" s="120"/>
      <c r="R1146" s="120"/>
      <c r="S1146" s="120"/>
      <c r="T1146" s="120"/>
    </row>
    <row r="1147" spans="1:20" x14ac:dyDescent="0.3">
      <c r="B1147" s="120">
        <v>325110</v>
      </c>
      <c r="C1147" s="121">
        <v>324993</v>
      </c>
      <c r="D1147" s="120" t="s">
        <v>6</v>
      </c>
      <c r="E1147" s="120" t="s">
        <v>7</v>
      </c>
      <c r="F1147" s="122" t="s">
        <v>1021</v>
      </c>
      <c r="G1147" s="123" t="s">
        <v>8</v>
      </c>
      <c r="H1147" s="123">
        <v>13</v>
      </c>
      <c r="I1147" s="124"/>
      <c r="J1147" s="124"/>
      <c r="K1147" s="124" t="s">
        <v>1614</v>
      </c>
      <c r="L1147" s="120" t="s">
        <v>8</v>
      </c>
      <c r="M1147" s="120"/>
      <c r="N1147" s="124"/>
      <c r="O1147" s="120"/>
      <c r="P1147" s="120"/>
      <c r="Q1147" s="120"/>
      <c r="R1147" s="120"/>
      <c r="S1147" s="120"/>
      <c r="T1147" s="120"/>
    </row>
    <row r="1148" spans="1:20" x14ac:dyDescent="0.3">
      <c r="B1148" s="120">
        <v>325109</v>
      </c>
      <c r="C1148" s="121">
        <v>324993</v>
      </c>
      <c r="D1148" s="120" t="s">
        <v>6</v>
      </c>
      <c r="E1148" s="120" t="s">
        <v>7</v>
      </c>
      <c r="F1148" s="122" t="s">
        <v>1022</v>
      </c>
      <c r="G1148" s="123" t="s">
        <v>8</v>
      </c>
      <c r="H1148" s="123">
        <v>1</v>
      </c>
      <c r="I1148" s="124"/>
      <c r="J1148" s="124"/>
      <c r="K1148" s="124" t="s">
        <v>1614</v>
      </c>
      <c r="L1148" s="120" t="s">
        <v>8</v>
      </c>
      <c r="M1148" s="120"/>
      <c r="N1148" s="124"/>
      <c r="O1148" s="120"/>
      <c r="P1148" s="120"/>
      <c r="Q1148" s="120"/>
      <c r="R1148" s="120"/>
      <c r="S1148" s="120"/>
      <c r="T1148" s="120"/>
    </row>
    <row r="1149" spans="1:20" x14ac:dyDescent="0.3">
      <c r="B1149" s="120">
        <v>325107</v>
      </c>
      <c r="C1149" s="121">
        <v>324993</v>
      </c>
      <c r="D1149" s="120" t="s">
        <v>6</v>
      </c>
      <c r="E1149" s="120" t="s">
        <v>7</v>
      </c>
      <c r="F1149" s="122" t="s">
        <v>1023</v>
      </c>
      <c r="G1149" s="123" t="s">
        <v>8</v>
      </c>
      <c r="H1149" s="123">
        <v>2</v>
      </c>
      <c r="I1149" s="124"/>
      <c r="J1149" s="124"/>
      <c r="K1149" s="124" t="s">
        <v>1614</v>
      </c>
      <c r="L1149" s="120" t="s">
        <v>8</v>
      </c>
      <c r="M1149" s="120"/>
      <c r="N1149" s="124"/>
      <c r="O1149" s="120"/>
      <c r="P1149" s="120"/>
      <c r="Q1149" s="120"/>
      <c r="R1149" s="120"/>
      <c r="S1149" s="120"/>
      <c r="T1149" s="120"/>
    </row>
    <row r="1150" spans="1:20" x14ac:dyDescent="0.3">
      <c r="B1150" s="120">
        <v>325103</v>
      </c>
      <c r="C1150" s="121">
        <v>325080</v>
      </c>
      <c r="D1150" s="120" t="s">
        <v>6</v>
      </c>
      <c r="E1150" s="120" t="s">
        <v>7</v>
      </c>
      <c r="F1150" s="122" t="s">
        <v>1024</v>
      </c>
      <c r="G1150" s="123" t="s">
        <v>8</v>
      </c>
      <c r="H1150" s="123">
        <v>5</v>
      </c>
      <c r="I1150" s="124"/>
      <c r="J1150" s="124"/>
      <c r="K1150" s="124" t="s">
        <v>1614</v>
      </c>
      <c r="L1150" s="120" t="s">
        <v>8</v>
      </c>
      <c r="M1150" s="120"/>
      <c r="N1150" s="124"/>
      <c r="O1150" s="120"/>
      <c r="P1150" s="120"/>
      <c r="Q1150" s="120"/>
      <c r="R1150" s="120"/>
      <c r="S1150" s="120"/>
      <c r="T1150" s="120"/>
    </row>
    <row r="1151" spans="1:20" x14ac:dyDescent="0.3">
      <c r="A1151" s="96"/>
      <c r="B1151" s="120">
        <v>325100</v>
      </c>
      <c r="C1151" s="121">
        <v>325080</v>
      </c>
      <c r="D1151" s="120" t="s">
        <v>6</v>
      </c>
      <c r="E1151" s="120" t="s">
        <v>7</v>
      </c>
      <c r="F1151" s="122" t="s">
        <v>1025</v>
      </c>
      <c r="G1151" s="123" t="s">
        <v>8</v>
      </c>
      <c r="H1151" s="123">
        <v>8</v>
      </c>
      <c r="I1151" s="124"/>
      <c r="J1151" s="124"/>
      <c r="K1151" s="124" t="s">
        <v>1614</v>
      </c>
      <c r="L1151" s="120" t="s">
        <v>8</v>
      </c>
      <c r="M1151" s="120"/>
      <c r="N1151" s="124"/>
      <c r="O1151" s="120"/>
      <c r="P1151" s="120"/>
      <c r="Q1151" s="120"/>
      <c r="R1151" s="120"/>
      <c r="S1151" s="120"/>
      <c r="T1151" s="120"/>
    </row>
    <row r="1152" spans="1:20" ht="28.8" x14ac:dyDescent="0.3">
      <c r="B1152" s="90">
        <v>325098</v>
      </c>
      <c r="C1152" s="99">
        <v>325080</v>
      </c>
      <c r="D1152" s="90" t="s">
        <v>6</v>
      </c>
      <c r="E1152" s="90" t="s">
        <v>7</v>
      </c>
      <c r="F1152" s="100" t="s">
        <v>1026</v>
      </c>
      <c r="G1152" s="101" t="s">
        <v>8</v>
      </c>
      <c r="H1152" s="101">
        <v>8</v>
      </c>
      <c r="K1152" s="102" t="s">
        <v>1614</v>
      </c>
      <c r="L1152" s="90" t="s">
        <v>8</v>
      </c>
    </row>
    <row r="1153" spans="2:20" x14ac:dyDescent="0.3">
      <c r="B1153" s="120">
        <v>325094</v>
      </c>
      <c r="C1153" s="121">
        <v>325080</v>
      </c>
      <c r="D1153" s="120" t="s">
        <v>344</v>
      </c>
      <c r="E1153" s="120" t="s">
        <v>7</v>
      </c>
      <c r="F1153" s="122" t="s">
        <v>733</v>
      </c>
      <c r="G1153" s="123" t="s">
        <v>8</v>
      </c>
      <c r="H1153" s="123"/>
      <c r="I1153" s="124"/>
      <c r="J1153" s="124"/>
      <c r="K1153" s="124" t="s">
        <v>8</v>
      </c>
      <c r="L1153" s="120" t="s">
        <v>8</v>
      </c>
      <c r="M1153" s="120"/>
      <c r="N1153" s="124"/>
      <c r="O1153" s="120"/>
      <c r="P1153" s="120"/>
      <c r="Q1153" s="120"/>
      <c r="R1153" s="120"/>
      <c r="S1153" s="120"/>
      <c r="T1153" s="120"/>
    </row>
    <row r="1154" spans="2:20" ht="28.8" x14ac:dyDescent="0.3">
      <c r="B1154" s="120">
        <v>325093</v>
      </c>
      <c r="C1154" s="121">
        <v>325080</v>
      </c>
      <c r="D1154" s="120" t="s">
        <v>6</v>
      </c>
      <c r="E1154" s="120" t="s">
        <v>7</v>
      </c>
      <c r="F1154" s="122" t="s">
        <v>1027</v>
      </c>
      <c r="G1154" s="123" t="s">
        <v>8</v>
      </c>
      <c r="H1154" s="123">
        <v>5</v>
      </c>
      <c r="I1154" s="124"/>
      <c r="J1154" s="124"/>
      <c r="K1154" s="124" t="s">
        <v>1614</v>
      </c>
      <c r="L1154" s="120" t="s">
        <v>8</v>
      </c>
      <c r="M1154" s="120"/>
      <c r="N1154" s="124"/>
      <c r="O1154" s="120"/>
      <c r="P1154" s="120"/>
      <c r="Q1154" s="120"/>
      <c r="R1154" s="120"/>
      <c r="S1154" s="120"/>
      <c r="T1154" s="120"/>
    </row>
    <row r="1155" spans="2:20" ht="28.8" x14ac:dyDescent="0.3">
      <c r="B1155" s="120">
        <v>325092</v>
      </c>
      <c r="C1155" s="121">
        <v>325080</v>
      </c>
      <c r="D1155" s="120" t="s">
        <v>6</v>
      </c>
      <c r="E1155" s="120" t="s">
        <v>7</v>
      </c>
      <c r="F1155" s="122" t="s">
        <v>1028</v>
      </c>
      <c r="G1155" s="123" t="s">
        <v>8</v>
      </c>
      <c r="H1155" s="123">
        <v>5</v>
      </c>
      <c r="I1155" s="124"/>
      <c r="J1155" s="124"/>
      <c r="K1155" s="124" t="s">
        <v>1614</v>
      </c>
      <c r="L1155" s="120" t="s">
        <v>8</v>
      </c>
      <c r="M1155" s="120"/>
      <c r="N1155" s="124"/>
      <c r="O1155" s="120"/>
      <c r="P1155" s="120"/>
      <c r="Q1155" s="120"/>
      <c r="R1155" s="120"/>
      <c r="S1155" s="120"/>
      <c r="T1155" s="120"/>
    </row>
    <row r="1156" spans="2:20" x14ac:dyDescent="0.3">
      <c r="B1156" s="120">
        <v>325091</v>
      </c>
      <c r="C1156" s="121">
        <v>325080</v>
      </c>
      <c r="D1156" s="120" t="s">
        <v>6</v>
      </c>
      <c r="E1156" s="120" t="s">
        <v>7</v>
      </c>
      <c r="F1156" s="122" t="s">
        <v>1029</v>
      </c>
      <c r="G1156" s="123" t="s">
        <v>8</v>
      </c>
      <c r="H1156" s="123">
        <v>1</v>
      </c>
      <c r="I1156" s="124"/>
      <c r="J1156" s="124" t="s">
        <v>1030</v>
      </c>
      <c r="K1156" s="124" t="s">
        <v>1614</v>
      </c>
      <c r="L1156" s="120" t="s">
        <v>8</v>
      </c>
      <c r="M1156" s="120"/>
      <c r="N1156" s="124"/>
      <c r="O1156" s="120"/>
      <c r="P1156" s="120"/>
      <c r="Q1156" s="120"/>
      <c r="R1156" s="120"/>
      <c r="S1156" s="120"/>
      <c r="T1156" s="120"/>
    </row>
    <row r="1157" spans="2:20" x14ac:dyDescent="0.3">
      <c r="B1157" s="120">
        <v>325089</v>
      </c>
      <c r="C1157" s="121">
        <v>325080</v>
      </c>
      <c r="D1157" s="120" t="s">
        <v>6</v>
      </c>
      <c r="E1157" s="120" t="s">
        <v>7</v>
      </c>
      <c r="F1157" s="122" t="s">
        <v>1031</v>
      </c>
      <c r="G1157" s="123" t="s">
        <v>8</v>
      </c>
      <c r="H1157" s="123">
        <v>1</v>
      </c>
      <c r="I1157" s="124"/>
      <c r="J1157" s="124"/>
      <c r="K1157" s="124" t="s">
        <v>1614</v>
      </c>
      <c r="L1157" s="120" t="s">
        <v>8</v>
      </c>
      <c r="M1157" s="120"/>
      <c r="N1157" s="124"/>
      <c r="O1157" s="120"/>
      <c r="P1157" s="120"/>
      <c r="Q1157" s="120"/>
      <c r="R1157" s="120"/>
      <c r="S1157" s="120"/>
      <c r="T1157" s="120"/>
    </row>
    <row r="1158" spans="2:20" x14ac:dyDescent="0.3">
      <c r="B1158" s="120">
        <v>325088</v>
      </c>
      <c r="C1158" s="121">
        <v>325080</v>
      </c>
      <c r="D1158" s="120" t="s">
        <v>6</v>
      </c>
      <c r="E1158" s="120" t="s">
        <v>7</v>
      </c>
      <c r="F1158" s="122" t="s">
        <v>1032</v>
      </c>
      <c r="G1158" s="123" t="s">
        <v>8</v>
      </c>
      <c r="H1158" s="123">
        <v>3</v>
      </c>
      <c r="I1158" s="124"/>
      <c r="J1158" s="124" t="s">
        <v>1033</v>
      </c>
      <c r="K1158" s="124" t="s">
        <v>1634</v>
      </c>
      <c r="L1158" s="120" t="s">
        <v>8</v>
      </c>
      <c r="M1158" s="120"/>
      <c r="N1158" s="124"/>
      <c r="O1158" s="120"/>
      <c r="P1158" s="120"/>
      <c r="Q1158" s="120"/>
      <c r="R1158" s="120"/>
      <c r="S1158" s="120"/>
      <c r="T1158" s="120"/>
    </row>
    <row r="1159" spans="2:20" ht="28.8" x14ac:dyDescent="0.3">
      <c r="B1159" s="120">
        <v>325087</v>
      </c>
      <c r="C1159" s="121">
        <v>325080</v>
      </c>
      <c r="D1159" s="120" t="s">
        <v>6</v>
      </c>
      <c r="E1159" s="120" t="s">
        <v>7</v>
      </c>
      <c r="F1159" s="122" t="s">
        <v>1034</v>
      </c>
      <c r="G1159" s="123" t="s">
        <v>8</v>
      </c>
      <c r="H1159" s="123">
        <v>2</v>
      </c>
      <c r="I1159" s="124"/>
      <c r="J1159" s="124"/>
      <c r="K1159" s="124" t="s">
        <v>1614</v>
      </c>
      <c r="L1159" s="120" t="s">
        <v>8</v>
      </c>
      <c r="M1159" s="120"/>
      <c r="N1159" s="124"/>
      <c r="O1159" s="120"/>
      <c r="P1159" s="120"/>
      <c r="Q1159" s="120"/>
      <c r="R1159" s="120"/>
      <c r="S1159" s="120"/>
      <c r="T1159" s="120"/>
    </row>
    <row r="1160" spans="2:20" x14ac:dyDescent="0.3">
      <c r="B1160" s="120">
        <v>325086</v>
      </c>
      <c r="C1160" s="121">
        <v>325080</v>
      </c>
      <c r="D1160" s="120" t="s">
        <v>6</v>
      </c>
      <c r="E1160" s="120" t="s">
        <v>7</v>
      </c>
      <c r="F1160" s="122" t="s">
        <v>1035</v>
      </c>
      <c r="G1160" s="123" t="s">
        <v>8</v>
      </c>
      <c r="H1160" s="123">
        <v>5</v>
      </c>
      <c r="I1160" s="124"/>
      <c r="J1160" s="124" t="s">
        <v>1036</v>
      </c>
      <c r="K1160" s="124" t="s">
        <v>1614</v>
      </c>
      <c r="L1160" s="120" t="s">
        <v>8</v>
      </c>
      <c r="M1160" s="120"/>
      <c r="N1160" s="124"/>
      <c r="O1160" s="120"/>
      <c r="P1160" s="120"/>
      <c r="Q1160" s="120"/>
      <c r="R1160" s="120"/>
      <c r="S1160" s="120"/>
      <c r="T1160" s="120"/>
    </row>
    <row r="1161" spans="2:20" x14ac:dyDescent="0.3">
      <c r="B1161" s="120">
        <v>325085</v>
      </c>
      <c r="C1161" s="121">
        <v>325080</v>
      </c>
      <c r="D1161" s="120" t="s">
        <v>6</v>
      </c>
      <c r="E1161" s="120" t="s">
        <v>7</v>
      </c>
      <c r="F1161" s="122" t="s">
        <v>1037</v>
      </c>
      <c r="G1161" s="123" t="s">
        <v>8</v>
      </c>
      <c r="H1161" s="123">
        <v>2</v>
      </c>
      <c r="I1161" s="124"/>
      <c r="J1161" s="124"/>
      <c r="K1161" s="124" t="s">
        <v>1614</v>
      </c>
      <c r="L1161" s="120" t="s">
        <v>8</v>
      </c>
      <c r="M1161" s="120"/>
      <c r="N1161" s="124"/>
      <c r="O1161" s="120"/>
      <c r="P1161" s="120"/>
      <c r="Q1161" s="120"/>
      <c r="R1161" s="120"/>
      <c r="S1161" s="120"/>
      <c r="T1161" s="120"/>
    </row>
    <row r="1162" spans="2:20" ht="28.8" x14ac:dyDescent="0.3">
      <c r="B1162" s="120">
        <v>325084</v>
      </c>
      <c r="C1162" s="121">
        <v>325080</v>
      </c>
      <c r="D1162" s="120" t="s">
        <v>6</v>
      </c>
      <c r="E1162" s="120" t="s">
        <v>7</v>
      </c>
      <c r="F1162" s="122" t="s">
        <v>1038</v>
      </c>
      <c r="G1162" s="123" t="s">
        <v>8</v>
      </c>
      <c r="H1162" s="123">
        <v>3</v>
      </c>
      <c r="I1162" s="124"/>
      <c r="J1162" s="124"/>
      <c r="K1162" s="124" t="s">
        <v>1614</v>
      </c>
      <c r="L1162" s="120" t="s">
        <v>8</v>
      </c>
      <c r="M1162" s="120"/>
      <c r="N1162" s="124"/>
      <c r="O1162" s="120"/>
      <c r="P1162" s="120"/>
      <c r="Q1162" s="120"/>
      <c r="R1162" s="120"/>
      <c r="S1162" s="120"/>
      <c r="T1162" s="120"/>
    </row>
    <row r="1163" spans="2:20" x14ac:dyDescent="0.3">
      <c r="B1163" s="120">
        <v>325083</v>
      </c>
      <c r="C1163" s="121">
        <v>325080</v>
      </c>
      <c r="D1163" s="120" t="s">
        <v>6</v>
      </c>
      <c r="E1163" s="120" t="s">
        <v>7</v>
      </c>
      <c r="F1163" s="122" t="s">
        <v>1039</v>
      </c>
      <c r="G1163" s="123" t="s">
        <v>8</v>
      </c>
      <c r="H1163" s="123">
        <v>8</v>
      </c>
      <c r="I1163" s="124"/>
      <c r="J1163" s="124" t="s">
        <v>1040</v>
      </c>
      <c r="K1163" s="124" t="s">
        <v>1614</v>
      </c>
      <c r="L1163" s="120" t="s">
        <v>8</v>
      </c>
      <c r="M1163" s="120"/>
      <c r="N1163" s="124"/>
      <c r="O1163" s="120"/>
      <c r="P1163" s="120"/>
      <c r="Q1163" s="120"/>
      <c r="R1163" s="120"/>
      <c r="S1163" s="120"/>
      <c r="T1163" s="120"/>
    </row>
    <row r="1164" spans="2:20" x14ac:dyDescent="0.3">
      <c r="B1164" s="120">
        <v>325082</v>
      </c>
      <c r="C1164" s="121">
        <v>325080</v>
      </c>
      <c r="D1164" s="120" t="s">
        <v>6</v>
      </c>
      <c r="E1164" s="120" t="s">
        <v>7</v>
      </c>
      <c r="F1164" s="122" t="s">
        <v>960</v>
      </c>
      <c r="G1164" s="123" t="s">
        <v>8</v>
      </c>
      <c r="H1164" s="123">
        <v>1</v>
      </c>
      <c r="I1164" s="124"/>
      <c r="J1164" s="124" t="s">
        <v>1041</v>
      </c>
      <c r="K1164" s="124" t="s">
        <v>1614</v>
      </c>
      <c r="L1164" s="120" t="s">
        <v>8</v>
      </c>
      <c r="M1164" s="120"/>
      <c r="N1164" s="124"/>
      <c r="O1164" s="120"/>
      <c r="P1164" s="120"/>
      <c r="Q1164" s="120"/>
      <c r="R1164" s="120"/>
      <c r="S1164" s="120"/>
      <c r="T1164" s="120"/>
    </row>
    <row r="1165" spans="2:20" x14ac:dyDescent="0.3">
      <c r="B1165" s="120">
        <v>325081</v>
      </c>
      <c r="C1165" s="121">
        <v>325080</v>
      </c>
      <c r="D1165" s="120" t="s">
        <v>6</v>
      </c>
      <c r="E1165" s="120" t="s">
        <v>7</v>
      </c>
      <c r="F1165" s="122" t="s">
        <v>1042</v>
      </c>
      <c r="G1165" s="123" t="s">
        <v>8</v>
      </c>
      <c r="H1165" s="123">
        <v>2</v>
      </c>
      <c r="I1165" s="124"/>
      <c r="J1165" s="124"/>
      <c r="K1165" s="124" t="s">
        <v>1614</v>
      </c>
      <c r="L1165" s="120" t="s">
        <v>8</v>
      </c>
      <c r="M1165" s="120"/>
      <c r="N1165" s="124"/>
      <c r="O1165" s="120"/>
      <c r="P1165" s="120"/>
      <c r="Q1165" s="120"/>
      <c r="R1165" s="120"/>
      <c r="S1165" s="120"/>
      <c r="T1165" s="120"/>
    </row>
    <row r="1166" spans="2:20" x14ac:dyDescent="0.3">
      <c r="B1166" s="120">
        <v>325053</v>
      </c>
      <c r="C1166" s="121">
        <v>324932</v>
      </c>
      <c r="D1166" s="120" t="s">
        <v>6</v>
      </c>
      <c r="E1166" s="120" t="s">
        <v>7</v>
      </c>
      <c r="F1166" s="122" t="s">
        <v>1044</v>
      </c>
      <c r="G1166" s="123" t="s">
        <v>8</v>
      </c>
      <c r="H1166" s="123">
        <v>3</v>
      </c>
      <c r="I1166" s="124"/>
      <c r="J1166" s="124"/>
      <c r="K1166" s="124" t="s">
        <v>1614</v>
      </c>
      <c r="L1166" s="120" t="s">
        <v>8</v>
      </c>
      <c r="M1166" s="120"/>
      <c r="N1166" s="124"/>
      <c r="O1166" s="120"/>
      <c r="P1166" s="120"/>
      <c r="Q1166" s="120"/>
      <c r="R1166" s="120"/>
      <c r="S1166" s="120"/>
      <c r="T1166" s="120"/>
    </row>
    <row r="1167" spans="2:20" x14ac:dyDescent="0.3">
      <c r="B1167" s="120">
        <v>325051</v>
      </c>
      <c r="C1167" s="121">
        <v>324932</v>
      </c>
      <c r="D1167" s="120" t="s">
        <v>6</v>
      </c>
      <c r="E1167" s="120" t="s">
        <v>7</v>
      </c>
      <c r="F1167" s="122" t="s">
        <v>1045</v>
      </c>
      <c r="G1167" s="123" t="s">
        <v>8</v>
      </c>
      <c r="H1167" s="123">
        <v>5</v>
      </c>
      <c r="I1167" s="124"/>
      <c r="J1167" s="124"/>
      <c r="K1167" s="124" t="s">
        <v>1614</v>
      </c>
      <c r="L1167" s="120" t="s">
        <v>8</v>
      </c>
      <c r="M1167" s="120"/>
      <c r="N1167" s="124"/>
      <c r="O1167" s="120"/>
      <c r="P1167" s="120"/>
      <c r="Q1167" s="120"/>
      <c r="R1167" s="120"/>
      <c r="S1167" s="120"/>
      <c r="T1167" s="120"/>
    </row>
    <row r="1168" spans="2:20" x14ac:dyDescent="0.3">
      <c r="B1168" s="120">
        <v>325045</v>
      </c>
      <c r="C1168" s="121">
        <v>324932</v>
      </c>
      <c r="D1168" s="120" t="s">
        <v>6</v>
      </c>
      <c r="E1168" s="120" t="s">
        <v>7</v>
      </c>
      <c r="F1168" s="122" t="s">
        <v>1046</v>
      </c>
      <c r="G1168" s="123" t="s">
        <v>8</v>
      </c>
      <c r="H1168" s="123">
        <v>1</v>
      </c>
      <c r="I1168" s="124"/>
      <c r="J1168" s="124"/>
      <c r="K1168" s="124" t="s">
        <v>1614</v>
      </c>
      <c r="L1168" s="120" t="s">
        <v>8</v>
      </c>
      <c r="M1168" s="120"/>
      <c r="N1168" s="124"/>
      <c r="O1168" s="120"/>
      <c r="P1168" s="120"/>
      <c r="Q1168" s="120"/>
      <c r="R1168" s="120"/>
      <c r="S1168" s="120"/>
      <c r="T1168" s="120"/>
    </row>
    <row r="1169" spans="2:20" x14ac:dyDescent="0.3">
      <c r="B1169" s="120">
        <v>325044</v>
      </c>
      <c r="C1169" s="121">
        <v>324932</v>
      </c>
      <c r="D1169" s="120" t="s">
        <v>6</v>
      </c>
      <c r="E1169" s="120" t="s">
        <v>7</v>
      </c>
      <c r="F1169" s="122" t="s">
        <v>1047</v>
      </c>
      <c r="G1169" s="123" t="s">
        <v>8</v>
      </c>
      <c r="H1169" s="123">
        <v>1</v>
      </c>
      <c r="I1169" s="124"/>
      <c r="J1169" s="124"/>
      <c r="K1169" s="124" t="s">
        <v>1614</v>
      </c>
      <c r="L1169" s="120" t="s">
        <v>8</v>
      </c>
      <c r="M1169" s="120"/>
      <c r="N1169" s="124"/>
      <c r="O1169" s="120"/>
      <c r="P1169" s="120"/>
      <c r="Q1169" s="120"/>
      <c r="R1169" s="120"/>
      <c r="S1169" s="120"/>
      <c r="T1169" s="120"/>
    </row>
    <row r="1170" spans="2:20" x14ac:dyDescent="0.3">
      <c r="B1170" s="120">
        <v>325039</v>
      </c>
      <c r="C1170" s="121">
        <v>324993</v>
      </c>
      <c r="D1170" s="120" t="s">
        <v>6</v>
      </c>
      <c r="E1170" s="120" t="s">
        <v>7</v>
      </c>
      <c r="F1170" s="122" t="s">
        <v>1048</v>
      </c>
      <c r="G1170" s="123" t="s">
        <v>8</v>
      </c>
      <c r="H1170" s="123">
        <v>1</v>
      </c>
      <c r="I1170" s="124"/>
      <c r="J1170" s="124"/>
      <c r="K1170" s="124" t="s">
        <v>1614</v>
      </c>
      <c r="L1170" s="120" t="s">
        <v>8</v>
      </c>
      <c r="M1170" s="120"/>
      <c r="N1170" s="124"/>
      <c r="O1170" s="120"/>
      <c r="P1170" s="120"/>
      <c r="Q1170" s="120"/>
      <c r="R1170" s="120"/>
      <c r="S1170" s="120"/>
      <c r="T1170" s="120"/>
    </row>
    <row r="1171" spans="2:20" ht="28.8" x14ac:dyDescent="0.3">
      <c r="B1171" s="120">
        <v>325030</v>
      </c>
      <c r="C1171" s="121">
        <v>324932</v>
      </c>
      <c r="D1171" s="120" t="s">
        <v>6</v>
      </c>
      <c r="E1171" s="120" t="s">
        <v>7</v>
      </c>
      <c r="F1171" s="122" t="s">
        <v>1049</v>
      </c>
      <c r="G1171" s="123" t="s">
        <v>8</v>
      </c>
      <c r="H1171" s="123">
        <v>1</v>
      </c>
      <c r="I1171" s="124"/>
      <c r="J1171" s="124"/>
      <c r="K1171" s="124" t="s">
        <v>1614</v>
      </c>
      <c r="L1171" s="120" t="s">
        <v>8</v>
      </c>
      <c r="M1171" s="120"/>
      <c r="N1171" s="124"/>
      <c r="O1171" s="120"/>
      <c r="P1171" s="120"/>
      <c r="Q1171" s="120"/>
      <c r="R1171" s="120"/>
      <c r="S1171" s="120"/>
      <c r="T1171" s="120"/>
    </row>
    <row r="1172" spans="2:20" x14ac:dyDescent="0.3">
      <c r="B1172" s="120">
        <v>325027</v>
      </c>
      <c r="C1172" s="121">
        <v>324932</v>
      </c>
      <c r="D1172" s="120" t="s">
        <v>6</v>
      </c>
      <c r="E1172" s="120" t="s">
        <v>7</v>
      </c>
      <c r="F1172" s="122" t="s">
        <v>1050</v>
      </c>
      <c r="G1172" s="123" t="s">
        <v>8</v>
      </c>
      <c r="H1172" s="123">
        <v>8</v>
      </c>
      <c r="I1172" s="124"/>
      <c r="J1172" s="124"/>
      <c r="K1172" s="124" t="s">
        <v>1614</v>
      </c>
      <c r="L1172" s="120" t="s">
        <v>8</v>
      </c>
      <c r="M1172" s="120"/>
      <c r="N1172" s="124"/>
      <c r="O1172" s="120"/>
      <c r="P1172" s="120"/>
      <c r="Q1172" s="120"/>
      <c r="R1172" s="120"/>
      <c r="S1172" s="120"/>
      <c r="T1172" s="120"/>
    </row>
    <row r="1173" spans="2:20" x14ac:dyDescent="0.3">
      <c r="B1173" s="120">
        <v>325007</v>
      </c>
      <c r="C1173" s="121">
        <v>324993</v>
      </c>
      <c r="D1173" s="120" t="s">
        <v>344</v>
      </c>
      <c r="E1173" s="120" t="s">
        <v>7</v>
      </c>
      <c r="F1173" s="122" t="s">
        <v>733</v>
      </c>
      <c r="G1173" s="123" t="s">
        <v>8</v>
      </c>
      <c r="H1173" s="123"/>
      <c r="I1173" s="124"/>
      <c r="J1173" s="124"/>
      <c r="K1173" s="124" t="s">
        <v>8</v>
      </c>
      <c r="L1173" s="120" t="s">
        <v>8</v>
      </c>
      <c r="M1173" s="120"/>
      <c r="N1173" s="124"/>
      <c r="O1173" s="120"/>
      <c r="P1173" s="120"/>
      <c r="Q1173" s="120"/>
      <c r="R1173" s="120"/>
      <c r="S1173" s="120"/>
      <c r="T1173" s="120"/>
    </row>
    <row r="1174" spans="2:20" ht="28.8" x14ac:dyDescent="0.3">
      <c r="B1174" s="120">
        <v>325006</v>
      </c>
      <c r="C1174" s="121">
        <v>324993</v>
      </c>
      <c r="D1174" s="120" t="s">
        <v>6</v>
      </c>
      <c r="E1174" s="120" t="s">
        <v>7</v>
      </c>
      <c r="F1174" s="122" t="s">
        <v>1051</v>
      </c>
      <c r="G1174" s="123" t="s">
        <v>8</v>
      </c>
      <c r="H1174" s="123">
        <v>5</v>
      </c>
      <c r="I1174" s="124"/>
      <c r="J1174" s="124"/>
      <c r="K1174" s="124" t="s">
        <v>1614</v>
      </c>
      <c r="L1174" s="120" t="s">
        <v>8</v>
      </c>
      <c r="M1174" s="120"/>
      <c r="N1174" s="124"/>
      <c r="O1174" s="120"/>
      <c r="P1174" s="120"/>
      <c r="Q1174" s="120"/>
      <c r="R1174" s="120"/>
      <c r="S1174" s="120"/>
      <c r="T1174" s="120"/>
    </row>
    <row r="1175" spans="2:20" ht="28.8" x14ac:dyDescent="0.3">
      <c r="B1175" s="90">
        <v>325005</v>
      </c>
      <c r="C1175" s="99">
        <v>324993</v>
      </c>
      <c r="D1175" s="90" t="s">
        <v>6</v>
      </c>
      <c r="E1175" s="90" t="s">
        <v>7</v>
      </c>
      <c r="F1175" s="100" t="s">
        <v>1052</v>
      </c>
      <c r="G1175" s="101" t="s">
        <v>8</v>
      </c>
      <c r="H1175" s="101">
        <v>5</v>
      </c>
      <c r="K1175" s="102" t="s">
        <v>1614</v>
      </c>
      <c r="L1175" s="90" t="s">
        <v>8</v>
      </c>
    </row>
    <row r="1176" spans="2:20" x14ac:dyDescent="0.3">
      <c r="B1176" s="120">
        <v>325004</v>
      </c>
      <c r="C1176" s="121">
        <v>324993</v>
      </c>
      <c r="D1176" s="120" t="s">
        <v>6</v>
      </c>
      <c r="E1176" s="120" t="s">
        <v>7</v>
      </c>
      <c r="F1176" s="122" t="s">
        <v>1053</v>
      </c>
      <c r="G1176" s="123" t="s">
        <v>8</v>
      </c>
      <c r="H1176" s="123">
        <v>1</v>
      </c>
      <c r="I1176" s="124"/>
      <c r="J1176" s="124" t="s">
        <v>1054</v>
      </c>
      <c r="K1176" s="124" t="s">
        <v>1614</v>
      </c>
      <c r="L1176" s="120" t="s">
        <v>8</v>
      </c>
      <c r="M1176" s="120"/>
      <c r="N1176" s="124"/>
      <c r="O1176" s="120"/>
      <c r="P1176" s="120"/>
      <c r="Q1176" s="120"/>
      <c r="R1176" s="120"/>
      <c r="S1176" s="120"/>
      <c r="T1176" s="120"/>
    </row>
    <row r="1177" spans="2:20" x14ac:dyDescent="0.3">
      <c r="B1177" s="120">
        <v>325002</v>
      </c>
      <c r="C1177" s="121">
        <v>324993</v>
      </c>
      <c r="D1177" s="120" t="s">
        <v>6</v>
      </c>
      <c r="E1177" s="120" t="s">
        <v>7</v>
      </c>
      <c r="F1177" s="122" t="s">
        <v>1055</v>
      </c>
      <c r="G1177" s="123" t="s">
        <v>8</v>
      </c>
      <c r="H1177" s="123">
        <v>1</v>
      </c>
      <c r="I1177" s="124"/>
      <c r="J1177" s="124"/>
      <c r="K1177" s="124" t="s">
        <v>1614</v>
      </c>
      <c r="L1177" s="120" t="s">
        <v>8</v>
      </c>
      <c r="M1177" s="120"/>
      <c r="N1177" s="124"/>
      <c r="O1177" s="120"/>
      <c r="P1177" s="120"/>
      <c r="Q1177" s="120"/>
      <c r="R1177" s="120"/>
      <c r="S1177" s="120"/>
      <c r="T1177" s="120"/>
    </row>
    <row r="1178" spans="2:20" x14ac:dyDescent="0.3">
      <c r="B1178" s="90">
        <v>325001</v>
      </c>
      <c r="C1178" s="99">
        <v>324993</v>
      </c>
      <c r="D1178" s="90" t="s">
        <v>6</v>
      </c>
      <c r="E1178" s="90" t="s">
        <v>7</v>
      </c>
      <c r="F1178" s="100" t="s">
        <v>1056</v>
      </c>
      <c r="G1178" s="101" t="s">
        <v>8</v>
      </c>
      <c r="H1178" s="101">
        <v>3</v>
      </c>
      <c r="J1178" s="102" t="s">
        <v>1057</v>
      </c>
      <c r="K1178" s="102" t="s">
        <v>1634</v>
      </c>
      <c r="L1178" s="90" t="s">
        <v>8</v>
      </c>
    </row>
    <row r="1179" spans="2:20" ht="28.8" x14ac:dyDescent="0.3">
      <c r="B1179" s="120">
        <v>325000</v>
      </c>
      <c r="C1179" s="121">
        <v>324993</v>
      </c>
      <c r="D1179" s="120" t="s">
        <v>6</v>
      </c>
      <c r="E1179" s="120" t="s">
        <v>7</v>
      </c>
      <c r="F1179" s="122" t="s">
        <v>1058</v>
      </c>
      <c r="G1179" s="123" t="s">
        <v>8</v>
      </c>
      <c r="H1179" s="123">
        <v>2</v>
      </c>
      <c r="I1179" s="124"/>
      <c r="J1179" s="124"/>
      <c r="K1179" s="124" t="s">
        <v>1614</v>
      </c>
      <c r="L1179" s="120" t="s">
        <v>8</v>
      </c>
      <c r="M1179" s="120"/>
      <c r="N1179" s="124"/>
      <c r="O1179" s="120"/>
      <c r="P1179" s="120"/>
      <c r="Q1179" s="120"/>
      <c r="R1179" s="120"/>
      <c r="S1179" s="120"/>
      <c r="T1179" s="120"/>
    </row>
    <row r="1180" spans="2:20" x14ac:dyDescent="0.3">
      <c r="B1180" s="120">
        <v>324999</v>
      </c>
      <c r="C1180" s="121">
        <v>324993</v>
      </c>
      <c r="D1180" s="120" t="s">
        <v>6</v>
      </c>
      <c r="E1180" s="120" t="s">
        <v>7</v>
      </c>
      <c r="F1180" s="122" t="s">
        <v>1059</v>
      </c>
      <c r="G1180" s="123" t="s">
        <v>8</v>
      </c>
      <c r="H1180" s="123">
        <v>5</v>
      </c>
      <c r="I1180" s="124"/>
      <c r="J1180" s="124" t="s">
        <v>1060</v>
      </c>
      <c r="K1180" s="124" t="s">
        <v>1614</v>
      </c>
      <c r="L1180" s="120" t="s">
        <v>8</v>
      </c>
      <c r="M1180" s="120"/>
      <c r="N1180" s="124"/>
      <c r="O1180" s="120"/>
      <c r="P1180" s="120"/>
      <c r="Q1180" s="120"/>
      <c r="R1180" s="120"/>
      <c r="S1180" s="120"/>
      <c r="T1180" s="120"/>
    </row>
    <row r="1181" spans="2:20" x14ac:dyDescent="0.3">
      <c r="B1181" s="90">
        <v>324998</v>
      </c>
      <c r="C1181" s="99">
        <v>324993</v>
      </c>
      <c r="D1181" s="90" t="s">
        <v>6</v>
      </c>
      <c r="E1181" s="90" t="s">
        <v>7</v>
      </c>
      <c r="F1181" s="100" t="s">
        <v>1061</v>
      </c>
      <c r="G1181" s="101" t="s">
        <v>8</v>
      </c>
      <c r="H1181" s="101">
        <v>2</v>
      </c>
      <c r="K1181" s="102" t="s">
        <v>1614</v>
      </c>
      <c r="L1181" s="90" t="s">
        <v>8</v>
      </c>
    </row>
    <row r="1182" spans="2:20" ht="28.8" x14ac:dyDescent="0.3">
      <c r="B1182" s="90">
        <v>324997</v>
      </c>
      <c r="C1182" s="99">
        <v>324993</v>
      </c>
      <c r="D1182" s="90" t="s">
        <v>6</v>
      </c>
      <c r="E1182" s="90" t="s">
        <v>7</v>
      </c>
      <c r="F1182" s="100" t="s">
        <v>1062</v>
      </c>
      <c r="G1182" s="101" t="s">
        <v>8</v>
      </c>
      <c r="H1182" s="101">
        <v>3</v>
      </c>
      <c r="K1182" s="102" t="s">
        <v>1614</v>
      </c>
      <c r="L1182" s="90" t="s">
        <v>8</v>
      </c>
    </row>
    <row r="1183" spans="2:20" x14ac:dyDescent="0.3">
      <c r="B1183" s="120">
        <v>324996</v>
      </c>
      <c r="C1183" s="121">
        <v>324993</v>
      </c>
      <c r="D1183" s="120" t="s">
        <v>6</v>
      </c>
      <c r="E1183" s="120" t="s">
        <v>7</v>
      </c>
      <c r="F1183" s="122" t="s">
        <v>1063</v>
      </c>
      <c r="G1183" s="123" t="s">
        <v>8</v>
      </c>
      <c r="H1183" s="123">
        <v>8</v>
      </c>
      <c r="I1183" s="124"/>
      <c r="J1183" s="124" t="s">
        <v>1064</v>
      </c>
      <c r="K1183" s="124" t="s">
        <v>1614</v>
      </c>
      <c r="L1183" s="120" t="s">
        <v>8</v>
      </c>
      <c r="M1183" s="120"/>
      <c r="N1183" s="124"/>
      <c r="O1183" s="120"/>
      <c r="P1183" s="120"/>
      <c r="Q1183" s="120"/>
      <c r="R1183" s="120"/>
      <c r="S1183" s="120"/>
      <c r="T1183" s="120"/>
    </row>
    <row r="1184" spans="2:20" x14ac:dyDescent="0.3">
      <c r="B1184" s="120">
        <v>324995</v>
      </c>
      <c r="C1184" s="121">
        <v>324993</v>
      </c>
      <c r="D1184" s="120" t="s">
        <v>6</v>
      </c>
      <c r="E1184" s="120" t="s">
        <v>7</v>
      </c>
      <c r="F1184" s="122" t="s">
        <v>1065</v>
      </c>
      <c r="G1184" s="123" t="s">
        <v>8</v>
      </c>
      <c r="H1184" s="123">
        <v>1</v>
      </c>
      <c r="I1184" s="124"/>
      <c r="J1184" s="124" t="s">
        <v>1066</v>
      </c>
      <c r="K1184" s="124" t="s">
        <v>1614</v>
      </c>
      <c r="L1184" s="120" t="s">
        <v>8</v>
      </c>
      <c r="M1184" s="120"/>
      <c r="N1184" s="124"/>
      <c r="O1184" s="120"/>
      <c r="P1184" s="120"/>
      <c r="Q1184" s="120"/>
      <c r="R1184" s="120"/>
      <c r="S1184" s="120"/>
      <c r="T1184" s="120"/>
    </row>
    <row r="1185" spans="2:20" x14ac:dyDescent="0.3">
      <c r="B1185" s="120">
        <v>324994</v>
      </c>
      <c r="C1185" s="121">
        <v>324993</v>
      </c>
      <c r="D1185" s="120" t="s">
        <v>6</v>
      </c>
      <c r="E1185" s="120" t="s">
        <v>7</v>
      </c>
      <c r="F1185" s="122" t="s">
        <v>1067</v>
      </c>
      <c r="G1185" s="123" t="s">
        <v>8</v>
      </c>
      <c r="H1185" s="123">
        <v>2</v>
      </c>
      <c r="I1185" s="124"/>
      <c r="J1185" s="124"/>
      <c r="K1185" s="124" t="s">
        <v>1614</v>
      </c>
      <c r="L1185" s="120" t="s">
        <v>8</v>
      </c>
      <c r="M1185" s="120"/>
      <c r="N1185" s="124"/>
      <c r="O1185" s="120"/>
      <c r="P1185" s="120"/>
      <c r="Q1185" s="120"/>
      <c r="R1185" s="120"/>
      <c r="S1185" s="120"/>
      <c r="T1185" s="120"/>
    </row>
    <row r="1186" spans="2:20" x14ac:dyDescent="0.3">
      <c r="B1186" s="120">
        <v>324946</v>
      </c>
      <c r="C1186" s="121">
        <v>324932</v>
      </c>
      <c r="D1186" s="120" t="s">
        <v>344</v>
      </c>
      <c r="E1186" s="120" t="s">
        <v>7</v>
      </c>
      <c r="F1186" s="122" t="s">
        <v>733</v>
      </c>
      <c r="G1186" s="123" t="s">
        <v>8</v>
      </c>
      <c r="H1186" s="123"/>
      <c r="I1186" s="124"/>
      <c r="J1186" s="124"/>
      <c r="K1186" s="124" t="s">
        <v>8</v>
      </c>
      <c r="L1186" s="120" t="s">
        <v>8</v>
      </c>
      <c r="M1186" s="120"/>
      <c r="N1186" s="124"/>
      <c r="O1186" s="120"/>
      <c r="P1186" s="120"/>
      <c r="Q1186" s="120"/>
      <c r="R1186" s="120"/>
      <c r="S1186" s="120"/>
      <c r="T1186" s="120"/>
    </row>
    <row r="1187" spans="2:20" ht="28.8" x14ac:dyDescent="0.3">
      <c r="B1187" s="90">
        <v>324945</v>
      </c>
      <c r="C1187" s="99">
        <v>324932</v>
      </c>
      <c r="D1187" s="90" t="s">
        <v>6</v>
      </c>
      <c r="E1187" s="90" t="s">
        <v>7</v>
      </c>
      <c r="F1187" s="100" t="s">
        <v>1069</v>
      </c>
      <c r="G1187" s="101" t="s">
        <v>8</v>
      </c>
      <c r="H1187" s="101">
        <v>5</v>
      </c>
      <c r="K1187" s="102" t="s">
        <v>1614</v>
      </c>
      <c r="L1187" s="90" t="s">
        <v>8</v>
      </c>
    </row>
    <row r="1188" spans="2:20" ht="28.8" x14ac:dyDescent="0.3">
      <c r="B1188" s="90">
        <v>324944</v>
      </c>
      <c r="C1188" s="99">
        <v>324932</v>
      </c>
      <c r="D1188" s="90" t="s">
        <v>6</v>
      </c>
      <c r="E1188" s="90" t="s">
        <v>7</v>
      </c>
      <c r="F1188" s="100" t="s">
        <v>1070</v>
      </c>
      <c r="G1188" s="101" t="s">
        <v>8</v>
      </c>
      <c r="H1188" s="101">
        <v>5</v>
      </c>
      <c r="K1188" s="102" t="s">
        <v>1614</v>
      </c>
      <c r="L1188" s="90" t="s">
        <v>8</v>
      </c>
    </row>
    <row r="1189" spans="2:20" x14ac:dyDescent="0.3">
      <c r="B1189" s="90">
        <v>324943</v>
      </c>
      <c r="C1189" s="99">
        <v>324932</v>
      </c>
      <c r="D1189" s="90" t="s">
        <v>6</v>
      </c>
      <c r="E1189" s="90" t="s">
        <v>7</v>
      </c>
      <c r="F1189" s="100" t="s">
        <v>1071</v>
      </c>
      <c r="G1189" s="101" t="s">
        <v>8</v>
      </c>
      <c r="H1189" s="101">
        <v>1</v>
      </c>
      <c r="J1189" s="102" t="s">
        <v>1072</v>
      </c>
      <c r="K1189" s="102" t="s">
        <v>1614</v>
      </c>
      <c r="L1189" s="90" t="s">
        <v>8</v>
      </c>
    </row>
    <row r="1190" spans="2:20" x14ac:dyDescent="0.3">
      <c r="B1190" s="120">
        <v>324941</v>
      </c>
      <c r="C1190" s="121">
        <v>324932</v>
      </c>
      <c r="D1190" s="120" t="s">
        <v>6</v>
      </c>
      <c r="E1190" s="120" t="s">
        <v>7</v>
      </c>
      <c r="F1190" s="122" t="s">
        <v>1073</v>
      </c>
      <c r="G1190" s="123" t="s">
        <v>8</v>
      </c>
      <c r="H1190" s="123">
        <v>1</v>
      </c>
      <c r="I1190" s="124"/>
      <c r="J1190" s="124"/>
      <c r="K1190" s="124" t="s">
        <v>1614</v>
      </c>
      <c r="L1190" s="120" t="s">
        <v>8</v>
      </c>
      <c r="M1190" s="120"/>
      <c r="N1190" s="124"/>
      <c r="O1190" s="120"/>
      <c r="P1190" s="120"/>
      <c r="Q1190" s="120"/>
      <c r="R1190" s="120"/>
      <c r="S1190" s="120"/>
      <c r="T1190" s="120"/>
    </row>
    <row r="1191" spans="2:20" x14ac:dyDescent="0.3">
      <c r="B1191" s="120">
        <v>324940</v>
      </c>
      <c r="C1191" s="121">
        <v>324932</v>
      </c>
      <c r="D1191" s="120" t="s">
        <v>6</v>
      </c>
      <c r="E1191" s="120" t="s">
        <v>7</v>
      </c>
      <c r="F1191" s="122" t="s">
        <v>1074</v>
      </c>
      <c r="G1191" s="123" t="s">
        <v>8</v>
      </c>
      <c r="H1191" s="123">
        <v>3</v>
      </c>
      <c r="I1191" s="124"/>
      <c r="J1191" s="124" t="s">
        <v>1075</v>
      </c>
      <c r="K1191" s="124" t="s">
        <v>1634</v>
      </c>
      <c r="L1191" s="120" t="s">
        <v>8</v>
      </c>
      <c r="M1191" s="120"/>
      <c r="N1191" s="124"/>
      <c r="O1191" s="120"/>
      <c r="P1191" s="120"/>
      <c r="Q1191" s="120"/>
      <c r="R1191" s="120"/>
      <c r="S1191" s="120"/>
      <c r="T1191" s="120"/>
    </row>
    <row r="1192" spans="2:20" ht="28.8" x14ac:dyDescent="0.3">
      <c r="B1192" s="90">
        <v>324939</v>
      </c>
      <c r="C1192" s="99">
        <v>324932</v>
      </c>
      <c r="D1192" s="90" t="s">
        <v>6</v>
      </c>
      <c r="E1192" s="90" t="s">
        <v>7</v>
      </c>
      <c r="F1192" s="100" t="s">
        <v>1076</v>
      </c>
      <c r="G1192" s="101" t="s">
        <v>8</v>
      </c>
      <c r="H1192" s="101">
        <v>2</v>
      </c>
      <c r="K1192" s="102" t="s">
        <v>1614</v>
      </c>
      <c r="L1192" s="90" t="s">
        <v>8</v>
      </c>
    </row>
    <row r="1193" spans="2:20" x14ac:dyDescent="0.3">
      <c r="B1193" s="90">
        <v>324938</v>
      </c>
      <c r="C1193" s="99">
        <v>324932</v>
      </c>
      <c r="D1193" s="90" t="s">
        <v>6</v>
      </c>
      <c r="E1193" s="90" t="s">
        <v>7</v>
      </c>
      <c r="F1193" s="100" t="s">
        <v>1077</v>
      </c>
      <c r="G1193" s="101" t="s">
        <v>8</v>
      </c>
      <c r="H1193" s="101">
        <v>5</v>
      </c>
      <c r="J1193" s="102" t="s">
        <v>1078</v>
      </c>
      <c r="K1193" s="102" t="s">
        <v>1614</v>
      </c>
      <c r="L1193" s="90" t="s">
        <v>8</v>
      </c>
    </row>
    <row r="1194" spans="2:20" x14ac:dyDescent="0.3">
      <c r="B1194" s="90">
        <v>324937</v>
      </c>
      <c r="C1194" s="99">
        <v>324932</v>
      </c>
      <c r="D1194" s="90" t="s">
        <v>6</v>
      </c>
      <c r="E1194" s="90" t="s">
        <v>7</v>
      </c>
      <c r="F1194" s="100" t="s">
        <v>1079</v>
      </c>
      <c r="G1194" s="101" t="s">
        <v>8</v>
      </c>
      <c r="H1194" s="101">
        <v>2</v>
      </c>
      <c r="K1194" s="102" t="s">
        <v>1614</v>
      </c>
      <c r="L1194" s="90" t="s">
        <v>8</v>
      </c>
    </row>
    <row r="1195" spans="2:20" ht="28.8" x14ac:dyDescent="0.3">
      <c r="B1195" s="120">
        <v>324936</v>
      </c>
      <c r="C1195" s="121">
        <v>324932</v>
      </c>
      <c r="D1195" s="120" t="s">
        <v>6</v>
      </c>
      <c r="E1195" s="120" t="s">
        <v>7</v>
      </c>
      <c r="F1195" s="122" t="s">
        <v>1080</v>
      </c>
      <c r="G1195" s="123" t="s">
        <v>8</v>
      </c>
      <c r="H1195" s="123">
        <v>3</v>
      </c>
      <c r="I1195" s="124"/>
      <c r="J1195" s="124"/>
      <c r="K1195" s="124" t="s">
        <v>1614</v>
      </c>
      <c r="L1195" s="120" t="s">
        <v>8</v>
      </c>
      <c r="M1195" s="120"/>
      <c r="N1195" s="124"/>
      <c r="O1195" s="120"/>
      <c r="P1195" s="120"/>
      <c r="Q1195" s="120"/>
      <c r="R1195" s="120"/>
      <c r="S1195" s="120"/>
      <c r="T1195" s="120"/>
    </row>
    <row r="1196" spans="2:20" x14ac:dyDescent="0.3">
      <c r="B1196" s="120">
        <v>324935</v>
      </c>
      <c r="C1196" s="121">
        <v>324932</v>
      </c>
      <c r="D1196" s="120" t="s">
        <v>6</v>
      </c>
      <c r="E1196" s="120" t="s">
        <v>7</v>
      </c>
      <c r="F1196" s="122" t="s">
        <v>1081</v>
      </c>
      <c r="G1196" s="123" t="s">
        <v>8</v>
      </c>
      <c r="H1196" s="123">
        <v>8</v>
      </c>
      <c r="I1196" s="124"/>
      <c r="J1196" s="124" t="s">
        <v>1082</v>
      </c>
      <c r="K1196" s="124" t="s">
        <v>1614</v>
      </c>
      <c r="L1196" s="120" t="s">
        <v>8</v>
      </c>
      <c r="M1196" s="120"/>
      <c r="N1196" s="124"/>
      <c r="O1196" s="120"/>
      <c r="P1196" s="120"/>
      <c r="Q1196" s="120"/>
      <c r="R1196" s="120"/>
      <c r="S1196" s="120"/>
      <c r="T1196" s="120"/>
    </row>
    <row r="1197" spans="2:20" x14ac:dyDescent="0.3">
      <c r="B1197" s="120">
        <v>324934</v>
      </c>
      <c r="C1197" s="121">
        <v>324932</v>
      </c>
      <c r="D1197" s="120" t="s">
        <v>6</v>
      </c>
      <c r="E1197" s="120" t="s">
        <v>7</v>
      </c>
      <c r="F1197" s="122" t="s">
        <v>960</v>
      </c>
      <c r="G1197" s="123" t="s">
        <v>8</v>
      </c>
      <c r="H1197" s="123">
        <v>1</v>
      </c>
      <c r="I1197" s="124"/>
      <c r="J1197" s="124" t="s">
        <v>1083</v>
      </c>
      <c r="K1197" s="124" t="s">
        <v>1614</v>
      </c>
      <c r="L1197" s="120" t="s">
        <v>8</v>
      </c>
      <c r="M1197" s="120"/>
      <c r="N1197" s="124"/>
      <c r="O1197" s="120"/>
      <c r="P1197" s="120"/>
      <c r="Q1197" s="120"/>
      <c r="R1197" s="120"/>
      <c r="S1197" s="120"/>
      <c r="T1197" s="120"/>
    </row>
    <row r="1198" spans="2:20" x14ac:dyDescent="0.3">
      <c r="B1198" s="90">
        <v>324933</v>
      </c>
      <c r="C1198" s="99">
        <v>324932</v>
      </c>
      <c r="D1198" s="90" t="s">
        <v>6</v>
      </c>
      <c r="E1198" s="90" t="s">
        <v>7</v>
      </c>
      <c r="F1198" s="100" t="s">
        <v>1084</v>
      </c>
      <c r="G1198" s="101" t="s">
        <v>8</v>
      </c>
      <c r="H1198" s="101">
        <v>2</v>
      </c>
      <c r="K1198" s="102" t="s">
        <v>1614</v>
      </c>
      <c r="L1198" s="90" t="s">
        <v>8</v>
      </c>
    </row>
    <row r="1199" spans="2:20" x14ac:dyDescent="0.3">
      <c r="B1199" s="120">
        <v>324907</v>
      </c>
      <c r="C1199" s="121">
        <v>324842</v>
      </c>
      <c r="D1199" s="120" t="s">
        <v>6</v>
      </c>
      <c r="E1199" s="120" t="s">
        <v>7</v>
      </c>
      <c r="F1199" s="122" t="s">
        <v>1086</v>
      </c>
      <c r="G1199" s="123" t="s">
        <v>8</v>
      </c>
      <c r="H1199" s="123">
        <v>2</v>
      </c>
      <c r="I1199" s="124"/>
      <c r="J1199" s="124"/>
      <c r="K1199" s="124" t="s">
        <v>1614</v>
      </c>
      <c r="L1199" s="120" t="s">
        <v>8</v>
      </c>
      <c r="M1199" s="120"/>
      <c r="N1199" s="124"/>
      <c r="O1199" s="120"/>
      <c r="P1199" s="120"/>
      <c r="Q1199" s="120"/>
      <c r="R1199" s="120"/>
      <c r="S1199" s="120"/>
      <c r="T1199" s="120"/>
    </row>
    <row r="1200" spans="2:20" x14ac:dyDescent="0.3">
      <c r="B1200" s="120">
        <v>324904</v>
      </c>
      <c r="C1200" s="121">
        <v>324842</v>
      </c>
      <c r="D1200" s="120" t="s">
        <v>6</v>
      </c>
      <c r="E1200" s="120" t="s">
        <v>7</v>
      </c>
      <c r="F1200" s="122" t="s">
        <v>1087</v>
      </c>
      <c r="G1200" s="123" t="s">
        <v>8</v>
      </c>
      <c r="H1200" s="123">
        <v>2</v>
      </c>
      <c r="I1200" s="124"/>
      <c r="J1200" s="124"/>
      <c r="K1200" s="124" t="s">
        <v>1614</v>
      </c>
      <c r="L1200" s="120" t="s">
        <v>8</v>
      </c>
      <c r="M1200" s="120"/>
      <c r="N1200" s="124"/>
      <c r="O1200" s="120"/>
      <c r="P1200" s="120"/>
      <c r="Q1200" s="120"/>
      <c r="R1200" s="120"/>
      <c r="S1200" s="120"/>
      <c r="T1200" s="120"/>
    </row>
    <row r="1201" spans="2:20" x14ac:dyDescent="0.3">
      <c r="B1201" s="120">
        <v>324902</v>
      </c>
      <c r="C1201" s="121">
        <v>324842</v>
      </c>
      <c r="D1201" s="120" t="s">
        <v>6</v>
      </c>
      <c r="E1201" s="120" t="s">
        <v>7</v>
      </c>
      <c r="F1201" s="122" t="s">
        <v>1088</v>
      </c>
      <c r="G1201" s="123" t="s">
        <v>8</v>
      </c>
      <c r="H1201" s="123">
        <v>3</v>
      </c>
      <c r="I1201" s="124"/>
      <c r="J1201" s="124"/>
      <c r="K1201" s="124" t="s">
        <v>1614</v>
      </c>
      <c r="L1201" s="120" t="s">
        <v>8</v>
      </c>
      <c r="M1201" s="120"/>
      <c r="N1201" s="124"/>
      <c r="O1201" s="120"/>
      <c r="P1201" s="120"/>
      <c r="Q1201" s="120"/>
      <c r="R1201" s="120"/>
      <c r="S1201" s="120"/>
      <c r="T1201" s="120"/>
    </row>
    <row r="1202" spans="2:20" ht="28.8" x14ac:dyDescent="0.3">
      <c r="B1202" s="120">
        <v>324868</v>
      </c>
      <c r="C1202" s="121">
        <v>324842</v>
      </c>
      <c r="D1202" s="120" t="s">
        <v>6</v>
      </c>
      <c r="E1202" s="120" t="s">
        <v>7</v>
      </c>
      <c r="F1202" s="122" t="s">
        <v>1089</v>
      </c>
      <c r="G1202" s="123" t="s">
        <v>8</v>
      </c>
      <c r="H1202" s="123">
        <v>2</v>
      </c>
      <c r="I1202" s="124"/>
      <c r="J1202" s="124"/>
      <c r="K1202" s="124" t="s">
        <v>1614</v>
      </c>
      <c r="L1202" s="120" t="s">
        <v>8</v>
      </c>
      <c r="M1202" s="120"/>
      <c r="N1202" s="124"/>
      <c r="O1202" s="120"/>
      <c r="P1202" s="120"/>
      <c r="Q1202" s="120"/>
      <c r="R1202" s="120"/>
      <c r="S1202" s="120"/>
      <c r="T1202" s="120"/>
    </row>
    <row r="1203" spans="2:20" ht="28.8" x14ac:dyDescent="0.3">
      <c r="B1203" s="120">
        <v>324866</v>
      </c>
      <c r="C1203" s="121">
        <v>324842</v>
      </c>
      <c r="D1203" s="120" t="s">
        <v>6</v>
      </c>
      <c r="E1203" s="120" t="s">
        <v>7</v>
      </c>
      <c r="F1203" s="122" t="s">
        <v>1090</v>
      </c>
      <c r="G1203" s="123" t="s">
        <v>8</v>
      </c>
      <c r="H1203" s="123">
        <v>5</v>
      </c>
      <c r="I1203" s="124"/>
      <c r="J1203" s="124"/>
      <c r="K1203" s="124" t="s">
        <v>1614</v>
      </c>
      <c r="L1203" s="120" t="s">
        <v>8</v>
      </c>
      <c r="M1203" s="120"/>
      <c r="N1203" s="124"/>
      <c r="O1203" s="120"/>
      <c r="P1203" s="120"/>
      <c r="Q1203" s="120"/>
      <c r="R1203" s="120"/>
      <c r="S1203" s="120"/>
      <c r="T1203" s="120"/>
    </row>
    <row r="1204" spans="2:20" ht="28.8" x14ac:dyDescent="0.3">
      <c r="B1204" s="120">
        <v>324864</v>
      </c>
      <c r="C1204" s="121">
        <v>324842</v>
      </c>
      <c r="D1204" s="120" t="s">
        <v>6</v>
      </c>
      <c r="E1204" s="120" t="s">
        <v>7</v>
      </c>
      <c r="F1204" s="122" t="s">
        <v>1091</v>
      </c>
      <c r="G1204" s="123" t="s">
        <v>8</v>
      </c>
      <c r="H1204" s="123">
        <v>8</v>
      </c>
      <c r="I1204" s="124"/>
      <c r="J1204" s="124"/>
      <c r="K1204" s="124" t="s">
        <v>1614</v>
      </c>
      <c r="L1204" s="120" t="s">
        <v>8</v>
      </c>
      <c r="M1204" s="120"/>
      <c r="N1204" s="124"/>
      <c r="O1204" s="120"/>
      <c r="P1204" s="120"/>
      <c r="Q1204" s="120"/>
      <c r="R1204" s="120"/>
      <c r="S1204" s="120"/>
      <c r="T1204" s="120"/>
    </row>
    <row r="1205" spans="2:20" x14ac:dyDescent="0.3">
      <c r="B1205" s="90">
        <v>324856</v>
      </c>
      <c r="C1205" s="99">
        <v>324842</v>
      </c>
      <c r="D1205" s="90" t="s">
        <v>344</v>
      </c>
      <c r="E1205" s="90" t="s">
        <v>7</v>
      </c>
      <c r="F1205" s="100" t="s">
        <v>733</v>
      </c>
      <c r="G1205" s="101" t="s">
        <v>8</v>
      </c>
      <c r="K1205" s="102" t="s">
        <v>8</v>
      </c>
      <c r="L1205" s="90" t="s">
        <v>8</v>
      </c>
    </row>
    <row r="1206" spans="2:20" ht="28.8" x14ac:dyDescent="0.3">
      <c r="B1206" s="120">
        <v>324855</v>
      </c>
      <c r="C1206" s="121">
        <v>324842</v>
      </c>
      <c r="D1206" s="120" t="s">
        <v>6</v>
      </c>
      <c r="E1206" s="120" t="s">
        <v>7</v>
      </c>
      <c r="F1206" s="122" t="s">
        <v>1092</v>
      </c>
      <c r="G1206" s="123" t="s">
        <v>8</v>
      </c>
      <c r="H1206" s="123">
        <v>5</v>
      </c>
      <c r="I1206" s="124"/>
      <c r="J1206" s="124"/>
      <c r="K1206" s="124" t="s">
        <v>1614</v>
      </c>
      <c r="L1206" s="120" t="s">
        <v>8</v>
      </c>
      <c r="M1206" s="120"/>
      <c r="N1206" s="124"/>
      <c r="O1206" s="120"/>
      <c r="P1206" s="120"/>
      <c r="Q1206" s="120"/>
      <c r="R1206" s="120"/>
      <c r="S1206" s="120"/>
      <c r="T1206" s="120"/>
    </row>
    <row r="1207" spans="2:20" ht="28.8" x14ac:dyDescent="0.3">
      <c r="B1207" s="90">
        <v>324854</v>
      </c>
      <c r="C1207" s="99">
        <v>324842</v>
      </c>
      <c r="D1207" s="90" t="s">
        <v>6</v>
      </c>
      <c r="E1207" s="90" t="s">
        <v>7</v>
      </c>
      <c r="F1207" s="100" t="s">
        <v>1093</v>
      </c>
      <c r="G1207" s="101" t="s">
        <v>8</v>
      </c>
      <c r="H1207" s="101">
        <v>5</v>
      </c>
      <c r="K1207" s="102" t="s">
        <v>1614</v>
      </c>
      <c r="L1207" s="90" t="s">
        <v>8</v>
      </c>
    </row>
    <row r="1208" spans="2:20" x14ac:dyDescent="0.3">
      <c r="B1208" s="120">
        <v>324853</v>
      </c>
      <c r="C1208" s="121">
        <v>324842</v>
      </c>
      <c r="D1208" s="120" t="s">
        <v>6</v>
      </c>
      <c r="E1208" s="120" t="s">
        <v>7</v>
      </c>
      <c r="F1208" s="122" t="s">
        <v>1094</v>
      </c>
      <c r="G1208" s="123" t="s">
        <v>8</v>
      </c>
      <c r="H1208" s="123">
        <v>1</v>
      </c>
      <c r="I1208" s="124"/>
      <c r="J1208" s="124" t="s">
        <v>1095</v>
      </c>
      <c r="K1208" s="124" t="s">
        <v>1614</v>
      </c>
      <c r="L1208" s="120" t="s">
        <v>8</v>
      </c>
      <c r="M1208" s="120"/>
      <c r="N1208" s="124"/>
      <c r="O1208" s="120"/>
      <c r="P1208" s="120"/>
      <c r="Q1208" s="120"/>
      <c r="R1208" s="120"/>
      <c r="S1208" s="120"/>
      <c r="T1208" s="120"/>
    </row>
    <row r="1209" spans="2:20" x14ac:dyDescent="0.3">
      <c r="B1209" s="120">
        <v>324851</v>
      </c>
      <c r="C1209" s="121">
        <v>324842</v>
      </c>
      <c r="D1209" s="120" t="s">
        <v>6</v>
      </c>
      <c r="E1209" s="120" t="s">
        <v>7</v>
      </c>
      <c r="F1209" s="122" t="s">
        <v>1096</v>
      </c>
      <c r="G1209" s="123" t="s">
        <v>8</v>
      </c>
      <c r="H1209" s="123">
        <v>1</v>
      </c>
      <c r="I1209" s="124"/>
      <c r="J1209" s="124"/>
      <c r="K1209" s="124" t="s">
        <v>1614</v>
      </c>
      <c r="L1209" s="120" t="s">
        <v>8</v>
      </c>
      <c r="M1209" s="120"/>
      <c r="N1209" s="124"/>
      <c r="O1209" s="120"/>
      <c r="P1209" s="120"/>
      <c r="Q1209" s="120"/>
      <c r="R1209" s="120"/>
      <c r="S1209" s="120"/>
      <c r="T1209" s="120"/>
    </row>
    <row r="1210" spans="2:20" x14ac:dyDescent="0.3">
      <c r="B1210" s="90">
        <v>324850</v>
      </c>
      <c r="C1210" s="99">
        <v>324842</v>
      </c>
      <c r="D1210" s="90" t="s">
        <v>6</v>
      </c>
      <c r="E1210" s="90" t="s">
        <v>7</v>
      </c>
      <c r="F1210" s="100" t="s">
        <v>1097</v>
      </c>
      <c r="G1210" s="101" t="s">
        <v>8</v>
      </c>
      <c r="H1210" s="101">
        <v>3</v>
      </c>
      <c r="J1210" s="102" t="s">
        <v>1098</v>
      </c>
      <c r="K1210" s="102" t="s">
        <v>1634</v>
      </c>
      <c r="L1210" s="90" t="s">
        <v>8</v>
      </c>
    </row>
    <row r="1211" spans="2:20" ht="28.8" x14ac:dyDescent="0.3">
      <c r="B1211" s="120">
        <v>324849</v>
      </c>
      <c r="C1211" s="121">
        <v>324842</v>
      </c>
      <c r="D1211" s="120" t="s">
        <v>6</v>
      </c>
      <c r="E1211" s="120" t="s">
        <v>7</v>
      </c>
      <c r="F1211" s="122" t="s">
        <v>1099</v>
      </c>
      <c r="G1211" s="123" t="s">
        <v>8</v>
      </c>
      <c r="H1211" s="123">
        <v>2</v>
      </c>
      <c r="I1211" s="124"/>
      <c r="J1211" s="124"/>
      <c r="K1211" s="124" t="s">
        <v>1614</v>
      </c>
      <c r="L1211" s="120" t="s">
        <v>8</v>
      </c>
      <c r="M1211" s="120"/>
      <c r="N1211" s="124"/>
      <c r="O1211" s="120"/>
      <c r="P1211" s="120"/>
      <c r="Q1211" s="120"/>
      <c r="R1211" s="120"/>
      <c r="S1211" s="120"/>
      <c r="T1211" s="120"/>
    </row>
    <row r="1212" spans="2:20" x14ac:dyDescent="0.3">
      <c r="B1212" s="120">
        <v>324848</v>
      </c>
      <c r="C1212" s="121">
        <v>324842</v>
      </c>
      <c r="D1212" s="120" t="s">
        <v>6</v>
      </c>
      <c r="E1212" s="120" t="s">
        <v>7</v>
      </c>
      <c r="F1212" s="122" t="s">
        <v>1100</v>
      </c>
      <c r="G1212" s="123" t="s">
        <v>8</v>
      </c>
      <c r="H1212" s="123">
        <v>5</v>
      </c>
      <c r="I1212" s="124"/>
      <c r="J1212" s="124" t="s">
        <v>1101</v>
      </c>
      <c r="K1212" s="124" t="s">
        <v>1614</v>
      </c>
      <c r="L1212" s="120" t="s">
        <v>8</v>
      </c>
      <c r="M1212" s="120"/>
      <c r="N1212" s="124"/>
      <c r="O1212" s="120"/>
      <c r="P1212" s="120"/>
      <c r="Q1212" s="120"/>
      <c r="R1212" s="120"/>
      <c r="S1212" s="120"/>
      <c r="T1212" s="120"/>
    </row>
    <row r="1213" spans="2:20" x14ac:dyDescent="0.3">
      <c r="B1213" s="120">
        <v>324847</v>
      </c>
      <c r="C1213" s="121">
        <v>324842</v>
      </c>
      <c r="D1213" s="120" t="s">
        <v>6</v>
      </c>
      <c r="E1213" s="120" t="s">
        <v>7</v>
      </c>
      <c r="F1213" s="122" t="s">
        <v>1102</v>
      </c>
      <c r="G1213" s="123" t="s">
        <v>8</v>
      </c>
      <c r="H1213" s="123">
        <v>2</v>
      </c>
      <c r="I1213" s="124"/>
      <c r="J1213" s="124"/>
      <c r="K1213" s="124" t="s">
        <v>1614</v>
      </c>
      <c r="L1213" s="120" t="s">
        <v>8</v>
      </c>
      <c r="M1213" s="120"/>
      <c r="N1213" s="124"/>
      <c r="O1213" s="120"/>
      <c r="P1213" s="120"/>
      <c r="Q1213" s="120"/>
      <c r="R1213" s="120"/>
      <c r="S1213" s="120"/>
      <c r="T1213" s="120"/>
    </row>
    <row r="1214" spans="2:20" ht="28.8" x14ac:dyDescent="0.3">
      <c r="B1214" s="120">
        <v>324846</v>
      </c>
      <c r="C1214" s="121">
        <v>324842</v>
      </c>
      <c r="D1214" s="120" t="s">
        <v>6</v>
      </c>
      <c r="E1214" s="120" t="s">
        <v>7</v>
      </c>
      <c r="F1214" s="122" t="s">
        <v>1103</v>
      </c>
      <c r="G1214" s="123" t="s">
        <v>8</v>
      </c>
      <c r="H1214" s="123">
        <v>3</v>
      </c>
      <c r="I1214" s="124"/>
      <c r="J1214" s="124"/>
      <c r="K1214" s="124" t="s">
        <v>1614</v>
      </c>
      <c r="L1214" s="120" t="s">
        <v>8</v>
      </c>
      <c r="M1214" s="120"/>
      <c r="N1214" s="124"/>
      <c r="O1214" s="120"/>
      <c r="P1214" s="120"/>
      <c r="Q1214" s="120"/>
      <c r="R1214" s="120"/>
      <c r="S1214" s="120"/>
      <c r="T1214" s="120"/>
    </row>
    <row r="1215" spans="2:20" x14ac:dyDescent="0.3">
      <c r="B1215" s="120">
        <v>324845</v>
      </c>
      <c r="C1215" s="121">
        <v>324842</v>
      </c>
      <c r="D1215" s="120" t="s">
        <v>6</v>
      </c>
      <c r="E1215" s="120" t="s">
        <v>7</v>
      </c>
      <c r="F1215" s="122" t="s">
        <v>1104</v>
      </c>
      <c r="G1215" s="123" t="s">
        <v>8</v>
      </c>
      <c r="H1215" s="123">
        <v>8</v>
      </c>
      <c r="I1215" s="124"/>
      <c r="J1215" s="124" t="s">
        <v>1105</v>
      </c>
      <c r="K1215" s="124" t="s">
        <v>1614</v>
      </c>
      <c r="L1215" s="120" t="s">
        <v>8</v>
      </c>
      <c r="M1215" s="120"/>
      <c r="N1215" s="124"/>
      <c r="O1215" s="120"/>
      <c r="P1215" s="120"/>
      <c r="Q1215" s="120"/>
      <c r="R1215" s="120"/>
      <c r="S1215" s="120"/>
      <c r="T1215" s="120"/>
    </row>
    <row r="1216" spans="2:20" x14ac:dyDescent="0.3">
      <c r="B1216" s="120">
        <v>324844</v>
      </c>
      <c r="C1216" s="121">
        <v>324842</v>
      </c>
      <c r="D1216" s="120" t="s">
        <v>6</v>
      </c>
      <c r="E1216" s="120" t="s">
        <v>7</v>
      </c>
      <c r="F1216" s="122" t="s">
        <v>960</v>
      </c>
      <c r="G1216" s="123" t="s">
        <v>8</v>
      </c>
      <c r="H1216" s="123">
        <v>1</v>
      </c>
      <c r="I1216" s="124"/>
      <c r="J1216" s="124" t="s">
        <v>1106</v>
      </c>
      <c r="K1216" s="124" t="s">
        <v>1614</v>
      </c>
      <c r="L1216" s="120" t="s">
        <v>8</v>
      </c>
      <c r="M1216" s="120"/>
      <c r="N1216" s="124"/>
      <c r="O1216" s="120"/>
      <c r="P1216" s="120"/>
      <c r="Q1216" s="120"/>
      <c r="R1216" s="120"/>
      <c r="S1216" s="120"/>
      <c r="T1216" s="120"/>
    </row>
    <row r="1217" spans="2:20" x14ac:dyDescent="0.3">
      <c r="B1217" s="120">
        <v>324843</v>
      </c>
      <c r="C1217" s="121">
        <v>324842</v>
      </c>
      <c r="D1217" s="120" t="s">
        <v>6</v>
      </c>
      <c r="E1217" s="120" t="s">
        <v>7</v>
      </c>
      <c r="F1217" s="122" t="s">
        <v>1107</v>
      </c>
      <c r="G1217" s="123" t="s">
        <v>8</v>
      </c>
      <c r="H1217" s="123">
        <v>2</v>
      </c>
      <c r="I1217" s="124"/>
      <c r="J1217" s="124"/>
      <c r="K1217" s="124" t="s">
        <v>1614</v>
      </c>
      <c r="L1217" s="120" t="s">
        <v>8</v>
      </c>
      <c r="M1217" s="120"/>
      <c r="N1217" s="124"/>
      <c r="O1217" s="120"/>
      <c r="P1217" s="120"/>
      <c r="Q1217" s="120"/>
      <c r="R1217" s="120"/>
      <c r="S1217" s="120"/>
      <c r="T1217" s="120"/>
    </row>
    <row r="1218" spans="2:20" x14ac:dyDescent="0.3">
      <c r="B1218" s="120">
        <v>321410</v>
      </c>
      <c r="C1218" s="121">
        <v>296198</v>
      </c>
      <c r="D1218" s="120" t="s">
        <v>6</v>
      </c>
      <c r="E1218" s="120" t="s">
        <v>7</v>
      </c>
      <c r="F1218" s="122" t="s">
        <v>1110</v>
      </c>
      <c r="G1218" s="123" t="s">
        <v>8</v>
      </c>
      <c r="H1218" s="123">
        <v>1</v>
      </c>
      <c r="I1218" s="124"/>
      <c r="J1218" s="124"/>
      <c r="K1218" s="124" t="s">
        <v>1614</v>
      </c>
      <c r="L1218" s="120" t="s">
        <v>11</v>
      </c>
      <c r="M1218" s="120"/>
      <c r="N1218" s="124"/>
      <c r="O1218" s="120"/>
      <c r="P1218" s="120"/>
      <c r="Q1218" s="120"/>
      <c r="R1218" s="120"/>
      <c r="S1218" s="120"/>
      <c r="T1218" s="120"/>
    </row>
    <row r="1219" spans="2:20" x14ac:dyDescent="0.3">
      <c r="B1219" s="120">
        <v>321409</v>
      </c>
      <c r="C1219" s="121">
        <v>296198</v>
      </c>
      <c r="D1219" s="120" t="s">
        <v>6</v>
      </c>
      <c r="E1219" s="120" t="s">
        <v>7</v>
      </c>
      <c r="F1219" s="122" t="s">
        <v>1111</v>
      </c>
      <c r="G1219" s="123" t="s">
        <v>8</v>
      </c>
      <c r="H1219" s="123">
        <v>2</v>
      </c>
      <c r="I1219" s="124"/>
      <c r="J1219" s="124"/>
      <c r="K1219" s="124" t="s">
        <v>1614</v>
      </c>
      <c r="L1219" s="120" t="s">
        <v>11</v>
      </c>
      <c r="M1219" s="120"/>
      <c r="N1219" s="124"/>
      <c r="O1219" s="120"/>
      <c r="P1219" s="120"/>
      <c r="Q1219" s="120"/>
      <c r="R1219" s="120"/>
      <c r="S1219" s="120"/>
      <c r="T1219" s="120"/>
    </row>
    <row r="1220" spans="2:20" ht="28.8" x14ac:dyDescent="0.3">
      <c r="B1220" s="120">
        <v>321408</v>
      </c>
      <c r="C1220" s="121">
        <v>296198</v>
      </c>
      <c r="D1220" s="120" t="s">
        <v>6</v>
      </c>
      <c r="E1220" s="120" t="s">
        <v>7</v>
      </c>
      <c r="F1220" s="122" t="s">
        <v>1112</v>
      </c>
      <c r="G1220" s="123" t="s">
        <v>8</v>
      </c>
      <c r="H1220" s="123">
        <v>1</v>
      </c>
      <c r="I1220" s="124"/>
      <c r="J1220" s="124"/>
      <c r="K1220" s="124" t="s">
        <v>1614</v>
      </c>
      <c r="L1220" s="120" t="s">
        <v>11</v>
      </c>
      <c r="M1220" s="120"/>
      <c r="N1220" s="124"/>
      <c r="O1220" s="120"/>
      <c r="P1220" s="120"/>
      <c r="Q1220" s="120"/>
      <c r="R1220" s="120"/>
      <c r="S1220" s="120"/>
      <c r="T1220" s="120"/>
    </row>
    <row r="1221" spans="2:20" ht="28.8" x14ac:dyDescent="0.3">
      <c r="B1221" s="120">
        <v>321407</v>
      </c>
      <c r="C1221" s="121">
        <v>296198</v>
      </c>
      <c r="D1221" s="120" t="s">
        <v>6</v>
      </c>
      <c r="E1221" s="120" t="s">
        <v>7</v>
      </c>
      <c r="F1221" s="122" t="s">
        <v>1113</v>
      </c>
      <c r="G1221" s="123" t="s">
        <v>8</v>
      </c>
      <c r="H1221" s="123">
        <v>2</v>
      </c>
      <c r="I1221" s="124"/>
      <c r="J1221" s="124"/>
      <c r="K1221" s="124" t="s">
        <v>1614</v>
      </c>
      <c r="L1221" s="120" t="s">
        <v>11</v>
      </c>
      <c r="M1221" s="120"/>
      <c r="N1221" s="124"/>
      <c r="O1221" s="120"/>
      <c r="P1221" s="120"/>
      <c r="Q1221" s="120"/>
      <c r="R1221" s="120"/>
      <c r="S1221" s="120"/>
      <c r="T1221" s="120"/>
    </row>
    <row r="1222" spans="2:20" ht="28.8" x14ac:dyDescent="0.3">
      <c r="B1222" s="120">
        <v>321406</v>
      </c>
      <c r="C1222" s="121">
        <v>296198</v>
      </c>
      <c r="D1222" s="120" t="s">
        <v>6</v>
      </c>
      <c r="E1222" s="120" t="s">
        <v>7</v>
      </c>
      <c r="F1222" s="122" t="s">
        <v>1114</v>
      </c>
      <c r="G1222" s="123" t="s">
        <v>8</v>
      </c>
      <c r="H1222" s="123">
        <v>1</v>
      </c>
      <c r="I1222" s="124"/>
      <c r="J1222" s="124"/>
      <c r="K1222" s="124" t="s">
        <v>1614</v>
      </c>
      <c r="L1222" s="120" t="s">
        <v>11</v>
      </c>
      <c r="M1222" s="120"/>
      <c r="N1222" s="124"/>
      <c r="O1222" s="120"/>
      <c r="P1222" s="120"/>
      <c r="Q1222" s="120"/>
      <c r="R1222" s="120"/>
      <c r="S1222" s="120"/>
      <c r="T1222" s="120"/>
    </row>
    <row r="1223" spans="2:20" ht="28.8" x14ac:dyDescent="0.3">
      <c r="B1223" s="120">
        <v>321405</v>
      </c>
      <c r="C1223" s="121">
        <v>296198</v>
      </c>
      <c r="D1223" s="120" t="s">
        <v>6</v>
      </c>
      <c r="E1223" s="120" t="s">
        <v>7</v>
      </c>
      <c r="F1223" s="122" t="s">
        <v>1115</v>
      </c>
      <c r="G1223" s="123" t="s">
        <v>8</v>
      </c>
      <c r="H1223" s="123">
        <v>5</v>
      </c>
      <c r="I1223" s="124"/>
      <c r="J1223" s="124"/>
      <c r="K1223" s="124" t="s">
        <v>1614</v>
      </c>
      <c r="L1223" s="120" t="s">
        <v>11</v>
      </c>
      <c r="M1223" s="120"/>
      <c r="N1223" s="124"/>
      <c r="O1223" s="120"/>
      <c r="P1223" s="120"/>
      <c r="Q1223" s="120"/>
      <c r="R1223" s="120"/>
      <c r="S1223" s="120"/>
      <c r="T1223" s="120"/>
    </row>
    <row r="1224" spans="2:20" x14ac:dyDescent="0.3">
      <c r="B1224" s="120">
        <v>321404</v>
      </c>
      <c r="C1224" s="121">
        <v>296198</v>
      </c>
      <c r="D1224" s="120" t="s">
        <v>6</v>
      </c>
      <c r="E1224" s="120" t="s">
        <v>7</v>
      </c>
      <c r="F1224" s="122" t="s">
        <v>1116</v>
      </c>
      <c r="G1224" s="123" t="s">
        <v>8</v>
      </c>
      <c r="H1224" s="123">
        <v>3</v>
      </c>
      <c r="I1224" s="124"/>
      <c r="J1224" s="124"/>
      <c r="K1224" s="124" t="s">
        <v>1614</v>
      </c>
      <c r="L1224" s="120" t="s">
        <v>129</v>
      </c>
      <c r="M1224" s="120"/>
      <c r="N1224" s="124"/>
      <c r="O1224" s="120"/>
      <c r="P1224" s="120"/>
      <c r="Q1224" s="120"/>
      <c r="R1224" s="120"/>
      <c r="S1224" s="120"/>
      <c r="T1224" s="120"/>
    </row>
    <row r="1225" spans="2:20" x14ac:dyDescent="0.3">
      <c r="B1225" s="120">
        <v>321403</v>
      </c>
      <c r="C1225" s="121">
        <v>296198</v>
      </c>
      <c r="D1225" s="120" t="s">
        <v>6</v>
      </c>
      <c r="E1225" s="120" t="s">
        <v>7</v>
      </c>
      <c r="F1225" s="122" t="s">
        <v>1117</v>
      </c>
      <c r="G1225" s="123" t="s">
        <v>8</v>
      </c>
      <c r="H1225" s="123">
        <v>2</v>
      </c>
      <c r="I1225" s="124"/>
      <c r="J1225" s="124"/>
      <c r="K1225" s="124" t="s">
        <v>1614</v>
      </c>
      <c r="L1225" s="120" t="s">
        <v>129</v>
      </c>
      <c r="M1225" s="120"/>
      <c r="N1225" s="124"/>
      <c r="O1225" s="120"/>
      <c r="P1225" s="120"/>
      <c r="Q1225" s="120"/>
      <c r="R1225" s="120"/>
      <c r="S1225" s="120"/>
      <c r="T1225" s="120"/>
    </row>
    <row r="1226" spans="2:20" x14ac:dyDescent="0.3">
      <c r="B1226" s="120">
        <v>321402</v>
      </c>
      <c r="C1226" s="121">
        <v>296198</v>
      </c>
      <c r="D1226" s="120" t="s">
        <v>6</v>
      </c>
      <c r="E1226" s="120" t="s">
        <v>7</v>
      </c>
      <c r="F1226" s="122" t="s">
        <v>1118</v>
      </c>
      <c r="G1226" s="123" t="s">
        <v>8</v>
      </c>
      <c r="H1226" s="123">
        <v>1</v>
      </c>
      <c r="I1226" s="124"/>
      <c r="J1226" s="124"/>
      <c r="K1226" s="124" t="s">
        <v>1614</v>
      </c>
      <c r="L1226" s="120" t="s">
        <v>11</v>
      </c>
      <c r="M1226" s="120"/>
      <c r="N1226" s="124"/>
      <c r="O1226" s="120"/>
      <c r="P1226" s="120"/>
      <c r="Q1226" s="120"/>
      <c r="R1226" s="120"/>
      <c r="S1226" s="120"/>
      <c r="T1226" s="120"/>
    </row>
    <row r="1227" spans="2:20" x14ac:dyDescent="0.3">
      <c r="B1227" s="120">
        <v>321401</v>
      </c>
      <c r="C1227" s="121">
        <v>296198</v>
      </c>
      <c r="D1227" s="120" t="s">
        <v>6</v>
      </c>
      <c r="E1227" s="120" t="s">
        <v>7</v>
      </c>
      <c r="F1227" s="139" t="s">
        <v>1119</v>
      </c>
      <c r="G1227" s="123" t="s">
        <v>8</v>
      </c>
      <c r="H1227" s="123">
        <v>2</v>
      </c>
      <c r="I1227" s="124"/>
      <c r="J1227" s="124"/>
      <c r="K1227" s="124" t="s">
        <v>1614</v>
      </c>
      <c r="L1227" s="120" t="s">
        <v>11</v>
      </c>
      <c r="M1227" s="120"/>
      <c r="N1227" s="124"/>
      <c r="O1227" s="120"/>
      <c r="P1227" s="120"/>
      <c r="Q1227" s="120"/>
      <c r="R1227" s="120"/>
      <c r="S1227" s="120"/>
      <c r="T1227" s="120"/>
    </row>
    <row r="1228" spans="2:20" x14ac:dyDescent="0.3">
      <c r="B1228" s="120">
        <v>321315</v>
      </c>
      <c r="C1228" s="121">
        <v>316311</v>
      </c>
      <c r="D1228" s="120" t="s">
        <v>6</v>
      </c>
      <c r="E1228" s="120" t="s">
        <v>7</v>
      </c>
      <c r="F1228" s="122" t="s">
        <v>1120</v>
      </c>
      <c r="G1228" s="123" t="s">
        <v>8</v>
      </c>
      <c r="H1228" s="123">
        <v>1</v>
      </c>
      <c r="I1228" s="124"/>
      <c r="J1228" s="124"/>
      <c r="K1228" s="124" t="s">
        <v>1614</v>
      </c>
      <c r="L1228" s="120" t="s">
        <v>8</v>
      </c>
      <c r="M1228" s="120"/>
      <c r="N1228" s="124"/>
      <c r="O1228" s="120"/>
      <c r="P1228" s="120"/>
      <c r="Q1228" s="120"/>
      <c r="R1228" s="120"/>
      <c r="S1228" s="120"/>
      <c r="T1228" s="120"/>
    </row>
    <row r="1229" spans="2:20" ht="28.8" x14ac:dyDescent="0.3">
      <c r="B1229" s="120">
        <v>321314</v>
      </c>
      <c r="C1229" s="121">
        <v>316311</v>
      </c>
      <c r="D1229" s="120" t="s">
        <v>6</v>
      </c>
      <c r="E1229" s="120" t="s">
        <v>7</v>
      </c>
      <c r="F1229" s="122" t="s">
        <v>1121</v>
      </c>
      <c r="G1229" s="123" t="s">
        <v>8</v>
      </c>
      <c r="H1229" s="123">
        <v>2</v>
      </c>
      <c r="I1229" s="124"/>
      <c r="J1229" s="124"/>
      <c r="K1229" s="124" t="s">
        <v>1614</v>
      </c>
      <c r="L1229" s="120" t="s">
        <v>8</v>
      </c>
      <c r="M1229" s="120"/>
      <c r="N1229" s="124"/>
      <c r="O1229" s="120"/>
      <c r="P1229" s="120"/>
      <c r="Q1229" s="120"/>
      <c r="R1229" s="120"/>
      <c r="S1229" s="120"/>
      <c r="T1229" s="120"/>
    </row>
    <row r="1230" spans="2:20" x14ac:dyDescent="0.3">
      <c r="B1230" s="120">
        <v>321313</v>
      </c>
      <c r="C1230" s="121">
        <v>316311</v>
      </c>
      <c r="D1230" s="120" t="s">
        <v>6</v>
      </c>
      <c r="E1230" s="120" t="s">
        <v>7</v>
      </c>
      <c r="F1230" s="122" t="s">
        <v>1122</v>
      </c>
      <c r="G1230" s="123" t="s">
        <v>8</v>
      </c>
      <c r="H1230" s="123">
        <v>1</v>
      </c>
      <c r="I1230" s="124"/>
      <c r="J1230" s="124"/>
      <c r="K1230" s="124" t="s">
        <v>1614</v>
      </c>
      <c r="L1230" s="120" t="s">
        <v>8</v>
      </c>
      <c r="M1230" s="120"/>
      <c r="N1230" s="124"/>
      <c r="O1230" s="120"/>
      <c r="P1230" s="120"/>
      <c r="Q1230" s="120"/>
      <c r="R1230" s="120"/>
      <c r="S1230" s="120"/>
      <c r="T1230" s="120"/>
    </row>
    <row r="1231" spans="2:20" x14ac:dyDescent="0.3">
      <c r="B1231" s="120">
        <v>321312</v>
      </c>
      <c r="C1231" s="121">
        <v>316311</v>
      </c>
      <c r="D1231" s="120" t="s">
        <v>6</v>
      </c>
      <c r="E1231" s="120" t="s">
        <v>7</v>
      </c>
      <c r="F1231" s="122" t="s">
        <v>1123</v>
      </c>
      <c r="G1231" s="123" t="s">
        <v>8</v>
      </c>
      <c r="H1231" s="123">
        <v>1</v>
      </c>
      <c r="I1231" s="124"/>
      <c r="J1231" s="124"/>
      <c r="K1231" s="124" t="s">
        <v>1614</v>
      </c>
      <c r="L1231" s="120" t="s">
        <v>8</v>
      </c>
      <c r="M1231" s="120"/>
      <c r="N1231" s="124"/>
      <c r="O1231" s="120"/>
      <c r="P1231" s="120"/>
      <c r="Q1231" s="120"/>
      <c r="R1231" s="120"/>
      <c r="S1231" s="120"/>
      <c r="T1231" s="120"/>
    </row>
    <row r="1232" spans="2:20" x14ac:dyDescent="0.3">
      <c r="B1232" s="90">
        <v>321311</v>
      </c>
      <c r="C1232" s="99">
        <v>316311</v>
      </c>
      <c r="D1232" s="90" t="s">
        <v>6</v>
      </c>
      <c r="E1232" s="90" t="s">
        <v>7</v>
      </c>
      <c r="F1232" s="100" t="s">
        <v>1124</v>
      </c>
      <c r="G1232" s="101" t="s">
        <v>8</v>
      </c>
      <c r="H1232" s="101">
        <v>5</v>
      </c>
      <c r="K1232" s="102" t="s">
        <v>1614</v>
      </c>
      <c r="L1232" s="90" t="s">
        <v>8</v>
      </c>
    </row>
    <row r="1233" spans="2:20" x14ac:dyDescent="0.3">
      <c r="B1233" s="90">
        <v>321310</v>
      </c>
      <c r="C1233" s="99">
        <v>316311</v>
      </c>
      <c r="D1233" s="90" t="s">
        <v>6</v>
      </c>
      <c r="E1233" s="90" t="s">
        <v>7</v>
      </c>
      <c r="F1233" s="100" t="s">
        <v>1125</v>
      </c>
      <c r="G1233" s="101" t="s">
        <v>8</v>
      </c>
      <c r="H1233" s="101">
        <v>1</v>
      </c>
      <c r="K1233" s="102" t="s">
        <v>1614</v>
      </c>
      <c r="L1233" s="90" t="s">
        <v>8</v>
      </c>
    </row>
    <row r="1234" spans="2:20" x14ac:dyDescent="0.3">
      <c r="B1234" s="90">
        <v>321304</v>
      </c>
      <c r="C1234" s="99">
        <v>316311</v>
      </c>
      <c r="D1234" s="90" t="s">
        <v>6</v>
      </c>
      <c r="E1234" s="90" t="s">
        <v>7</v>
      </c>
      <c r="F1234" s="100" t="s">
        <v>1126</v>
      </c>
      <c r="G1234" s="101" t="s">
        <v>8</v>
      </c>
      <c r="H1234" s="101">
        <v>3</v>
      </c>
      <c r="K1234" s="102" t="s">
        <v>1614</v>
      </c>
      <c r="L1234" s="90" t="s">
        <v>8</v>
      </c>
    </row>
    <row r="1235" spans="2:20" x14ac:dyDescent="0.3">
      <c r="B1235" s="90">
        <v>321294</v>
      </c>
      <c r="C1235" s="99">
        <v>316311</v>
      </c>
      <c r="D1235" s="90" t="s">
        <v>6</v>
      </c>
      <c r="E1235" s="90" t="s">
        <v>7</v>
      </c>
      <c r="F1235" s="100" t="s">
        <v>1127</v>
      </c>
      <c r="G1235" s="101" t="s">
        <v>8</v>
      </c>
      <c r="H1235" s="101">
        <v>3</v>
      </c>
      <c r="K1235" s="102" t="s">
        <v>1614</v>
      </c>
      <c r="L1235" s="90" t="s">
        <v>8</v>
      </c>
    </row>
    <row r="1236" spans="2:20" x14ac:dyDescent="0.3">
      <c r="B1236" s="120">
        <v>321291</v>
      </c>
      <c r="C1236" s="121">
        <v>316311</v>
      </c>
      <c r="D1236" s="120" t="s">
        <v>6</v>
      </c>
      <c r="E1236" s="120" t="s">
        <v>7</v>
      </c>
      <c r="F1236" s="122" t="s">
        <v>1128</v>
      </c>
      <c r="G1236" s="123" t="s">
        <v>8</v>
      </c>
      <c r="H1236" s="123">
        <v>3</v>
      </c>
      <c r="I1236" s="124"/>
      <c r="J1236" s="124"/>
      <c r="K1236" s="124" t="s">
        <v>1614</v>
      </c>
      <c r="L1236" s="120" t="s">
        <v>8</v>
      </c>
      <c r="M1236" s="120"/>
      <c r="N1236" s="124"/>
      <c r="O1236" s="120"/>
      <c r="P1236" s="120"/>
      <c r="Q1236" s="120"/>
      <c r="R1236" s="120"/>
      <c r="S1236" s="120"/>
      <c r="T1236" s="120"/>
    </row>
    <row r="1237" spans="2:20" x14ac:dyDescent="0.3">
      <c r="B1237" s="120">
        <v>311398</v>
      </c>
      <c r="C1237" s="121">
        <v>311386</v>
      </c>
      <c r="D1237" s="120" t="s">
        <v>6</v>
      </c>
      <c r="E1237" s="120" t="s">
        <v>7</v>
      </c>
      <c r="F1237" s="122" t="s">
        <v>1157</v>
      </c>
      <c r="G1237" s="123" t="s">
        <v>8</v>
      </c>
      <c r="H1237" s="123">
        <v>1</v>
      </c>
      <c r="I1237" s="124"/>
      <c r="J1237" s="124" t="s">
        <v>1158</v>
      </c>
      <c r="K1237" s="124" t="s">
        <v>1614</v>
      </c>
      <c r="L1237" s="120" t="s">
        <v>8</v>
      </c>
      <c r="M1237" s="120"/>
      <c r="N1237" s="124"/>
      <c r="O1237" s="120"/>
      <c r="P1237" s="120"/>
      <c r="Q1237" s="120"/>
      <c r="R1237" s="120"/>
      <c r="S1237" s="120"/>
      <c r="T1237" s="120"/>
    </row>
    <row r="1238" spans="2:20" x14ac:dyDescent="0.3">
      <c r="B1238" s="120">
        <v>311390</v>
      </c>
      <c r="C1238" s="121">
        <v>311386</v>
      </c>
      <c r="D1238" s="120" t="s">
        <v>6</v>
      </c>
      <c r="E1238" s="120" t="s">
        <v>7</v>
      </c>
      <c r="F1238" s="122" t="s">
        <v>1159</v>
      </c>
      <c r="G1238" s="123" t="s">
        <v>8</v>
      </c>
      <c r="H1238" s="123">
        <v>8</v>
      </c>
      <c r="I1238" s="124"/>
      <c r="J1238" s="124" t="s">
        <v>1160</v>
      </c>
      <c r="K1238" s="124" t="s">
        <v>1614</v>
      </c>
      <c r="L1238" s="120" t="s">
        <v>129</v>
      </c>
      <c r="M1238" s="120"/>
      <c r="N1238" s="124"/>
      <c r="O1238" s="120"/>
      <c r="P1238" s="120"/>
      <c r="Q1238" s="120"/>
      <c r="R1238" s="120"/>
      <c r="S1238" s="120"/>
      <c r="T1238" s="120"/>
    </row>
    <row r="1239" spans="2:20" ht="43.2" x14ac:dyDescent="0.3">
      <c r="B1239" s="120">
        <v>309988</v>
      </c>
      <c r="C1239" s="121">
        <v>309972</v>
      </c>
      <c r="D1239" s="120" t="s">
        <v>6</v>
      </c>
      <c r="E1239" s="120" t="s">
        <v>7</v>
      </c>
      <c r="F1239" s="122" t="s">
        <v>1177</v>
      </c>
      <c r="G1239" s="123" t="s">
        <v>8</v>
      </c>
      <c r="H1239" s="123">
        <v>8</v>
      </c>
      <c r="I1239" s="124"/>
      <c r="J1239" s="124" t="s">
        <v>1178</v>
      </c>
      <c r="K1239" s="124" t="s">
        <v>1614</v>
      </c>
      <c r="L1239" s="120" t="s">
        <v>129</v>
      </c>
      <c r="M1239" s="120"/>
      <c r="N1239" s="124"/>
      <c r="O1239" s="120"/>
      <c r="P1239" s="120"/>
      <c r="Q1239" s="120"/>
      <c r="R1239" s="120"/>
      <c r="S1239" s="120"/>
      <c r="T1239" s="120"/>
    </row>
    <row r="1240" spans="2:20" x14ac:dyDescent="0.3">
      <c r="B1240" s="120">
        <v>309983</v>
      </c>
      <c r="C1240" s="121">
        <v>309972</v>
      </c>
      <c r="D1240" s="120" t="s">
        <v>6</v>
      </c>
      <c r="E1240" s="120" t="s">
        <v>7</v>
      </c>
      <c r="F1240" s="122" t="s">
        <v>1179</v>
      </c>
      <c r="G1240" s="123" t="s">
        <v>8</v>
      </c>
      <c r="H1240" s="123">
        <v>8</v>
      </c>
      <c r="I1240" s="124"/>
      <c r="J1240" s="124" t="s">
        <v>1180</v>
      </c>
      <c r="K1240" s="124" t="s">
        <v>1614</v>
      </c>
      <c r="L1240" s="120" t="s">
        <v>129</v>
      </c>
      <c r="M1240" s="120"/>
      <c r="N1240" s="124"/>
      <c r="O1240" s="120"/>
      <c r="P1240" s="120"/>
      <c r="Q1240" s="120"/>
      <c r="R1240" s="120"/>
      <c r="S1240" s="120"/>
      <c r="T1240" s="120"/>
    </row>
    <row r="1241" spans="2:20" x14ac:dyDescent="0.3">
      <c r="B1241" s="120">
        <v>302654</v>
      </c>
      <c r="C1241" s="121">
        <v>302643</v>
      </c>
      <c r="D1241" s="120" t="s">
        <v>6</v>
      </c>
      <c r="E1241" s="120" t="s">
        <v>7</v>
      </c>
      <c r="F1241" s="122" t="s">
        <v>1181</v>
      </c>
      <c r="G1241" s="123" t="s">
        <v>8</v>
      </c>
      <c r="H1241" s="123">
        <v>1</v>
      </c>
      <c r="I1241" s="124" t="s">
        <v>1182</v>
      </c>
      <c r="J1241" s="124" t="s">
        <v>1183</v>
      </c>
      <c r="K1241" s="124" t="s">
        <v>1614</v>
      </c>
      <c r="L1241" s="120" t="s">
        <v>8</v>
      </c>
      <c r="M1241" s="120"/>
      <c r="N1241" s="124"/>
      <c r="O1241" s="120"/>
      <c r="P1241" s="120"/>
      <c r="Q1241" s="120"/>
      <c r="R1241" s="120"/>
      <c r="S1241" s="120"/>
      <c r="T1241" s="120"/>
    </row>
    <row r="1242" spans="2:20" x14ac:dyDescent="0.3">
      <c r="B1242" s="120">
        <v>302646</v>
      </c>
      <c r="C1242" s="121">
        <v>302643</v>
      </c>
      <c r="D1242" s="120" t="s">
        <v>6</v>
      </c>
      <c r="E1242" s="120" t="s">
        <v>7</v>
      </c>
      <c r="F1242" s="122" t="s">
        <v>1184</v>
      </c>
      <c r="G1242" s="123" t="s">
        <v>8</v>
      </c>
      <c r="H1242" s="123">
        <v>3</v>
      </c>
      <c r="I1242" s="124" t="s">
        <v>1182</v>
      </c>
      <c r="J1242" s="124" t="s">
        <v>1185</v>
      </c>
      <c r="K1242" s="124" t="s">
        <v>1614</v>
      </c>
      <c r="L1242" s="120" t="s">
        <v>129</v>
      </c>
      <c r="M1242" s="120"/>
      <c r="N1242" s="124"/>
      <c r="O1242" s="120"/>
      <c r="P1242" s="120"/>
      <c r="Q1242" s="120"/>
      <c r="R1242" s="120"/>
      <c r="S1242" s="120"/>
      <c r="T1242" s="120"/>
    </row>
    <row r="1243" spans="2:20" x14ac:dyDescent="0.3">
      <c r="B1243" s="120">
        <v>302369</v>
      </c>
      <c r="C1243" s="121">
        <v>302184</v>
      </c>
      <c r="D1243" s="120" t="s">
        <v>6</v>
      </c>
      <c r="E1243" s="120" t="s">
        <v>7</v>
      </c>
      <c r="F1243" s="122" t="s">
        <v>1186</v>
      </c>
      <c r="G1243" s="123" t="s">
        <v>8</v>
      </c>
      <c r="H1243" s="123">
        <v>2</v>
      </c>
      <c r="I1243" s="124"/>
      <c r="J1243" s="124"/>
      <c r="K1243" s="124" t="s">
        <v>1614</v>
      </c>
      <c r="L1243" s="120" t="s">
        <v>8</v>
      </c>
      <c r="M1243" s="120"/>
      <c r="N1243" s="124"/>
      <c r="O1243" s="120"/>
      <c r="P1243" s="120"/>
      <c r="Q1243" s="120"/>
      <c r="R1243" s="120"/>
      <c r="S1243" s="120"/>
      <c r="T1243" s="120"/>
    </row>
    <row r="1244" spans="2:20" x14ac:dyDescent="0.3">
      <c r="B1244" s="120">
        <v>302366</v>
      </c>
      <c r="C1244" s="121">
        <v>302184</v>
      </c>
      <c r="D1244" s="120" t="s">
        <v>6</v>
      </c>
      <c r="E1244" s="120" t="s">
        <v>7</v>
      </c>
      <c r="F1244" s="122" t="s">
        <v>1187</v>
      </c>
      <c r="G1244" s="123" t="s">
        <v>8</v>
      </c>
      <c r="H1244" s="123">
        <v>2</v>
      </c>
      <c r="I1244" s="124"/>
      <c r="J1244" s="124"/>
      <c r="K1244" s="124" t="s">
        <v>1614</v>
      </c>
      <c r="L1244" s="120" t="s">
        <v>8</v>
      </c>
      <c r="M1244" s="120"/>
      <c r="N1244" s="124"/>
      <c r="O1244" s="120"/>
      <c r="P1244" s="120"/>
      <c r="Q1244" s="120"/>
      <c r="R1244" s="120"/>
      <c r="S1244" s="120"/>
      <c r="T1244" s="120"/>
    </row>
    <row r="1245" spans="2:20" x14ac:dyDescent="0.3">
      <c r="B1245" s="120">
        <v>302350</v>
      </c>
      <c r="C1245" s="121">
        <v>302184</v>
      </c>
      <c r="D1245" s="120" t="s">
        <v>6</v>
      </c>
      <c r="E1245" s="120" t="s">
        <v>7</v>
      </c>
      <c r="F1245" s="122" t="s">
        <v>1188</v>
      </c>
      <c r="G1245" s="123" t="s">
        <v>8</v>
      </c>
      <c r="H1245" s="123">
        <v>1</v>
      </c>
      <c r="I1245" s="124"/>
      <c r="J1245" s="124"/>
      <c r="K1245" s="124" t="s">
        <v>1614</v>
      </c>
      <c r="L1245" s="120" t="s">
        <v>8</v>
      </c>
      <c r="M1245" s="120"/>
      <c r="N1245" s="124"/>
      <c r="O1245" s="120"/>
      <c r="P1245" s="120"/>
      <c r="Q1245" s="120"/>
      <c r="R1245" s="120"/>
      <c r="S1245" s="120"/>
      <c r="T1245" s="120"/>
    </row>
    <row r="1246" spans="2:20" x14ac:dyDescent="0.3">
      <c r="B1246" s="90">
        <v>294374</v>
      </c>
      <c r="C1246" s="99">
        <v>294363</v>
      </c>
      <c r="D1246" s="90" t="s">
        <v>6</v>
      </c>
      <c r="E1246" s="90" t="s">
        <v>7</v>
      </c>
      <c r="F1246" s="100" t="s">
        <v>1194</v>
      </c>
      <c r="G1246" s="101" t="s">
        <v>8</v>
      </c>
      <c r="H1246" s="101">
        <v>1</v>
      </c>
      <c r="J1246" s="102" t="s">
        <v>1195</v>
      </c>
      <c r="K1246" s="102" t="s">
        <v>1614</v>
      </c>
      <c r="L1246" s="90" t="s">
        <v>8</v>
      </c>
    </row>
    <row r="1247" spans="2:20" x14ac:dyDescent="0.3">
      <c r="B1247" s="90">
        <v>294366</v>
      </c>
      <c r="C1247" s="99">
        <v>294363</v>
      </c>
      <c r="D1247" s="90" t="s">
        <v>6</v>
      </c>
      <c r="E1247" s="90" t="s">
        <v>7</v>
      </c>
      <c r="F1247" s="100" t="s">
        <v>1196</v>
      </c>
      <c r="G1247" s="101" t="s">
        <v>8</v>
      </c>
      <c r="H1247" s="101">
        <v>2</v>
      </c>
      <c r="J1247" s="102" t="s">
        <v>1197</v>
      </c>
      <c r="K1247" s="102" t="s">
        <v>1614</v>
      </c>
      <c r="L1247" s="90" t="s">
        <v>129</v>
      </c>
    </row>
    <row r="1248" spans="2:20" ht="28.8" x14ac:dyDescent="0.3">
      <c r="B1248" s="90">
        <v>292321</v>
      </c>
      <c r="C1248" s="99">
        <v>238135</v>
      </c>
      <c r="D1248" s="90" t="s">
        <v>6</v>
      </c>
      <c r="E1248" s="90" t="s">
        <v>7</v>
      </c>
      <c r="F1248" s="100" t="s">
        <v>1198</v>
      </c>
      <c r="G1248" s="101" t="s">
        <v>8</v>
      </c>
      <c r="H1248" s="101">
        <v>2</v>
      </c>
      <c r="J1248" s="102" t="s">
        <v>1199</v>
      </c>
      <c r="K1248" s="102" t="s">
        <v>1614</v>
      </c>
      <c r="L1248" s="90" t="s">
        <v>8</v>
      </c>
    </row>
    <row r="1249" spans="2:21" x14ac:dyDescent="0.3">
      <c r="B1249" s="90">
        <v>292313</v>
      </c>
      <c r="C1249" s="99">
        <v>238135</v>
      </c>
      <c r="D1249" s="90" t="s">
        <v>6</v>
      </c>
      <c r="E1249" s="90" t="s">
        <v>7</v>
      </c>
      <c r="F1249" s="100" t="s">
        <v>1200</v>
      </c>
      <c r="G1249" s="101" t="s">
        <v>8</v>
      </c>
      <c r="H1249" s="101">
        <v>5</v>
      </c>
      <c r="J1249" s="102" t="s">
        <v>1201</v>
      </c>
      <c r="K1249" s="102" t="s">
        <v>1614</v>
      </c>
      <c r="L1249" s="90" t="s">
        <v>129</v>
      </c>
    </row>
    <row r="1250" spans="2:21" ht="28.8" x14ac:dyDescent="0.3">
      <c r="B1250" s="120">
        <v>291682</v>
      </c>
      <c r="C1250" s="121">
        <v>291671</v>
      </c>
      <c r="D1250" s="120" t="s">
        <v>6</v>
      </c>
      <c r="E1250" s="120" t="s">
        <v>7</v>
      </c>
      <c r="F1250" s="122" t="s">
        <v>1202</v>
      </c>
      <c r="G1250" s="123" t="s">
        <v>8</v>
      </c>
      <c r="H1250" s="123">
        <v>1</v>
      </c>
      <c r="I1250" s="124"/>
      <c r="J1250" s="124" t="s">
        <v>1203</v>
      </c>
      <c r="K1250" s="124" t="s">
        <v>1614</v>
      </c>
      <c r="L1250" s="120" t="s">
        <v>8</v>
      </c>
      <c r="M1250" s="120"/>
      <c r="N1250" s="124"/>
      <c r="O1250" s="120"/>
      <c r="P1250" s="120"/>
      <c r="Q1250" s="120"/>
      <c r="R1250" s="120"/>
      <c r="S1250" s="120"/>
      <c r="T1250" s="120"/>
    </row>
    <row r="1251" spans="2:21" s="94" customFormat="1" x14ac:dyDescent="0.3">
      <c r="B1251" s="90">
        <v>291674</v>
      </c>
      <c r="C1251" s="99">
        <v>291671</v>
      </c>
      <c r="D1251" s="90" t="s">
        <v>6</v>
      </c>
      <c r="E1251" s="90" t="s">
        <v>7</v>
      </c>
      <c r="F1251" s="100" t="s">
        <v>1204</v>
      </c>
      <c r="G1251" s="101" t="s">
        <v>8</v>
      </c>
      <c r="H1251" s="101">
        <v>3</v>
      </c>
      <c r="I1251" s="102"/>
      <c r="J1251" s="102" t="s">
        <v>1205</v>
      </c>
      <c r="K1251" s="102" t="s">
        <v>1614</v>
      </c>
      <c r="L1251" s="90" t="s">
        <v>129</v>
      </c>
      <c r="M1251" s="90"/>
      <c r="N1251" s="102"/>
      <c r="O1251" s="90"/>
      <c r="P1251" s="90"/>
      <c r="Q1251" s="90"/>
      <c r="R1251" s="90"/>
      <c r="S1251" s="90"/>
      <c r="T1251" s="90"/>
      <c r="U1251" s="90"/>
    </row>
    <row r="1252" spans="2:21" x14ac:dyDescent="0.3">
      <c r="B1252" s="120">
        <v>291071</v>
      </c>
      <c r="C1252" s="121">
        <v>291060</v>
      </c>
      <c r="D1252" s="120" t="s">
        <v>6</v>
      </c>
      <c r="E1252" s="120" t="s">
        <v>7</v>
      </c>
      <c r="F1252" s="122" t="s">
        <v>1206</v>
      </c>
      <c r="G1252" s="123" t="s">
        <v>8</v>
      </c>
      <c r="H1252" s="123">
        <v>1</v>
      </c>
      <c r="I1252" s="124"/>
      <c r="J1252" s="124" t="s">
        <v>1207</v>
      </c>
      <c r="K1252" s="124" t="s">
        <v>1614</v>
      </c>
      <c r="L1252" s="120" t="s">
        <v>8</v>
      </c>
      <c r="M1252" s="120"/>
      <c r="N1252" s="124"/>
      <c r="O1252" s="120"/>
      <c r="P1252" s="120"/>
      <c r="Q1252" s="120"/>
      <c r="R1252" s="120"/>
      <c r="S1252" s="120"/>
      <c r="T1252" s="120"/>
    </row>
    <row r="1253" spans="2:21" x14ac:dyDescent="0.3">
      <c r="B1253" s="120">
        <v>291063</v>
      </c>
      <c r="C1253" s="121">
        <v>291060</v>
      </c>
      <c r="D1253" s="120" t="s">
        <v>6</v>
      </c>
      <c r="E1253" s="120" t="s">
        <v>7</v>
      </c>
      <c r="F1253" s="122" t="s">
        <v>1208</v>
      </c>
      <c r="G1253" s="123" t="s">
        <v>8</v>
      </c>
      <c r="H1253" s="123">
        <v>2</v>
      </c>
      <c r="I1253" s="124"/>
      <c r="J1253" s="124" t="s">
        <v>1209</v>
      </c>
      <c r="K1253" s="124" t="s">
        <v>1614</v>
      </c>
      <c r="L1253" s="120" t="s">
        <v>129</v>
      </c>
      <c r="M1253" s="120"/>
      <c r="N1253" s="124"/>
      <c r="O1253" s="120"/>
      <c r="P1253" s="120"/>
      <c r="Q1253" s="120"/>
      <c r="R1253" s="120"/>
      <c r="S1253" s="120"/>
      <c r="T1253" s="120"/>
    </row>
    <row r="1254" spans="2:21" x14ac:dyDescent="0.3">
      <c r="B1254" s="120">
        <v>290994</v>
      </c>
      <c r="C1254" s="121">
        <v>290983</v>
      </c>
      <c r="D1254" s="120" t="s">
        <v>6</v>
      </c>
      <c r="E1254" s="120" t="s">
        <v>7</v>
      </c>
      <c r="F1254" s="122" t="s">
        <v>1210</v>
      </c>
      <c r="G1254" s="123" t="s">
        <v>8</v>
      </c>
      <c r="H1254" s="123">
        <v>1</v>
      </c>
      <c r="I1254" s="124"/>
      <c r="J1254" s="124" t="s">
        <v>1211</v>
      </c>
      <c r="K1254" s="124" t="s">
        <v>1614</v>
      </c>
      <c r="L1254" s="120" t="s">
        <v>8</v>
      </c>
      <c r="M1254" s="120"/>
      <c r="N1254" s="124"/>
      <c r="O1254" s="120"/>
      <c r="P1254" s="120"/>
      <c r="Q1254" s="120"/>
      <c r="R1254" s="120"/>
      <c r="S1254" s="120"/>
      <c r="T1254" s="120"/>
    </row>
    <row r="1255" spans="2:21" x14ac:dyDescent="0.3">
      <c r="B1255" s="120">
        <v>290989</v>
      </c>
      <c r="C1255" s="121">
        <v>290983</v>
      </c>
      <c r="D1255" s="120" t="s">
        <v>6</v>
      </c>
      <c r="E1255" s="120" t="s">
        <v>7</v>
      </c>
      <c r="F1255" s="122" t="s">
        <v>1212</v>
      </c>
      <c r="G1255" s="123" t="s">
        <v>8</v>
      </c>
      <c r="H1255" s="123">
        <v>8</v>
      </c>
      <c r="I1255" s="124"/>
      <c r="J1255" s="124" t="s">
        <v>1213</v>
      </c>
      <c r="K1255" s="124" t="s">
        <v>1614</v>
      </c>
      <c r="L1255" s="120" t="s">
        <v>8</v>
      </c>
      <c r="M1255" s="120"/>
      <c r="N1255" s="124"/>
      <c r="O1255" s="120"/>
      <c r="P1255" s="120"/>
      <c r="Q1255" s="120"/>
      <c r="R1255" s="120"/>
      <c r="S1255" s="120"/>
      <c r="T1255" s="120"/>
    </row>
    <row r="1256" spans="2:21" x14ac:dyDescent="0.3">
      <c r="B1256" s="120">
        <v>290986</v>
      </c>
      <c r="C1256" s="121">
        <v>290983</v>
      </c>
      <c r="D1256" s="120" t="s">
        <v>6</v>
      </c>
      <c r="E1256" s="120" t="s">
        <v>7</v>
      </c>
      <c r="F1256" s="122" t="s">
        <v>1214</v>
      </c>
      <c r="G1256" s="123" t="s">
        <v>8</v>
      </c>
      <c r="H1256" s="123">
        <v>8</v>
      </c>
      <c r="I1256" s="124"/>
      <c r="J1256" s="124" t="s">
        <v>1215</v>
      </c>
      <c r="K1256" s="124" t="s">
        <v>1614</v>
      </c>
      <c r="L1256" s="120" t="s">
        <v>129</v>
      </c>
      <c r="M1256" s="120"/>
      <c r="N1256" s="124"/>
      <c r="O1256" s="120"/>
      <c r="P1256" s="120"/>
      <c r="Q1256" s="120"/>
      <c r="R1256" s="120"/>
      <c r="S1256" s="120"/>
      <c r="T1256" s="120"/>
    </row>
    <row r="1257" spans="2:21" x14ac:dyDescent="0.3">
      <c r="B1257" s="120">
        <v>290984</v>
      </c>
      <c r="C1257" s="121">
        <v>290983</v>
      </c>
      <c r="D1257" s="120" t="s">
        <v>6</v>
      </c>
      <c r="E1257" s="120" t="s">
        <v>7</v>
      </c>
      <c r="F1257" s="122" t="s">
        <v>1216</v>
      </c>
      <c r="G1257" s="123" t="s">
        <v>8</v>
      </c>
      <c r="H1257" s="123">
        <v>2</v>
      </c>
      <c r="I1257" s="124"/>
      <c r="J1257" s="124"/>
      <c r="K1257" s="124" t="s">
        <v>1614</v>
      </c>
      <c r="L1257" s="120" t="s">
        <v>8</v>
      </c>
      <c r="M1257" s="120"/>
      <c r="N1257" s="124"/>
      <c r="O1257" s="120"/>
      <c r="P1257" s="120"/>
      <c r="Q1257" s="120"/>
      <c r="R1257" s="120"/>
      <c r="S1257" s="120"/>
      <c r="T1257" s="120"/>
    </row>
    <row r="1258" spans="2:21" x14ac:dyDescent="0.3">
      <c r="B1258" s="120">
        <v>290940</v>
      </c>
      <c r="C1258" s="121">
        <v>290929</v>
      </c>
      <c r="D1258" s="120" t="s">
        <v>6</v>
      </c>
      <c r="E1258" s="120" t="s">
        <v>7</v>
      </c>
      <c r="F1258" s="122" t="s">
        <v>1217</v>
      </c>
      <c r="G1258" s="123" t="s">
        <v>8</v>
      </c>
      <c r="H1258" s="123">
        <v>1</v>
      </c>
      <c r="I1258" s="124"/>
      <c r="J1258" s="124" t="s">
        <v>1218</v>
      </c>
      <c r="K1258" s="124" t="s">
        <v>1614</v>
      </c>
      <c r="L1258" s="120" t="s">
        <v>8</v>
      </c>
      <c r="M1258" s="120"/>
      <c r="N1258" s="124"/>
      <c r="O1258" s="120"/>
      <c r="P1258" s="120"/>
      <c r="Q1258" s="120"/>
      <c r="R1258" s="120"/>
      <c r="S1258" s="120"/>
      <c r="T1258" s="120"/>
    </row>
    <row r="1259" spans="2:21" x14ac:dyDescent="0.3">
      <c r="B1259" s="120">
        <v>290932</v>
      </c>
      <c r="C1259" s="121">
        <v>290929</v>
      </c>
      <c r="D1259" s="120" t="s">
        <v>6</v>
      </c>
      <c r="E1259" s="120" t="s">
        <v>7</v>
      </c>
      <c r="F1259" s="122" t="s">
        <v>1219</v>
      </c>
      <c r="G1259" s="123" t="s">
        <v>8</v>
      </c>
      <c r="H1259" s="123">
        <v>8</v>
      </c>
      <c r="I1259" s="124"/>
      <c r="J1259" s="124" t="s">
        <v>1220</v>
      </c>
      <c r="K1259" s="124" t="s">
        <v>1614</v>
      </c>
      <c r="L1259" s="120" t="s">
        <v>129</v>
      </c>
      <c r="M1259" s="120"/>
      <c r="N1259" s="124"/>
      <c r="O1259" s="120"/>
      <c r="P1259" s="120"/>
      <c r="Q1259" s="120"/>
      <c r="R1259" s="120"/>
      <c r="S1259" s="120"/>
      <c r="T1259" s="120"/>
      <c r="U1259" s="94"/>
    </row>
    <row r="1260" spans="2:21" x14ac:dyDescent="0.3">
      <c r="B1260" s="120">
        <v>290633</v>
      </c>
      <c r="C1260" s="121">
        <v>290622</v>
      </c>
      <c r="D1260" s="120" t="s">
        <v>6</v>
      </c>
      <c r="E1260" s="120" t="s">
        <v>7</v>
      </c>
      <c r="F1260" s="122" t="s">
        <v>1221</v>
      </c>
      <c r="G1260" s="123" t="s">
        <v>8</v>
      </c>
      <c r="H1260" s="123">
        <v>1</v>
      </c>
      <c r="I1260" s="124"/>
      <c r="J1260" s="124" t="s">
        <v>1222</v>
      </c>
      <c r="K1260" s="124" t="s">
        <v>1614</v>
      </c>
      <c r="L1260" s="120" t="s">
        <v>8</v>
      </c>
      <c r="M1260" s="120"/>
      <c r="N1260" s="124"/>
      <c r="O1260" s="120"/>
      <c r="P1260" s="120"/>
      <c r="Q1260" s="120"/>
      <c r="R1260" s="120"/>
      <c r="S1260" s="120"/>
      <c r="T1260" s="120"/>
    </row>
    <row r="1261" spans="2:21" x14ac:dyDescent="0.3">
      <c r="B1261" s="120">
        <v>290625</v>
      </c>
      <c r="C1261" s="121">
        <v>290622</v>
      </c>
      <c r="D1261" s="120" t="s">
        <v>6</v>
      </c>
      <c r="E1261" s="120" t="s">
        <v>7</v>
      </c>
      <c r="F1261" s="122" t="s">
        <v>1223</v>
      </c>
      <c r="G1261" s="123" t="s">
        <v>8</v>
      </c>
      <c r="H1261" s="123">
        <v>8</v>
      </c>
      <c r="I1261" s="124"/>
      <c r="J1261" s="124" t="s">
        <v>1224</v>
      </c>
      <c r="K1261" s="124" t="s">
        <v>1614</v>
      </c>
      <c r="L1261" s="120" t="s">
        <v>129</v>
      </c>
      <c r="M1261" s="120"/>
      <c r="N1261" s="124"/>
      <c r="O1261" s="120"/>
      <c r="P1261" s="120"/>
      <c r="Q1261" s="120"/>
      <c r="R1261" s="120"/>
      <c r="S1261" s="120"/>
      <c r="T1261" s="120"/>
    </row>
    <row r="1262" spans="2:21" x14ac:dyDescent="0.3">
      <c r="B1262" s="120">
        <v>290616</v>
      </c>
      <c r="C1262" s="121">
        <v>290605</v>
      </c>
      <c r="D1262" s="120" t="s">
        <v>6</v>
      </c>
      <c r="E1262" s="120" t="s">
        <v>7</v>
      </c>
      <c r="F1262" s="122" t="s">
        <v>1225</v>
      </c>
      <c r="G1262" s="123" t="s">
        <v>8</v>
      </c>
      <c r="H1262" s="123">
        <v>1</v>
      </c>
      <c r="I1262" s="124"/>
      <c r="J1262" s="124" t="s">
        <v>1226</v>
      </c>
      <c r="K1262" s="124" t="s">
        <v>1614</v>
      </c>
      <c r="L1262" s="120" t="s">
        <v>8</v>
      </c>
      <c r="M1262" s="120"/>
      <c r="N1262" s="124"/>
      <c r="O1262" s="120"/>
      <c r="P1262" s="120"/>
      <c r="Q1262" s="120"/>
      <c r="R1262" s="120"/>
      <c r="S1262" s="120"/>
      <c r="T1262" s="120"/>
    </row>
    <row r="1263" spans="2:21" x14ac:dyDescent="0.3">
      <c r="B1263" s="120">
        <v>290608</v>
      </c>
      <c r="C1263" s="121">
        <v>290605</v>
      </c>
      <c r="D1263" s="120" t="s">
        <v>6</v>
      </c>
      <c r="E1263" s="120" t="s">
        <v>7</v>
      </c>
      <c r="F1263" s="122" t="s">
        <v>1227</v>
      </c>
      <c r="G1263" s="123" t="s">
        <v>8</v>
      </c>
      <c r="H1263" s="123">
        <v>8</v>
      </c>
      <c r="I1263" s="124"/>
      <c r="J1263" s="124" t="s">
        <v>1228</v>
      </c>
      <c r="K1263" s="124" t="s">
        <v>1614</v>
      </c>
      <c r="L1263" s="120" t="s">
        <v>129</v>
      </c>
      <c r="M1263" s="120"/>
      <c r="N1263" s="124"/>
      <c r="O1263" s="120"/>
      <c r="P1263" s="120"/>
      <c r="Q1263" s="120"/>
      <c r="R1263" s="120"/>
      <c r="S1263" s="120"/>
      <c r="T1263" s="120"/>
    </row>
    <row r="1264" spans="2:21" x14ac:dyDescent="0.3">
      <c r="B1264" s="120">
        <v>290429</v>
      </c>
      <c r="C1264" s="121">
        <v>290418</v>
      </c>
      <c r="D1264" s="120" t="s">
        <v>6</v>
      </c>
      <c r="E1264" s="120" t="s">
        <v>7</v>
      </c>
      <c r="F1264" s="122" t="s">
        <v>1229</v>
      </c>
      <c r="G1264" s="123" t="s">
        <v>8</v>
      </c>
      <c r="H1264" s="123">
        <v>1</v>
      </c>
      <c r="I1264" s="124"/>
      <c r="J1264" s="124" t="s">
        <v>1230</v>
      </c>
      <c r="K1264" s="124" t="s">
        <v>1614</v>
      </c>
      <c r="L1264" s="120" t="s">
        <v>8</v>
      </c>
      <c r="M1264" s="120"/>
      <c r="N1264" s="124"/>
      <c r="O1264" s="120"/>
      <c r="P1264" s="120"/>
      <c r="Q1264" s="120"/>
      <c r="R1264" s="120"/>
      <c r="S1264" s="120"/>
      <c r="T1264" s="120"/>
    </row>
    <row r="1265" spans="2:21" x14ac:dyDescent="0.3">
      <c r="B1265" s="120">
        <v>290421</v>
      </c>
      <c r="C1265" s="121">
        <v>290418</v>
      </c>
      <c r="D1265" s="120" t="s">
        <v>6</v>
      </c>
      <c r="E1265" s="120" t="s">
        <v>7</v>
      </c>
      <c r="F1265" s="122" t="s">
        <v>1231</v>
      </c>
      <c r="G1265" s="123" t="s">
        <v>8</v>
      </c>
      <c r="H1265" s="123">
        <v>1</v>
      </c>
      <c r="I1265" s="124"/>
      <c r="J1265" s="124" t="s">
        <v>1232</v>
      </c>
      <c r="K1265" s="124" t="s">
        <v>1614</v>
      </c>
      <c r="L1265" s="120" t="s">
        <v>129</v>
      </c>
      <c r="M1265" s="120"/>
      <c r="N1265" s="124"/>
      <c r="O1265" s="120"/>
      <c r="P1265" s="120"/>
      <c r="Q1265" s="120"/>
      <c r="R1265" s="120"/>
      <c r="S1265" s="120"/>
      <c r="T1265" s="120"/>
    </row>
    <row r="1266" spans="2:21" x14ac:dyDescent="0.3">
      <c r="B1266" s="90">
        <v>279293</v>
      </c>
      <c r="C1266" s="99">
        <v>279290</v>
      </c>
      <c r="D1266" s="90" t="s">
        <v>6</v>
      </c>
      <c r="E1266" s="90" t="s">
        <v>7</v>
      </c>
      <c r="F1266" s="100" t="s">
        <v>1239</v>
      </c>
      <c r="G1266" s="101" t="s">
        <v>8</v>
      </c>
      <c r="H1266" s="101">
        <v>8</v>
      </c>
      <c r="J1266" s="102" t="s">
        <v>1240</v>
      </c>
      <c r="K1266" s="102" t="s">
        <v>1614</v>
      </c>
      <c r="L1266" s="90" t="s">
        <v>129</v>
      </c>
    </row>
    <row r="1267" spans="2:21" x14ac:dyDescent="0.3">
      <c r="B1267" s="90">
        <v>279166</v>
      </c>
      <c r="C1267" s="99">
        <v>279163</v>
      </c>
      <c r="D1267" s="90" t="s">
        <v>6</v>
      </c>
      <c r="E1267" s="90" t="s">
        <v>7</v>
      </c>
      <c r="F1267" s="100" t="s">
        <v>1241</v>
      </c>
      <c r="G1267" s="101" t="s">
        <v>8</v>
      </c>
      <c r="H1267" s="101">
        <v>1</v>
      </c>
      <c r="J1267" s="102" t="s">
        <v>1242</v>
      </c>
      <c r="K1267" s="102" t="s">
        <v>1614</v>
      </c>
      <c r="L1267" s="90" t="s">
        <v>129</v>
      </c>
    </row>
    <row r="1268" spans="2:21" x14ac:dyDescent="0.3">
      <c r="B1268" s="90">
        <v>278549</v>
      </c>
      <c r="C1268" s="99">
        <v>278546</v>
      </c>
      <c r="D1268" s="90" t="s">
        <v>6</v>
      </c>
      <c r="E1268" s="90" t="s">
        <v>7</v>
      </c>
      <c r="F1268" s="100" t="s">
        <v>1243</v>
      </c>
      <c r="G1268" s="101" t="s">
        <v>8</v>
      </c>
      <c r="H1268" s="101">
        <v>8</v>
      </c>
      <c r="J1268" s="102" t="s">
        <v>1244</v>
      </c>
      <c r="K1268" s="102" t="s">
        <v>1614</v>
      </c>
      <c r="L1268" s="90" t="s">
        <v>129</v>
      </c>
    </row>
    <row r="1269" spans="2:21" x14ac:dyDescent="0.3">
      <c r="B1269" s="90">
        <v>276119</v>
      </c>
      <c r="C1269" s="99">
        <v>276113</v>
      </c>
      <c r="D1269" s="90" t="s">
        <v>6</v>
      </c>
      <c r="E1269" s="90" t="s">
        <v>7</v>
      </c>
      <c r="F1269" s="100" t="s">
        <v>1246</v>
      </c>
      <c r="G1269" s="101" t="s">
        <v>8</v>
      </c>
      <c r="H1269" s="101">
        <v>3</v>
      </c>
      <c r="K1269" s="102" t="s">
        <v>1614</v>
      </c>
      <c r="L1269" s="90" t="s">
        <v>8</v>
      </c>
    </row>
    <row r="1270" spans="2:21" x14ac:dyDescent="0.3">
      <c r="B1270" s="90">
        <v>275848</v>
      </c>
      <c r="C1270" s="99">
        <v>275845</v>
      </c>
      <c r="D1270" s="90" t="s">
        <v>6</v>
      </c>
      <c r="E1270" s="90" t="s">
        <v>7</v>
      </c>
      <c r="F1270" s="100" t="s">
        <v>1248</v>
      </c>
      <c r="G1270" s="101" t="s">
        <v>8</v>
      </c>
      <c r="H1270" s="101">
        <v>8</v>
      </c>
      <c r="J1270" s="102" t="s">
        <v>1249</v>
      </c>
      <c r="K1270" s="102" t="s">
        <v>1614</v>
      </c>
      <c r="L1270" s="90" t="s">
        <v>129</v>
      </c>
    </row>
    <row r="1271" spans="2:21" x14ac:dyDescent="0.3">
      <c r="B1271" s="94">
        <v>274099</v>
      </c>
      <c r="C1271" s="144">
        <v>274096</v>
      </c>
      <c r="D1271" s="94" t="s">
        <v>6</v>
      </c>
      <c r="E1271" s="94" t="s">
        <v>7</v>
      </c>
      <c r="F1271" s="145" t="s">
        <v>1250</v>
      </c>
      <c r="G1271" s="101" t="s">
        <v>8</v>
      </c>
      <c r="H1271" s="101">
        <v>8</v>
      </c>
      <c r="J1271" s="102" t="s">
        <v>1251</v>
      </c>
      <c r="K1271" s="102" t="s">
        <v>1614</v>
      </c>
      <c r="L1271" s="90" t="s">
        <v>129</v>
      </c>
      <c r="M1271" s="94"/>
      <c r="N1271" s="146"/>
      <c r="O1271" s="94"/>
      <c r="P1271" s="94"/>
      <c r="Q1271" s="94"/>
      <c r="R1271" s="94"/>
      <c r="S1271" s="94"/>
      <c r="T1271" s="94"/>
      <c r="U1271" s="94"/>
    </row>
    <row r="1272" spans="2:21" x14ac:dyDescent="0.3">
      <c r="B1272" s="90">
        <v>274070</v>
      </c>
      <c r="C1272" s="99">
        <v>274067</v>
      </c>
      <c r="D1272" s="90" t="s">
        <v>6</v>
      </c>
      <c r="E1272" s="90" t="s">
        <v>7</v>
      </c>
      <c r="F1272" s="100" t="s">
        <v>1254</v>
      </c>
      <c r="G1272" s="101" t="s">
        <v>8</v>
      </c>
      <c r="H1272" s="101">
        <v>5</v>
      </c>
      <c r="J1272" s="102" t="s">
        <v>1255</v>
      </c>
      <c r="K1272" s="102" t="s">
        <v>1614</v>
      </c>
      <c r="L1272" s="90" t="s">
        <v>129</v>
      </c>
    </row>
    <row r="1273" spans="2:21" x14ac:dyDescent="0.3">
      <c r="B1273" s="90">
        <v>274038</v>
      </c>
      <c r="C1273" s="99">
        <v>274035</v>
      </c>
      <c r="D1273" s="90" t="s">
        <v>6</v>
      </c>
      <c r="E1273" s="90" t="s">
        <v>7</v>
      </c>
      <c r="F1273" s="100" t="s">
        <v>1256</v>
      </c>
      <c r="G1273" s="101" t="s">
        <v>8</v>
      </c>
      <c r="H1273" s="101">
        <v>5</v>
      </c>
      <c r="J1273" s="102" t="s">
        <v>1257</v>
      </c>
      <c r="K1273" s="102" t="s">
        <v>1614</v>
      </c>
      <c r="L1273" s="90" t="s">
        <v>129</v>
      </c>
    </row>
    <row r="1274" spans="2:21" x14ac:dyDescent="0.3">
      <c r="B1274" s="90">
        <v>273935</v>
      </c>
      <c r="C1274" s="99">
        <v>273932</v>
      </c>
      <c r="D1274" s="90" t="s">
        <v>6</v>
      </c>
      <c r="E1274" s="90" t="s">
        <v>7</v>
      </c>
      <c r="F1274" s="100" t="s">
        <v>1258</v>
      </c>
      <c r="G1274" s="101" t="s">
        <v>8</v>
      </c>
      <c r="H1274" s="101">
        <v>5</v>
      </c>
      <c r="J1274" s="102" t="s">
        <v>1259</v>
      </c>
      <c r="K1274" s="102" t="s">
        <v>1614</v>
      </c>
      <c r="L1274" s="90" t="s">
        <v>129</v>
      </c>
    </row>
    <row r="1275" spans="2:21" x14ac:dyDescent="0.3">
      <c r="B1275" s="90">
        <v>273682</v>
      </c>
      <c r="C1275" s="99">
        <v>273679</v>
      </c>
      <c r="D1275" s="90" t="s">
        <v>6</v>
      </c>
      <c r="E1275" s="90" t="s">
        <v>7</v>
      </c>
      <c r="F1275" s="100" t="s">
        <v>1260</v>
      </c>
      <c r="G1275" s="101" t="s">
        <v>8</v>
      </c>
      <c r="H1275" s="101">
        <v>1</v>
      </c>
      <c r="J1275" s="102" t="s">
        <v>1261</v>
      </c>
      <c r="K1275" s="102" t="s">
        <v>1614</v>
      </c>
      <c r="L1275" s="90" t="s">
        <v>129</v>
      </c>
    </row>
    <row r="1276" spans="2:21" x14ac:dyDescent="0.3">
      <c r="B1276" s="90">
        <v>272414</v>
      </c>
      <c r="C1276" s="99">
        <v>272411</v>
      </c>
      <c r="D1276" s="90" t="s">
        <v>6</v>
      </c>
      <c r="E1276" s="90" t="s">
        <v>7</v>
      </c>
      <c r="F1276" s="100" t="s">
        <v>1262</v>
      </c>
      <c r="G1276" s="101" t="s">
        <v>8</v>
      </c>
      <c r="H1276" s="101">
        <v>1</v>
      </c>
      <c r="J1276" s="102" t="s">
        <v>1263</v>
      </c>
      <c r="K1276" s="102" t="s">
        <v>1614</v>
      </c>
      <c r="L1276" s="90" t="s">
        <v>129</v>
      </c>
    </row>
    <row r="1277" spans="2:21" ht="28.8" x14ac:dyDescent="0.3">
      <c r="B1277" s="90">
        <v>272104</v>
      </c>
      <c r="C1277" s="99">
        <v>272101</v>
      </c>
      <c r="D1277" s="90" t="s">
        <v>6</v>
      </c>
      <c r="E1277" s="90" t="s">
        <v>7</v>
      </c>
      <c r="F1277" s="100" t="s">
        <v>1268</v>
      </c>
      <c r="G1277" s="101" t="s">
        <v>8</v>
      </c>
      <c r="H1277" s="101">
        <v>8</v>
      </c>
      <c r="J1277" s="102" t="s">
        <v>1269</v>
      </c>
      <c r="K1277" s="102" t="s">
        <v>1614</v>
      </c>
      <c r="L1277" s="90" t="s">
        <v>129</v>
      </c>
    </row>
    <row r="1278" spans="2:21" x14ac:dyDescent="0.3">
      <c r="B1278" s="90">
        <v>270349</v>
      </c>
      <c r="C1278" s="99">
        <v>270346</v>
      </c>
      <c r="D1278" s="90" t="s">
        <v>6</v>
      </c>
      <c r="E1278" s="90" t="s">
        <v>7</v>
      </c>
      <c r="F1278" s="100" t="s">
        <v>1270</v>
      </c>
      <c r="G1278" s="101" t="s">
        <v>8</v>
      </c>
      <c r="H1278" s="101">
        <v>8</v>
      </c>
      <c r="J1278" s="102" t="s">
        <v>1271</v>
      </c>
      <c r="K1278" s="102" t="s">
        <v>1614</v>
      </c>
      <c r="L1278" s="90" t="s">
        <v>129</v>
      </c>
    </row>
    <row r="1279" spans="2:21" x14ac:dyDescent="0.3">
      <c r="B1279" s="90">
        <v>267780</v>
      </c>
      <c r="C1279" s="99">
        <v>267777</v>
      </c>
      <c r="D1279" s="90" t="s">
        <v>6</v>
      </c>
      <c r="E1279" s="90" t="s">
        <v>7</v>
      </c>
      <c r="F1279" s="100" t="s">
        <v>1272</v>
      </c>
      <c r="G1279" s="101" t="s">
        <v>8</v>
      </c>
      <c r="H1279" s="101">
        <v>1</v>
      </c>
      <c r="J1279" s="102" t="s">
        <v>1273</v>
      </c>
      <c r="K1279" s="102" t="s">
        <v>1614</v>
      </c>
      <c r="L1279" s="90" t="s">
        <v>8</v>
      </c>
    </row>
    <row r="1280" spans="2:21" x14ac:dyDescent="0.3">
      <c r="B1280" s="90">
        <v>266780</v>
      </c>
      <c r="C1280" s="99">
        <v>266772</v>
      </c>
      <c r="D1280" s="90" t="s">
        <v>6</v>
      </c>
      <c r="E1280" s="90" t="s">
        <v>7</v>
      </c>
      <c r="F1280" s="100" t="s">
        <v>1274</v>
      </c>
      <c r="G1280" s="101" t="s">
        <v>8</v>
      </c>
      <c r="H1280" s="101">
        <v>8</v>
      </c>
      <c r="J1280" s="102" t="s">
        <v>1275</v>
      </c>
      <c r="K1280" s="102" t="s">
        <v>1614</v>
      </c>
      <c r="L1280" s="90" t="s">
        <v>8</v>
      </c>
    </row>
    <row r="1281" spans="2:12" x14ac:dyDescent="0.3">
      <c r="B1281" s="90">
        <v>266775</v>
      </c>
      <c r="C1281" s="99">
        <v>266772</v>
      </c>
      <c r="D1281" s="90" t="s">
        <v>6</v>
      </c>
      <c r="E1281" s="90" t="s">
        <v>7</v>
      </c>
      <c r="F1281" s="100" t="s">
        <v>1276</v>
      </c>
      <c r="G1281" s="101" t="s">
        <v>8</v>
      </c>
      <c r="H1281" s="101">
        <v>8</v>
      </c>
      <c r="J1281" s="102" t="s">
        <v>1277</v>
      </c>
      <c r="K1281" s="102" t="s">
        <v>1614</v>
      </c>
      <c r="L1281" s="90" t="s">
        <v>129</v>
      </c>
    </row>
    <row r="1282" spans="2:12" x14ac:dyDescent="0.3">
      <c r="B1282" s="90">
        <v>264530</v>
      </c>
      <c r="C1282" s="99">
        <v>262895</v>
      </c>
      <c r="D1282" s="90" t="s">
        <v>6</v>
      </c>
      <c r="E1282" s="90" t="s">
        <v>7</v>
      </c>
      <c r="F1282" s="100" t="s">
        <v>1278</v>
      </c>
      <c r="G1282" s="101" t="s">
        <v>8</v>
      </c>
      <c r="H1282" s="101">
        <v>2</v>
      </c>
      <c r="K1282" s="102" t="s">
        <v>1614</v>
      </c>
      <c r="L1282" s="90" t="s">
        <v>8</v>
      </c>
    </row>
    <row r="1283" spans="2:12" x14ac:dyDescent="0.3">
      <c r="B1283" s="90">
        <v>263267</v>
      </c>
      <c r="C1283" s="99">
        <v>263263</v>
      </c>
      <c r="D1283" s="90" t="s">
        <v>6</v>
      </c>
      <c r="E1283" s="90" t="s">
        <v>7</v>
      </c>
      <c r="F1283" s="100" t="s">
        <v>1279</v>
      </c>
      <c r="G1283" s="101" t="s">
        <v>8</v>
      </c>
      <c r="H1283" s="101">
        <v>8</v>
      </c>
      <c r="J1283" s="102" t="s">
        <v>1280</v>
      </c>
      <c r="K1283" s="102" t="s">
        <v>1614</v>
      </c>
      <c r="L1283" s="90" t="s">
        <v>129</v>
      </c>
    </row>
    <row r="1284" spans="2:12" x14ac:dyDescent="0.3">
      <c r="B1284" s="90">
        <v>263251</v>
      </c>
      <c r="C1284" s="99">
        <v>263247</v>
      </c>
      <c r="D1284" s="90" t="s">
        <v>6</v>
      </c>
      <c r="E1284" s="90" t="s">
        <v>7</v>
      </c>
      <c r="F1284" s="100" t="s">
        <v>1281</v>
      </c>
      <c r="G1284" s="101" t="s">
        <v>8</v>
      </c>
      <c r="H1284" s="101">
        <v>8</v>
      </c>
      <c r="J1284" s="102" t="s">
        <v>1282</v>
      </c>
      <c r="K1284" s="102" t="s">
        <v>1614</v>
      </c>
      <c r="L1284" s="90" t="s">
        <v>129</v>
      </c>
    </row>
    <row r="1285" spans="2:12" x14ac:dyDescent="0.3">
      <c r="B1285" s="90">
        <v>263148</v>
      </c>
      <c r="C1285" s="99">
        <v>263144</v>
      </c>
      <c r="D1285" s="90" t="s">
        <v>6</v>
      </c>
      <c r="E1285" s="90" t="s">
        <v>7</v>
      </c>
      <c r="F1285" s="100" t="s">
        <v>1283</v>
      </c>
      <c r="G1285" s="101" t="s">
        <v>8</v>
      </c>
      <c r="H1285" s="101">
        <v>8</v>
      </c>
      <c r="J1285" s="102" t="s">
        <v>1284</v>
      </c>
      <c r="K1285" s="102" t="s">
        <v>1614</v>
      </c>
      <c r="L1285" s="90" t="s">
        <v>129</v>
      </c>
    </row>
    <row r="1286" spans="2:12" x14ac:dyDescent="0.3">
      <c r="B1286" s="90">
        <v>263031</v>
      </c>
      <c r="C1286" s="99">
        <v>263027</v>
      </c>
      <c r="D1286" s="90" t="s">
        <v>6</v>
      </c>
      <c r="E1286" s="90" t="s">
        <v>7</v>
      </c>
      <c r="F1286" s="100" t="s">
        <v>1285</v>
      </c>
      <c r="G1286" s="101" t="s">
        <v>8</v>
      </c>
      <c r="H1286" s="101">
        <v>8</v>
      </c>
      <c r="J1286" s="102" t="s">
        <v>1286</v>
      </c>
      <c r="K1286" s="102" t="s">
        <v>1614</v>
      </c>
      <c r="L1286" s="90" t="s">
        <v>129</v>
      </c>
    </row>
    <row r="1287" spans="2:12" ht="28.8" x14ac:dyDescent="0.3">
      <c r="B1287" s="90">
        <v>262629</v>
      </c>
      <c r="C1287" s="99">
        <v>262625</v>
      </c>
      <c r="D1287" s="90" t="s">
        <v>6</v>
      </c>
      <c r="E1287" s="90" t="s">
        <v>7</v>
      </c>
      <c r="F1287" s="100" t="s">
        <v>1287</v>
      </c>
      <c r="G1287" s="101" t="s">
        <v>8</v>
      </c>
      <c r="H1287" s="101">
        <v>8</v>
      </c>
      <c r="J1287" s="102" t="s">
        <v>1288</v>
      </c>
      <c r="K1287" s="102" t="s">
        <v>1614</v>
      </c>
      <c r="L1287" s="90" t="s">
        <v>129</v>
      </c>
    </row>
    <row r="1288" spans="2:12" x14ac:dyDescent="0.3">
      <c r="B1288" s="90">
        <v>262251</v>
      </c>
      <c r="C1288" s="99">
        <v>262244</v>
      </c>
      <c r="D1288" s="90" t="s">
        <v>6</v>
      </c>
      <c r="E1288" s="90" t="s">
        <v>345</v>
      </c>
      <c r="F1288" s="100" t="s">
        <v>1289</v>
      </c>
      <c r="G1288" s="101" t="s">
        <v>8</v>
      </c>
      <c r="H1288" s="101">
        <v>0</v>
      </c>
      <c r="J1288" s="102" t="s">
        <v>1290</v>
      </c>
      <c r="K1288" s="102" t="s">
        <v>780</v>
      </c>
      <c r="L1288" s="90" t="s">
        <v>134</v>
      </c>
    </row>
    <row r="1289" spans="2:12" ht="28.8" x14ac:dyDescent="0.3">
      <c r="B1289" s="90">
        <v>261492</v>
      </c>
      <c r="C1289" s="99">
        <v>216552</v>
      </c>
      <c r="D1289" s="90" t="s">
        <v>24</v>
      </c>
      <c r="E1289" s="90" t="s">
        <v>723</v>
      </c>
      <c r="F1289" s="100" t="s">
        <v>1292</v>
      </c>
      <c r="G1289" s="101" t="s">
        <v>8</v>
      </c>
      <c r="K1289" s="102" t="s">
        <v>1614</v>
      </c>
      <c r="L1289" s="90" t="s">
        <v>108</v>
      </c>
    </row>
    <row r="1290" spans="2:12" ht="28.8" x14ac:dyDescent="0.3">
      <c r="B1290" s="90">
        <v>258341</v>
      </c>
      <c r="C1290" s="99">
        <v>258337</v>
      </c>
      <c r="D1290" s="90" t="s">
        <v>6</v>
      </c>
      <c r="E1290" s="90" t="s">
        <v>7</v>
      </c>
      <c r="F1290" s="100" t="s">
        <v>1293</v>
      </c>
      <c r="G1290" s="101" t="s">
        <v>8</v>
      </c>
      <c r="H1290" s="101">
        <v>8</v>
      </c>
      <c r="J1290" s="102" t="s">
        <v>1294</v>
      </c>
      <c r="K1290" s="102" t="s">
        <v>1614</v>
      </c>
      <c r="L1290" s="90" t="s">
        <v>129</v>
      </c>
    </row>
    <row r="1291" spans="2:12" ht="28.8" x14ac:dyDescent="0.3">
      <c r="B1291" s="90">
        <v>251280</v>
      </c>
      <c r="C1291" s="99">
        <v>251276</v>
      </c>
      <c r="D1291" s="90" t="s">
        <v>6</v>
      </c>
      <c r="E1291" s="90" t="s">
        <v>7</v>
      </c>
      <c r="F1291" s="100" t="s">
        <v>1295</v>
      </c>
      <c r="G1291" s="101" t="s">
        <v>8</v>
      </c>
      <c r="H1291" s="101">
        <v>8</v>
      </c>
      <c r="J1291" s="102" t="s">
        <v>1296</v>
      </c>
      <c r="K1291" s="102" t="s">
        <v>1614</v>
      </c>
      <c r="L1291" s="90" t="s">
        <v>129</v>
      </c>
    </row>
    <row r="1292" spans="2:12" x14ac:dyDescent="0.3">
      <c r="B1292" s="90">
        <v>249082</v>
      </c>
      <c r="C1292" s="99">
        <v>221231</v>
      </c>
      <c r="D1292" s="90" t="s">
        <v>6</v>
      </c>
      <c r="E1292" s="90" t="s">
        <v>7</v>
      </c>
      <c r="F1292" s="100" t="s">
        <v>1297</v>
      </c>
      <c r="G1292" s="101" t="s">
        <v>8</v>
      </c>
      <c r="H1292" s="101">
        <v>5</v>
      </c>
      <c r="J1292" s="102" t="s">
        <v>1298</v>
      </c>
      <c r="K1292" s="102" t="s">
        <v>1614</v>
      </c>
      <c r="L1292" s="90" t="s">
        <v>129</v>
      </c>
    </row>
    <row r="1293" spans="2:12" x14ac:dyDescent="0.3">
      <c r="B1293" s="90">
        <v>247210</v>
      </c>
      <c r="C1293" s="99">
        <v>265531</v>
      </c>
      <c r="D1293" s="90" t="s">
        <v>6</v>
      </c>
      <c r="E1293" s="90" t="s">
        <v>7</v>
      </c>
      <c r="F1293" s="100" t="s">
        <v>1299</v>
      </c>
      <c r="G1293" s="101" t="s">
        <v>8</v>
      </c>
      <c r="H1293" s="101">
        <v>5</v>
      </c>
      <c r="K1293" s="102" t="s">
        <v>1614</v>
      </c>
      <c r="L1293" s="90" t="s">
        <v>129</v>
      </c>
    </row>
    <row r="1294" spans="2:12" x14ac:dyDescent="0.3">
      <c r="B1294" s="90">
        <v>246302</v>
      </c>
      <c r="C1294" s="99">
        <v>216556</v>
      </c>
      <c r="D1294" s="90" t="s">
        <v>6</v>
      </c>
      <c r="E1294" s="90" t="s">
        <v>7</v>
      </c>
      <c r="F1294" s="100" t="s">
        <v>1300</v>
      </c>
      <c r="G1294" s="101" t="s">
        <v>8</v>
      </c>
      <c r="H1294" s="101">
        <v>3</v>
      </c>
      <c r="K1294" s="102" t="s">
        <v>1614</v>
      </c>
      <c r="L1294" s="90" t="s">
        <v>8</v>
      </c>
    </row>
    <row r="1295" spans="2:12" x14ac:dyDescent="0.3">
      <c r="B1295" s="90">
        <v>226080</v>
      </c>
      <c r="C1295" s="99">
        <v>245560</v>
      </c>
      <c r="D1295" s="90" t="s">
        <v>697</v>
      </c>
      <c r="E1295" s="90" t="s">
        <v>1302</v>
      </c>
      <c r="F1295" s="100" t="s">
        <v>1303</v>
      </c>
      <c r="G1295" s="101" t="s">
        <v>8</v>
      </c>
      <c r="K1295" s="102" t="s">
        <v>1614</v>
      </c>
      <c r="L1295" s="90" t="s">
        <v>129</v>
      </c>
    </row>
    <row r="1296" spans="2:12" x14ac:dyDescent="0.3">
      <c r="B1296" s="90">
        <v>216547</v>
      </c>
      <c r="C1296" s="99">
        <v>245560</v>
      </c>
      <c r="D1296" s="90" t="s">
        <v>697</v>
      </c>
      <c r="E1296" s="90" t="s">
        <v>1302</v>
      </c>
      <c r="F1296" s="100" t="s">
        <v>1306</v>
      </c>
      <c r="G1296" s="101" t="s">
        <v>8</v>
      </c>
      <c r="K1296" s="102" t="s">
        <v>1614</v>
      </c>
      <c r="L1296" s="90" t="s">
        <v>129</v>
      </c>
    </row>
  </sheetData>
  <autoFilter ref="A1:T1288"/>
  <sortState ref="B2:U1296">
    <sortCondition ref="R1"/>
    <sortCondition ref="S1"/>
    <sortCondition ref="G1"/>
  </sortState>
  <customSheetViews>
    <customSheetView guid="{31FA9DD3-B818-410A-9EF7-90B6C16B950C}" showAutoFilter="1">
      <pane ySplit="1" topLeftCell="A2" activePane="bottomLeft" state="frozen"/>
      <selection pane="bottomLeft" activeCell="F604" sqref="F604"/>
      <pageMargins left="0.7" right="0.7" top="0.75" bottom="0.75" header="0.3" footer="0.3"/>
      <pageSetup orientation="portrait" r:id="rId1"/>
      <autoFilter ref="B1:Y600"/>
    </customSheetView>
  </customSheetViews>
  <conditionalFormatting sqref="B2:T461 F462 B463:T470 B472:T483 B485:T957">
    <cfRule type="expression" dxfId="116" priority="1352">
      <formula>$N2&lt;&gt;"Cyber"</formula>
    </cfRule>
    <cfRule type="expression" dxfId="115" priority="1353">
      <formula>AND($Q2="ParentNotInCyber",$D2="Story")</formula>
    </cfRule>
    <cfRule type="expression" dxfId="114" priority="1354">
      <formula>$D2="Story"</formula>
    </cfRule>
    <cfRule type="expression" dxfId="113" priority="1355">
      <formula>$D2="Program Epic"</formula>
    </cfRule>
    <cfRule type="expression" dxfId="112" priority="1356">
      <formula>$D2="Feature"</formula>
    </cfRule>
    <cfRule type="expression" dxfId="111" priority="1357">
      <formula>OR($E2="Done",LEFT($E2,5)="Close")</formula>
    </cfRule>
  </conditionalFormatting>
  <conditionalFormatting sqref="B462:E462 G462:T462">
    <cfRule type="expression" dxfId="110" priority="25">
      <formula>$N462&lt;&gt;"Cyber"</formula>
    </cfRule>
    <cfRule type="expression" dxfId="109" priority="26">
      <formula>AND($Q462="ParentNotInCyber",$D462="Story")</formula>
    </cfRule>
    <cfRule type="expression" dxfId="108" priority="27">
      <formula>$D462="Story"</formula>
    </cfRule>
    <cfRule type="expression" dxfId="107" priority="28">
      <formula>$D462="Program Epic"</formula>
    </cfRule>
    <cfRule type="expression" dxfId="106" priority="29">
      <formula>$D462="Feature"</formula>
    </cfRule>
    <cfRule type="expression" dxfId="105" priority="30">
      <formula>OR($E462="Done",LEFT($E462,5)="Close")</formula>
    </cfRule>
  </conditionalFormatting>
  <conditionalFormatting sqref="B471:T471">
    <cfRule type="expression" dxfId="104" priority="19">
      <formula>$N471&lt;&gt;"Cyber"</formula>
    </cfRule>
    <cfRule type="expression" dxfId="103" priority="20">
      <formula>AND($Q471="ParentNotInCyber",$D471="Story")</formula>
    </cfRule>
    <cfRule type="expression" dxfId="102" priority="21">
      <formula>$D471="Story"</formula>
    </cfRule>
    <cfRule type="expression" dxfId="101" priority="22">
      <formula>$D471="Program Epic"</formula>
    </cfRule>
    <cfRule type="expression" dxfId="100" priority="23">
      <formula>$D471="Feature"</formula>
    </cfRule>
    <cfRule type="expression" dxfId="99" priority="24">
      <formula>OR($E471="Done",LEFT($E471,5)="Close")</formula>
    </cfRule>
  </conditionalFormatting>
  <conditionalFormatting sqref="B484:T484">
    <cfRule type="expression" dxfId="98" priority="13">
      <formula>$N484&lt;&gt;"Cyber"</formula>
    </cfRule>
    <cfRule type="expression" dxfId="97" priority="14">
      <formula>AND($Q484="ParentNotInCyber",$D484="Story")</formula>
    </cfRule>
    <cfRule type="expression" dxfId="96" priority="15">
      <formula>$D484="Story"</formula>
    </cfRule>
    <cfRule type="expression" dxfId="95" priority="16">
      <formula>$D484="Program Epic"</formula>
    </cfRule>
    <cfRule type="expression" dxfId="94" priority="17">
      <formula>$D484="Feature"</formula>
    </cfRule>
    <cfRule type="expression" dxfId="93" priority="18">
      <formula>OR($E484="Done",LEFT($E484,5)="Close")</formula>
    </cfRule>
  </conditionalFormatting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25" r:id="rId5" name="CommandButton21">
          <controlPr defaultSize="0" autoLine="0" autoPict="0" r:id="rId6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controlPr>
        </control>
      </mc:Choice>
      <mc:Fallback>
        <control shapeId="1025" r:id="rId5" name="CommandButton21"/>
      </mc:Fallback>
    </mc:AlternateContent>
    <mc:AlternateContent xmlns:mc="http://schemas.openxmlformats.org/markup-compatibility/2006">
      <mc:Choice Requires="x14">
        <control shapeId="1026" r:id="rId7" name="CommandButton22">
          <controlPr defaultSize="0" autoLine="0" autoPict="0" r:id="rId8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controlPr>
        </control>
      </mc:Choice>
      <mc:Fallback>
        <control shapeId="1026" r:id="rId7" name="CommandButton22"/>
      </mc:Fallback>
    </mc:AlternateContent>
    <mc:AlternateContent xmlns:mc="http://schemas.openxmlformats.org/markup-compatibility/2006">
      <mc:Choice Requires="x14">
        <control shapeId="1028" r:id="rId9" name="Button 4">
          <controlPr defaultSize="0" print="0" autoFill="0" autoPict="0" macro="[0]!CSE_Tree">
            <anchor moveWithCells="1" sizeWithCells="1">
              <from>
                <xdr:col>0</xdr:col>
                <xdr:colOff>22860</xdr:colOff>
                <xdr:row>0</xdr:row>
                <xdr:rowOff>22860</xdr:rowOff>
              </from>
              <to>
                <xdr:col>0</xdr:col>
                <xdr:colOff>670560</xdr:colOff>
                <xdr:row>0</xdr:row>
                <xdr:rowOff>289560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44"/>
  <sheetViews>
    <sheetView zoomScale="90" zoomScaleNormal="90" workbookViewId="0">
      <selection activeCell="L10" sqref="L10"/>
    </sheetView>
  </sheetViews>
  <sheetFormatPr defaultRowHeight="14.4" x14ac:dyDescent="0.3"/>
  <cols>
    <col min="1" max="1" width="11.5546875" customWidth="1"/>
    <col min="2" max="2" width="26.33203125" style="1" bestFit="1" customWidth="1"/>
    <col min="3" max="3" width="12" bestFit="1" customWidth="1"/>
    <col min="4" max="4" width="1.88671875" customWidth="1"/>
    <col min="8" max="8" width="4.33203125" customWidth="1"/>
    <col min="9" max="10" width="10.109375" customWidth="1"/>
    <col min="12" max="13" width="34.33203125" customWidth="1"/>
    <col min="17" max="17" width="25.109375" bestFit="1" customWidth="1"/>
  </cols>
  <sheetData>
    <row r="1" spans="1:15" ht="15" customHeight="1" x14ac:dyDescent="0.3">
      <c r="B1" s="5" t="s">
        <v>5</v>
      </c>
      <c r="C1" s="5" t="s">
        <v>19</v>
      </c>
      <c r="E1" s="21" t="s">
        <v>109</v>
      </c>
      <c r="F1" s="20" t="s">
        <v>1</v>
      </c>
      <c r="G1" s="20" t="s">
        <v>50</v>
      </c>
      <c r="H1" s="21" t="s">
        <v>180</v>
      </c>
      <c r="I1" t="s">
        <v>1</v>
      </c>
      <c r="J1" t="s">
        <v>50</v>
      </c>
      <c r="L1" s="26" t="s">
        <v>61</v>
      </c>
      <c r="M1" s="63" t="s">
        <v>60</v>
      </c>
    </row>
    <row r="2" spans="1:15" x14ac:dyDescent="0.3">
      <c r="B2" s="6" t="s">
        <v>149</v>
      </c>
      <c r="C2" s="4" t="s">
        <v>159</v>
      </c>
      <c r="F2" s="20">
        <v>355229</v>
      </c>
      <c r="G2" s="20">
        <v>1</v>
      </c>
      <c r="I2">
        <v>1011150</v>
      </c>
      <c r="J2">
        <v>1</v>
      </c>
      <c r="L2" s="4" t="s">
        <v>204</v>
      </c>
      <c r="M2" s="60" t="s">
        <v>205</v>
      </c>
    </row>
    <row r="3" spans="1:15" x14ac:dyDescent="0.3">
      <c r="A3" s="20"/>
      <c r="B3" s="4" t="s">
        <v>127</v>
      </c>
      <c r="C3" s="9" t="s">
        <v>97</v>
      </c>
      <c r="F3" s="20">
        <v>355228</v>
      </c>
      <c r="G3" s="20">
        <v>2</v>
      </c>
      <c r="I3">
        <v>395853</v>
      </c>
      <c r="J3">
        <v>2</v>
      </c>
      <c r="L3" s="14" t="s">
        <v>201</v>
      </c>
      <c r="M3" s="60" t="s">
        <v>206</v>
      </c>
      <c r="O3" s="20"/>
    </row>
    <row r="4" spans="1:15" x14ac:dyDescent="0.3">
      <c r="A4" s="20"/>
      <c r="B4" s="4" t="s">
        <v>64</v>
      </c>
      <c r="C4" s="7" t="s">
        <v>76</v>
      </c>
      <c r="F4" s="20">
        <v>371037</v>
      </c>
      <c r="G4" s="20">
        <v>3</v>
      </c>
      <c r="I4">
        <v>395688</v>
      </c>
      <c r="J4">
        <v>3</v>
      </c>
      <c r="L4" s="4" t="s">
        <v>142</v>
      </c>
      <c r="M4" s="60" t="s">
        <v>210</v>
      </c>
      <c r="O4" s="20"/>
    </row>
    <row r="5" spans="1:15" x14ac:dyDescent="0.3">
      <c r="A5" s="20"/>
      <c r="B5" s="6" t="s">
        <v>46</v>
      </c>
      <c r="C5" s="7" t="s">
        <v>47</v>
      </c>
      <c r="F5" s="20">
        <v>384036</v>
      </c>
      <c r="G5" s="20">
        <v>4</v>
      </c>
      <c r="I5">
        <v>395897</v>
      </c>
      <c r="J5">
        <v>4</v>
      </c>
      <c r="L5" s="4" t="s">
        <v>203</v>
      </c>
      <c r="M5" s="60" t="s">
        <v>207</v>
      </c>
      <c r="O5" s="20"/>
    </row>
    <row r="6" spans="1:15" x14ac:dyDescent="0.3">
      <c r="A6" s="20"/>
      <c r="B6" s="6" t="s">
        <v>110</v>
      </c>
      <c r="C6" s="9" t="s">
        <v>112</v>
      </c>
      <c r="F6" s="20">
        <v>380291</v>
      </c>
      <c r="G6" s="20">
        <v>5</v>
      </c>
      <c r="I6">
        <v>395114</v>
      </c>
      <c r="J6">
        <v>5</v>
      </c>
      <c r="L6" s="4" t="s">
        <v>202</v>
      </c>
      <c r="M6" s="61" t="s">
        <v>208</v>
      </c>
      <c r="O6" s="20"/>
    </row>
    <row r="7" spans="1:15" x14ac:dyDescent="0.3">
      <c r="A7" s="20"/>
      <c r="B7" s="6" t="s">
        <v>51</v>
      </c>
      <c r="C7" s="7" t="s">
        <v>52</v>
      </c>
      <c r="F7" s="20">
        <v>388541</v>
      </c>
      <c r="G7" s="20">
        <v>6</v>
      </c>
      <c r="I7">
        <v>1005403</v>
      </c>
      <c r="J7">
        <v>6</v>
      </c>
      <c r="L7" s="4" t="s">
        <v>68</v>
      </c>
      <c r="M7" s="60" t="s">
        <v>209</v>
      </c>
      <c r="O7" s="20"/>
    </row>
    <row r="8" spans="1:15" x14ac:dyDescent="0.3">
      <c r="A8" s="20"/>
      <c r="B8" s="6" t="s">
        <v>1342</v>
      </c>
      <c r="C8" s="7" t="s">
        <v>52</v>
      </c>
      <c r="F8" s="20">
        <v>383168</v>
      </c>
      <c r="G8" s="20">
        <v>7</v>
      </c>
      <c r="I8">
        <v>1012588</v>
      </c>
      <c r="J8">
        <v>7</v>
      </c>
      <c r="L8" s="4" t="s">
        <v>62</v>
      </c>
      <c r="M8" s="60" t="s">
        <v>63</v>
      </c>
      <c r="O8" s="20"/>
    </row>
    <row r="9" spans="1:15" x14ac:dyDescent="0.3">
      <c r="A9" s="20"/>
      <c r="B9" s="4" t="s">
        <v>125</v>
      </c>
      <c r="C9" s="9" t="s">
        <v>220</v>
      </c>
      <c r="F9" s="20">
        <v>383640</v>
      </c>
      <c r="G9" s="20">
        <v>8</v>
      </c>
      <c r="I9">
        <v>1013534</v>
      </c>
      <c r="J9">
        <v>8</v>
      </c>
      <c r="L9" s="14" t="s">
        <v>215</v>
      </c>
      <c r="M9" s="59" t="s">
        <v>221</v>
      </c>
      <c r="O9" s="20"/>
    </row>
    <row r="10" spans="1:15" x14ac:dyDescent="0.3">
      <c r="A10" s="20"/>
      <c r="B10" s="6" t="s">
        <v>107</v>
      </c>
      <c r="C10" s="4" t="s">
        <v>44</v>
      </c>
      <c r="F10" s="20">
        <v>383165</v>
      </c>
      <c r="G10" s="20">
        <v>9</v>
      </c>
      <c r="I10">
        <v>1011070</v>
      </c>
      <c r="J10">
        <v>9</v>
      </c>
      <c r="L10" s="4" t="s">
        <v>1613</v>
      </c>
      <c r="M10" s="61" t="s">
        <v>205</v>
      </c>
    </row>
    <row r="11" spans="1:15" x14ac:dyDescent="0.3">
      <c r="A11" s="20"/>
      <c r="B11" s="4" t="s">
        <v>108</v>
      </c>
      <c r="C11" s="4" t="s">
        <v>53</v>
      </c>
      <c r="F11" s="20">
        <v>384120</v>
      </c>
      <c r="G11" s="20">
        <v>10</v>
      </c>
      <c r="I11">
        <v>1013657</v>
      </c>
      <c r="J11">
        <v>10</v>
      </c>
      <c r="L11" s="4" t="s">
        <v>1614</v>
      </c>
      <c r="M11" s="60" t="s">
        <v>206</v>
      </c>
    </row>
    <row r="12" spans="1:15" x14ac:dyDescent="0.3">
      <c r="A12" s="20"/>
      <c r="B12" s="4" t="s">
        <v>1375</v>
      </c>
      <c r="C12" s="4" t="s">
        <v>1389</v>
      </c>
      <c r="F12" s="20">
        <v>384136</v>
      </c>
      <c r="G12" s="20">
        <v>11</v>
      </c>
      <c r="I12">
        <v>372921</v>
      </c>
      <c r="J12">
        <v>11</v>
      </c>
      <c r="L12" s="4" t="s">
        <v>1615</v>
      </c>
      <c r="M12" s="60" t="s">
        <v>210</v>
      </c>
    </row>
    <row r="13" spans="1:15" x14ac:dyDescent="0.3">
      <c r="A13" s="20"/>
      <c r="B13" s="6" t="s">
        <v>80</v>
      </c>
      <c r="C13" s="7" t="s">
        <v>79</v>
      </c>
      <c r="F13" s="20">
        <v>381217</v>
      </c>
      <c r="G13" s="20">
        <v>12</v>
      </c>
      <c r="I13">
        <v>376446</v>
      </c>
      <c r="J13">
        <v>12</v>
      </c>
      <c r="L13" s="4" t="s">
        <v>1616</v>
      </c>
      <c r="M13" s="61" t="s">
        <v>207</v>
      </c>
    </row>
    <row r="14" spans="1:15" x14ac:dyDescent="0.3">
      <c r="A14" s="20"/>
      <c r="B14" s="6" t="s">
        <v>81</v>
      </c>
      <c r="C14" s="7" t="s">
        <v>84</v>
      </c>
      <c r="F14" s="20">
        <v>381312</v>
      </c>
      <c r="G14" s="20">
        <v>13</v>
      </c>
      <c r="I14">
        <v>396001</v>
      </c>
      <c r="J14">
        <v>13</v>
      </c>
      <c r="L14" s="4" t="s">
        <v>1617</v>
      </c>
      <c r="M14" s="60" t="s">
        <v>208</v>
      </c>
    </row>
    <row r="15" spans="1:15" x14ac:dyDescent="0.3">
      <c r="A15" s="20"/>
      <c r="B15" s="4" t="s">
        <v>134</v>
      </c>
      <c r="C15" s="9" t="s">
        <v>77</v>
      </c>
      <c r="F15" s="20">
        <v>381216</v>
      </c>
      <c r="G15" s="20">
        <v>14</v>
      </c>
      <c r="I15">
        <v>396508</v>
      </c>
      <c r="J15">
        <v>14</v>
      </c>
      <c r="L15" s="4" t="s">
        <v>1618</v>
      </c>
      <c r="M15" s="60" t="s">
        <v>209</v>
      </c>
    </row>
    <row r="16" spans="1:15" x14ac:dyDescent="0.3">
      <c r="A16" s="20"/>
      <c r="B16" s="6" t="s">
        <v>151</v>
      </c>
      <c r="C16" s="4" t="s">
        <v>160</v>
      </c>
      <c r="F16" s="20">
        <v>383332</v>
      </c>
      <c r="G16" s="20">
        <v>15</v>
      </c>
      <c r="I16">
        <v>1010421</v>
      </c>
      <c r="J16">
        <v>15</v>
      </c>
      <c r="L16" s="14" t="s">
        <v>1619</v>
      </c>
      <c r="M16" s="61" t="s">
        <v>63</v>
      </c>
    </row>
    <row r="17" spans="1:14" x14ac:dyDescent="0.3">
      <c r="A17" s="20"/>
      <c r="B17" s="6" t="s">
        <v>128</v>
      </c>
      <c r="C17" s="9" t="s">
        <v>138</v>
      </c>
      <c r="F17" s="20">
        <v>386935</v>
      </c>
      <c r="G17" s="20">
        <v>16</v>
      </c>
      <c r="I17">
        <v>395855</v>
      </c>
      <c r="J17">
        <v>16</v>
      </c>
      <c r="L17" s="14" t="s">
        <v>1620</v>
      </c>
      <c r="M17" s="61" t="s">
        <v>221</v>
      </c>
    </row>
    <row r="18" spans="1:14" x14ac:dyDescent="0.3">
      <c r="A18" s="20"/>
      <c r="B18" s="4" t="s">
        <v>9</v>
      </c>
      <c r="C18" s="7" t="s">
        <v>92</v>
      </c>
      <c r="F18" s="20">
        <v>383665</v>
      </c>
      <c r="G18" s="20">
        <v>17</v>
      </c>
      <c r="I18">
        <v>1011295</v>
      </c>
      <c r="J18">
        <v>17</v>
      </c>
      <c r="L18" s="4"/>
      <c r="M18" s="60"/>
    </row>
    <row r="19" spans="1:14" x14ac:dyDescent="0.3">
      <c r="A19" s="20"/>
      <c r="B19" s="4" t="s">
        <v>214</v>
      </c>
      <c r="C19" s="7" t="s">
        <v>219</v>
      </c>
      <c r="F19" s="20">
        <v>380735</v>
      </c>
      <c r="G19" s="20">
        <v>18</v>
      </c>
      <c r="I19">
        <v>1005321</v>
      </c>
      <c r="J19">
        <v>18</v>
      </c>
      <c r="L19" s="14"/>
      <c r="M19" s="60"/>
    </row>
    <row r="20" spans="1:14" x14ac:dyDescent="0.3">
      <c r="A20" s="20"/>
      <c r="B20" s="6" t="s">
        <v>106</v>
      </c>
      <c r="C20" s="9" t="s">
        <v>45</v>
      </c>
      <c r="F20" s="20">
        <v>382520</v>
      </c>
      <c r="G20" s="20">
        <v>19</v>
      </c>
      <c r="I20">
        <v>1011419</v>
      </c>
      <c r="J20">
        <v>19</v>
      </c>
      <c r="L20" s="4"/>
      <c r="M20" s="60"/>
    </row>
    <row r="21" spans="1:14" x14ac:dyDescent="0.3">
      <c r="A21" s="20"/>
      <c r="B21" s="6" t="s">
        <v>171</v>
      </c>
      <c r="C21" s="9" t="s">
        <v>177</v>
      </c>
      <c r="F21" s="20">
        <v>383883</v>
      </c>
      <c r="G21" s="20">
        <v>20</v>
      </c>
      <c r="I21">
        <v>1012540</v>
      </c>
      <c r="J21">
        <v>20</v>
      </c>
      <c r="L21" s="4"/>
      <c r="M21" s="62"/>
    </row>
    <row r="22" spans="1:14" x14ac:dyDescent="0.3">
      <c r="A22" s="20"/>
      <c r="B22" s="4" t="s">
        <v>26</v>
      </c>
      <c r="C22" s="7" t="s">
        <v>31</v>
      </c>
      <c r="E22" s="20"/>
      <c r="F22" s="20">
        <v>382604</v>
      </c>
      <c r="G22" s="20">
        <v>21</v>
      </c>
      <c r="I22">
        <v>1011441</v>
      </c>
      <c r="J22">
        <v>21</v>
      </c>
      <c r="L22" s="4"/>
      <c r="M22" s="60"/>
      <c r="N22" s="20"/>
    </row>
    <row r="23" spans="1:14" x14ac:dyDescent="0.3">
      <c r="A23" s="20"/>
      <c r="B23" s="4" t="s">
        <v>129</v>
      </c>
      <c r="C23" s="9" t="s">
        <v>29</v>
      </c>
      <c r="E23" s="20"/>
      <c r="F23" s="20">
        <v>380721</v>
      </c>
      <c r="G23" s="20">
        <v>22</v>
      </c>
      <c r="I23">
        <v>1012485</v>
      </c>
      <c r="J23">
        <v>22</v>
      </c>
      <c r="L23" s="20"/>
      <c r="M23" s="20"/>
      <c r="N23" s="20"/>
    </row>
    <row r="24" spans="1:14" x14ac:dyDescent="0.3">
      <c r="A24" s="20"/>
      <c r="B24" s="4" t="s">
        <v>67</v>
      </c>
      <c r="C24" s="7" t="s">
        <v>69</v>
      </c>
      <c r="E24" s="20"/>
      <c r="F24" s="20">
        <v>390286</v>
      </c>
      <c r="G24" s="20">
        <v>23</v>
      </c>
      <c r="I24">
        <v>1011394</v>
      </c>
      <c r="J24">
        <v>23</v>
      </c>
      <c r="L24" s="20"/>
      <c r="M24" s="20"/>
      <c r="N24" s="20"/>
    </row>
    <row r="25" spans="1:14" x14ac:dyDescent="0.3">
      <c r="A25" s="20"/>
      <c r="B25" s="6" t="s">
        <v>169</v>
      </c>
      <c r="C25" s="9" t="s">
        <v>172</v>
      </c>
      <c r="E25" s="20"/>
      <c r="F25" s="20">
        <v>386931</v>
      </c>
      <c r="G25" s="20">
        <v>24</v>
      </c>
      <c r="I25">
        <v>1010653</v>
      </c>
      <c r="J25">
        <v>24</v>
      </c>
    </row>
    <row r="26" spans="1:14" x14ac:dyDescent="0.3">
      <c r="A26" s="20"/>
      <c r="B26" s="7" t="s">
        <v>1459</v>
      </c>
      <c r="C26" s="7" t="s">
        <v>1484</v>
      </c>
      <c r="E26" s="20"/>
      <c r="F26" s="20">
        <v>380749</v>
      </c>
      <c r="G26" s="20">
        <v>25</v>
      </c>
      <c r="I26">
        <v>1002477</v>
      </c>
      <c r="J26">
        <v>25</v>
      </c>
    </row>
    <row r="27" spans="1:14" x14ac:dyDescent="0.3">
      <c r="A27" s="20"/>
      <c r="B27" s="4" t="s">
        <v>130</v>
      </c>
      <c r="C27" s="9" t="s">
        <v>140</v>
      </c>
      <c r="E27" s="20"/>
      <c r="F27" s="20">
        <v>364204</v>
      </c>
      <c r="G27" s="20">
        <v>26</v>
      </c>
      <c r="I27">
        <v>342054</v>
      </c>
      <c r="J27">
        <v>26</v>
      </c>
    </row>
    <row r="28" spans="1:14" x14ac:dyDescent="0.3">
      <c r="A28" s="20"/>
      <c r="B28" s="6" t="s">
        <v>115</v>
      </c>
      <c r="C28" s="9" t="s">
        <v>117</v>
      </c>
      <c r="E28" s="20"/>
      <c r="F28" s="20">
        <v>342018</v>
      </c>
      <c r="G28" s="20">
        <v>27</v>
      </c>
      <c r="I28">
        <v>1006376</v>
      </c>
      <c r="J28">
        <v>27</v>
      </c>
    </row>
    <row r="29" spans="1:14" x14ac:dyDescent="0.3">
      <c r="A29" s="20"/>
      <c r="B29" s="6" t="s">
        <v>82</v>
      </c>
      <c r="C29" s="4" t="s">
        <v>83</v>
      </c>
      <c r="E29" s="20"/>
      <c r="F29" s="20">
        <v>385260</v>
      </c>
      <c r="G29" s="20">
        <v>28</v>
      </c>
      <c r="I29">
        <v>1014596</v>
      </c>
      <c r="J29">
        <v>28</v>
      </c>
    </row>
    <row r="30" spans="1:14" x14ac:dyDescent="0.3">
      <c r="A30" s="20"/>
      <c r="B30" s="6" t="s">
        <v>15</v>
      </c>
      <c r="C30" s="7" t="s">
        <v>116</v>
      </c>
      <c r="F30" s="20">
        <v>351932</v>
      </c>
      <c r="G30" s="20">
        <v>29</v>
      </c>
      <c r="I30">
        <v>1014595</v>
      </c>
      <c r="J30">
        <v>29</v>
      </c>
    </row>
    <row r="31" spans="1:14" x14ac:dyDescent="0.3">
      <c r="A31" s="20"/>
      <c r="B31" s="6" t="s">
        <v>156</v>
      </c>
      <c r="C31" s="9" t="s">
        <v>181</v>
      </c>
      <c r="F31" s="20">
        <v>384084</v>
      </c>
      <c r="G31" s="20">
        <v>30</v>
      </c>
      <c r="I31">
        <v>1014597</v>
      </c>
      <c r="J31">
        <v>30</v>
      </c>
    </row>
    <row r="32" spans="1:14" x14ac:dyDescent="0.3">
      <c r="A32" s="20"/>
      <c r="B32" s="6" t="s">
        <v>182</v>
      </c>
      <c r="C32" s="9" t="s">
        <v>178</v>
      </c>
      <c r="F32" s="20">
        <v>354680</v>
      </c>
      <c r="G32" s="20">
        <v>31</v>
      </c>
      <c r="I32">
        <v>1014598</v>
      </c>
      <c r="J32">
        <v>31</v>
      </c>
    </row>
    <row r="33" spans="1:10" x14ac:dyDescent="0.3">
      <c r="A33" s="20"/>
      <c r="B33" s="7" t="s">
        <v>40</v>
      </c>
      <c r="C33" s="7" t="s">
        <v>74</v>
      </c>
      <c r="F33" s="20">
        <v>267318</v>
      </c>
      <c r="G33" s="20">
        <v>32</v>
      </c>
      <c r="I33">
        <v>1014602</v>
      </c>
      <c r="J33">
        <v>32</v>
      </c>
    </row>
    <row r="34" spans="1:10" x14ac:dyDescent="0.3">
      <c r="A34" s="20"/>
      <c r="B34" s="4" t="s">
        <v>11</v>
      </c>
      <c r="C34" s="7" t="s">
        <v>17</v>
      </c>
      <c r="F34" s="20">
        <v>354158</v>
      </c>
      <c r="G34" s="20">
        <v>33</v>
      </c>
      <c r="I34">
        <v>1012748</v>
      </c>
      <c r="J34">
        <v>33</v>
      </c>
    </row>
    <row r="35" spans="1:10" x14ac:dyDescent="0.3">
      <c r="A35" s="20"/>
      <c r="B35" s="4" t="s">
        <v>10</v>
      </c>
      <c r="C35" s="7" t="s">
        <v>75</v>
      </c>
      <c r="F35" s="20">
        <v>354159</v>
      </c>
      <c r="G35" s="20">
        <v>34</v>
      </c>
      <c r="I35">
        <v>1008620</v>
      </c>
      <c r="J35">
        <v>34</v>
      </c>
    </row>
    <row r="36" spans="1:10" x14ac:dyDescent="0.3">
      <c r="A36" s="20"/>
      <c r="B36" s="6" t="s">
        <v>88</v>
      </c>
      <c r="C36" s="9" t="s">
        <v>89</v>
      </c>
      <c r="D36" s="20"/>
      <c r="F36" s="20">
        <v>354174</v>
      </c>
      <c r="G36" s="20">
        <v>35</v>
      </c>
      <c r="I36">
        <v>383165</v>
      </c>
      <c r="J36">
        <v>35</v>
      </c>
    </row>
    <row r="37" spans="1:10" x14ac:dyDescent="0.3">
      <c r="A37" s="20"/>
      <c r="B37" s="4" t="s">
        <v>104</v>
      </c>
      <c r="C37" s="9" t="s">
        <v>137</v>
      </c>
      <c r="D37" s="20"/>
      <c r="F37" s="20">
        <v>382895</v>
      </c>
      <c r="G37" s="20">
        <v>36</v>
      </c>
      <c r="I37">
        <v>380808</v>
      </c>
      <c r="J37">
        <v>36</v>
      </c>
    </row>
    <row r="38" spans="1:10" x14ac:dyDescent="0.3">
      <c r="A38" s="20"/>
      <c r="B38" s="4" t="s">
        <v>132</v>
      </c>
      <c r="C38" s="9" t="s">
        <v>139</v>
      </c>
      <c r="D38" s="20"/>
      <c r="F38" s="20">
        <v>379918</v>
      </c>
      <c r="G38" s="20">
        <v>37</v>
      </c>
      <c r="I38">
        <v>384084</v>
      </c>
      <c r="J38">
        <v>37</v>
      </c>
    </row>
    <row r="39" spans="1:10" x14ac:dyDescent="0.3">
      <c r="A39" s="20"/>
      <c r="B39" s="6" t="s">
        <v>157</v>
      </c>
      <c r="C39" s="9" t="s">
        <v>158</v>
      </c>
      <c r="D39" s="20"/>
      <c r="F39" s="20">
        <v>257560</v>
      </c>
      <c r="G39" s="20">
        <v>38</v>
      </c>
      <c r="I39">
        <v>1008506</v>
      </c>
      <c r="J39">
        <v>38</v>
      </c>
    </row>
    <row r="40" spans="1:10" x14ac:dyDescent="0.3">
      <c r="A40" s="20"/>
      <c r="B40" s="4" t="s">
        <v>65</v>
      </c>
      <c r="C40" s="9" t="s">
        <v>70</v>
      </c>
      <c r="D40" s="20"/>
      <c r="F40" s="20">
        <v>290711</v>
      </c>
      <c r="G40" s="20">
        <v>39</v>
      </c>
      <c r="I40">
        <v>1002345</v>
      </c>
      <c r="J40">
        <v>39</v>
      </c>
    </row>
    <row r="41" spans="1:10" x14ac:dyDescent="0.3">
      <c r="A41" s="20"/>
      <c r="B41" s="6" t="s">
        <v>114</v>
      </c>
      <c r="C41" s="9" t="s">
        <v>118</v>
      </c>
      <c r="D41" s="20"/>
      <c r="F41" s="20">
        <v>388913</v>
      </c>
      <c r="G41" s="20">
        <v>40</v>
      </c>
      <c r="I41">
        <v>1002381</v>
      </c>
      <c r="J41">
        <v>40</v>
      </c>
    </row>
    <row r="42" spans="1:10" x14ac:dyDescent="0.3">
      <c r="A42" s="20"/>
      <c r="B42" s="6" t="s">
        <v>93</v>
      </c>
      <c r="C42" s="9" t="s">
        <v>95</v>
      </c>
      <c r="D42" s="20"/>
      <c r="F42" s="20">
        <v>370104</v>
      </c>
      <c r="G42" s="20">
        <v>41</v>
      </c>
      <c r="I42">
        <v>1007900</v>
      </c>
      <c r="J42">
        <v>41</v>
      </c>
    </row>
    <row r="43" spans="1:10" x14ac:dyDescent="0.3">
      <c r="A43" s="20"/>
      <c r="B43" s="4" t="s">
        <v>133</v>
      </c>
      <c r="C43" s="4" t="s">
        <v>136</v>
      </c>
      <c r="D43" s="20"/>
      <c r="F43" s="20">
        <v>387276</v>
      </c>
      <c r="G43" s="20">
        <v>43</v>
      </c>
      <c r="I43">
        <v>385442</v>
      </c>
      <c r="J43">
        <v>42</v>
      </c>
    </row>
    <row r="44" spans="1:10" x14ac:dyDescent="0.3">
      <c r="A44" s="20"/>
      <c r="B44" s="84" t="s">
        <v>349</v>
      </c>
      <c r="C44" s="84" t="s">
        <v>349</v>
      </c>
      <c r="D44" s="20"/>
      <c r="F44" s="20">
        <v>388549</v>
      </c>
      <c r="G44" s="20">
        <v>44</v>
      </c>
      <c r="I44">
        <v>354871</v>
      </c>
      <c r="J44">
        <v>43</v>
      </c>
    </row>
    <row r="45" spans="1:10" x14ac:dyDescent="0.3">
      <c r="A45" s="20"/>
      <c r="B45" s="4" t="s">
        <v>121</v>
      </c>
      <c r="C45" s="9" t="s">
        <v>103</v>
      </c>
      <c r="D45" s="20"/>
      <c r="F45" s="20">
        <v>358513</v>
      </c>
      <c r="G45" s="20">
        <v>45</v>
      </c>
      <c r="I45">
        <v>388053</v>
      </c>
      <c r="J45">
        <v>44</v>
      </c>
    </row>
    <row r="46" spans="1:10" x14ac:dyDescent="0.3">
      <c r="A46" s="20"/>
      <c r="B46" s="6" t="s">
        <v>85</v>
      </c>
      <c r="C46" s="9" t="s">
        <v>86</v>
      </c>
      <c r="D46" s="20"/>
      <c r="F46" s="20">
        <v>385856</v>
      </c>
      <c r="G46" s="20">
        <v>46</v>
      </c>
      <c r="I46">
        <v>1013234</v>
      </c>
      <c r="J46">
        <v>45</v>
      </c>
    </row>
    <row r="47" spans="1:10" x14ac:dyDescent="0.3">
      <c r="A47" s="20"/>
      <c r="B47" s="6" t="s">
        <v>213</v>
      </c>
      <c r="C47" s="9" t="s">
        <v>189</v>
      </c>
      <c r="D47" s="20"/>
      <c r="F47" s="20">
        <v>366348</v>
      </c>
      <c r="G47" s="20">
        <v>47</v>
      </c>
      <c r="I47">
        <v>377437</v>
      </c>
      <c r="J47">
        <v>46</v>
      </c>
    </row>
    <row r="48" spans="1:10" x14ac:dyDescent="0.3">
      <c r="A48" s="20"/>
      <c r="B48" s="6" t="s">
        <v>113</v>
      </c>
      <c r="C48" s="9" t="s">
        <v>119</v>
      </c>
      <c r="D48" s="20"/>
      <c r="F48" s="20">
        <v>370032</v>
      </c>
      <c r="G48" s="20">
        <v>48</v>
      </c>
      <c r="I48">
        <v>1004171</v>
      </c>
      <c r="J48">
        <v>47</v>
      </c>
    </row>
    <row r="49" spans="1:10" x14ac:dyDescent="0.3">
      <c r="A49" s="20"/>
      <c r="B49" s="4" t="s">
        <v>126</v>
      </c>
      <c r="C49" s="9" t="s">
        <v>18</v>
      </c>
      <c r="D49" s="20"/>
      <c r="F49" s="20">
        <v>388004</v>
      </c>
      <c r="G49" s="20">
        <v>49</v>
      </c>
      <c r="I49">
        <v>297335</v>
      </c>
      <c r="J49">
        <v>48</v>
      </c>
    </row>
    <row r="50" spans="1:10" x14ac:dyDescent="0.3">
      <c r="A50" s="20"/>
      <c r="B50" s="4" t="s">
        <v>37</v>
      </c>
      <c r="C50" s="9" t="s">
        <v>38</v>
      </c>
      <c r="D50" s="20"/>
      <c r="F50" s="20">
        <v>354372</v>
      </c>
      <c r="G50" s="20">
        <v>50</v>
      </c>
      <c r="I50">
        <v>1012996</v>
      </c>
      <c r="J50">
        <v>49</v>
      </c>
    </row>
    <row r="51" spans="1:10" x14ac:dyDescent="0.3">
      <c r="A51" s="20"/>
      <c r="B51" s="6" t="s">
        <v>39</v>
      </c>
      <c r="C51" s="7" t="s">
        <v>98</v>
      </c>
      <c r="D51" s="20"/>
      <c r="F51" s="20">
        <v>332790</v>
      </c>
      <c r="G51" s="20">
        <v>51</v>
      </c>
      <c r="I51">
        <v>293371</v>
      </c>
      <c r="J51">
        <v>50</v>
      </c>
    </row>
    <row r="52" spans="1:10" x14ac:dyDescent="0.3">
      <c r="A52" s="20"/>
      <c r="B52" s="4" t="s">
        <v>124</v>
      </c>
      <c r="C52" s="9" t="s">
        <v>96</v>
      </c>
      <c r="D52" s="20"/>
      <c r="F52" s="20">
        <v>379218</v>
      </c>
      <c r="G52" s="20">
        <v>52</v>
      </c>
      <c r="I52">
        <v>383958</v>
      </c>
      <c r="J52">
        <v>51</v>
      </c>
    </row>
    <row r="53" spans="1:10" x14ac:dyDescent="0.3">
      <c r="A53" s="20"/>
      <c r="B53" s="6" t="s">
        <v>8</v>
      </c>
      <c r="C53" s="7" t="s">
        <v>16</v>
      </c>
      <c r="D53" s="20"/>
      <c r="F53" s="20">
        <v>378000</v>
      </c>
      <c r="G53" s="20">
        <v>53</v>
      </c>
      <c r="I53">
        <v>1009453</v>
      </c>
      <c r="J53">
        <v>52</v>
      </c>
    </row>
    <row r="54" spans="1:10" x14ac:dyDescent="0.3">
      <c r="A54" s="20"/>
      <c r="B54" s="4" t="s">
        <v>131</v>
      </c>
      <c r="C54" s="9" t="s">
        <v>91</v>
      </c>
      <c r="D54" s="20"/>
      <c r="F54" s="20">
        <v>352960</v>
      </c>
      <c r="G54" s="20">
        <v>54</v>
      </c>
      <c r="I54">
        <v>1015911</v>
      </c>
      <c r="J54">
        <v>53</v>
      </c>
    </row>
    <row r="55" spans="1:10" x14ac:dyDescent="0.3">
      <c r="A55" s="20"/>
      <c r="B55" s="4" t="s">
        <v>66</v>
      </c>
      <c r="C55" s="4" t="s">
        <v>71</v>
      </c>
      <c r="D55" s="20"/>
      <c r="F55" s="20">
        <v>347818</v>
      </c>
      <c r="G55" s="20">
        <v>55</v>
      </c>
      <c r="I55">
        <v>381524</v>
      </c>
      <c r="J55">
        <v>54</v>
      </c>
    </row>
    <row r="56" spans="1:10" x14ac:dyDescent="0.3">
      <c r="A56" s="20"/>
      <c r="B56" s="7" t="s">
        <v>191</v>
      </c>
      <c r="C56" s="6" t="s">
        <v>94</v>
      </c>
      <c r="D56" s="20"/>
      <c r="F56" s="20">
        <v>341998</v>
      </c>
      <c r="G56" s="20">
        <v>56</v>
      </c>
      <c r="I56">
        <v>1001912</v>
      </c>
      <c r="J56">
        <v>55</v>
      </c>
    </row>
    <row r="57" spans="1:10" x14ac:dyDescent="0.3">
      <c r="A57" s="20"/>
      <c r="B57" s="49" t="s">
        <v>43</v>
      </c>
      <c r="C57" s="65" t="s">
        <v>94</v>
      </c>
      <c r="D57" s="20"/>
      <c r="F57" s="20">
        <v>388497</v>
      </c>
      <c r="G57" s="20">
        <v>57</v>
      </c>
      <c r="I57">
        <v>1014252</v>
      </c>
      <c r="J57">
        <v>56</v>
      </c>
    </row>
    <row r="58" spans="1:10" x14ac:dyDescent="0.3">
      <c r="A58" s="20"/>
      <c r="B58" s="6" t="s">
        <v>175</v>
      </c>
      <c r="C58" s="4" t="s">
        <v>176</v>
      </c>
      <c r="D58" s="20"/>
      <c r="F58" s="20">
        <v>387567</v>
      </c>
      <c r="G58" s="20">
        <v>58</v>
      </c>
      <c r="I58">
        <v>385632</v>
      </c>
      <c r="J58">
        <v>57</v>
      </c>
    </row>
    <row r="59" spans="1:10" x14ac:dyDescent="0.3">
      <c r="A59" s="20"/>
      <c r="B59" s="6" t="s">
        <v>13</v>
      </c>
      <c r="C59" s="7" t="s">
        <v>72</v>
      </c>
      <c r="F59" s="20">
        <v>318430</v>
      </c>
      <c r="G59" s="20">
        <v>59</v>
      </c>
      <c r="I59">
        <v>1014387</v>
      </c>
      <c r="J59">
        <v>58</v>
      </c>
    </row>
    <row r="60" spans="1:10" x14ac:dyDescent="0.3">
      <c r="A60" s="20"/>
      <c r="B60" s="4" t="s">
        <v>12</v>
      </c>
      <c r="C60" s="7" t="s">
        <v>73</v>
      </c>
      <c r="F60" s="20">
        <v>318380</v>
      </c>
      <c r="G60" s="20">
        <v>60</v>
      </c>
      <c r="I60">
        <v>1015439</v>
      </c>
      <c r="J60">
        <v>59</v>
      </c>
    </row>
    <row r="61" spans="1:10" x14ac:dyDescent="0.3">
      <c r="A61" s="20"/>
      <c r="B61" s="4" t="s">
        <v>135</v>
      </c>
      <c r="C61" s="9" t="s">
        <v>111</v>
      </c>
      <c r="F61" s="20">
        <v>354646</v>
      </c>
      <c r="G61" s="20">
        <v>61</v>
      </c>
      <c r="I61">
        <v>1015005</v>
      </c>
      <c r="J61">
        <v>60</v>
      </c>
    </row>
    <row r="62" spans="1:10" x14ac:dyDescent="0.3">
      <c r="A62" s="20"/>
      <c r="B62" s="4"/>
      <c r="C62" s="4"/>
      <c r="F62" s="20">
        <v>382011</v>
      </c>
      <c r="G62" s="20">
        <v>62</v>
      </c>
      <c r="I62">
        <v>1006191</v>
      </c>
      <c r="J62">
        <v>61</v>
      </c>
    </row>
    <row r="63" spans="1:10" x14ac:dyDescent="0.3">
      <c r="A63" s="20"/>
      <c r="B63" s="6"/>
      <c r="C63" s="7"/>
      <c r="F63" s="20">
        <v>241560</v>
      </c>
      <c r="G63" s="20">
        <v>63</v>
      </c>
      <c r="I63">
        <v>1015153</v>
      </c>
      <c r="J63">
        <v>62</v>
      </c>
    </row>
    <row r="64" spans="1:10" x14ac:dyDescent="0.3">
      <c r="A64" s="20"/>
      <c r="B64" s="6"/>
      <c r="C64" s="7"/>
      <c r="F64" s="20">
        <v>354871</v>
      </c>
      <c r="G64" s="20">
        <v>64</v>
      </c>
      <c r="I64">
        <v>1007536</v>
      </c>
      <c r="J64">
        <v>63</v>
      </c>
    </row>
    <row r="65" spans="1:10" x14ac:dyDescent="0.3">
      <c r="A65" s="20"/>
      <c r="B65" s="6"/>
      <c r="C65" s="7"/>
      <c r="F65" s="20">
        <v>381608</v>
      </c>
      <c r="G65" s="20">
        <v>65</v>
      </c>
      <c r="I65">
        <v>1013452</v>
      </c>
      <c r="J65">
        <v>64</v>
      </c>
    </row>
    <row r="66" spans="1:10" x14ac:dyDescent="0.3">
      <c r="A66" s="20"/>
      <c r="B66" s="4"/>
      <c r="C66" s="9"/>
      <c r="F66" s="20">
        <v>385442</v>
      </c>
      <c r="G66" s="20">
        <v>66</v>
      </c>
      <c r="I66">
        <v>1013136</v>
      </c>
      <c r="J66">
        <v>65</v>
      </c>
    </row>
    <row r="67" spans="1:10" x14ac:dyDescent="0.3">
      <c r="A67" s="20"/>
      <c r="B67" s="4"/>
      <c r="C67" s="7"/>
      <c r="F67" s="20">
        <v>388195</v>
      </c>
      <c r="G67" s="20">
        <v>67</v>
      </c>
      <c r="I67">
        <v>332951</v>
      </c>
      <c r="J67">
        <v>66</v>
      </c>
    </row>
    <row r="68" spans="1:10" x14ac:dyDescent="0.3">
      <c r="A68" s="20"/>
      <c r="B68" s="6"/>
      <c r="C68" s="9"/>
      <c r="F68" s="20">
        <v>389549</v>
      </c>
      <c r="G68" s="20">
        <v>68</v>
      </c>
      <c r="I68">
        <v>396669</v>
      </c>
      <c r="J68">
        <v>67</v>
      </c>
    </row>
    <row r="69" spans="1:10" x14ac:dyDescent="0.3">
      <c r="A69" s="20"/>
      <c r="B69" s="6"/>
      <c r="C69" s="4"/>
      <c r="F69" s="20">
        <v>359527</v>
      </c>
      <c r="G69" s="20">
        <v>69</v>
      </c>
      <c r="I69">
        <v>358656</v>
      </c>
      <c r="J69">
        <v>68</v>
      </c>
    </row>
    <row r="70" spans="1:10" x14ac:dyDescent="0.3">
      <c r="A70" s="20"/>
      <c r="B70" s="4"/>
      <c r="C70" s="4"/>
      <c r="F70" s="20">
        <v>377362</v>
      </c>
      <c r="G70" s="20">
        <v>70</v>
      </c>
      <c r="I70">
        <v>392058</v>
      </c>
      <c r="J70">
        <v>69</v>
      </c>
    </row>
    <row r="71" spans="1:10" x14ac:dyDescent="0.3">
      <c r="A71" s="20"/>
      <c r="B71" s="6"/>
      <c r="C71" s="9"/>
      <c r="F71" s="20">
        <v>372244</v>
      </c>
      <c r="G71" s="20">
        <v>71</v>
      </c>
      <c r="I71">
        <v>393265</v>
      </c>
      <c r="J71">
        <v>70</v>
      </c>
    </row>
    <row r="72" spans="1:10" x14ac:dyDescent="0.3">
      <c r="A72" s="20"/>
      <c r="B72" s="6"/>
      <c r="C72" s="9"/>
      <c r="F72" s="20">
        <v>379177</v>
      </c>
      <c r="G72" s="20">
        <v>72</v>
      </c>
      <c r="I72">
        <v>342163</v>
      </c>
      <c r="J72">
        <v>71</v>
      </c>
    </row>
    <row r="73" spans="1:10" x14ac:dyDescent="0.3">
      <c r="A73" s="20"/>
      <c r="B73" s="4"/>
      <c r="C73" s="4"/>
      <c r="F73" s="20">
        <v>377267</v>
      </c>
      <c r="G73" s="20">
        <v>73</v>
      </c>
      <c r="I73">
        <v>387448</v>
      </c>
      <c r="J73">
        <v>72</v>
      </c>
    </row>
    <row r="74" spans="1:10" x14ac:dyDescent="0.3">
      <c r="A74" s="20"/>
      <c r="B74" s="6"/>
      <c r="C74" s="7"/>
      <c r="F74" s="20">
        <v>390448</v>
      </c>
      <c r="G74" s="20">
        <v>74</v>
      </c>
      <c r="I74">
        <v>387446</v>
      </c>
      <c r="J74">
        <v>73</v>
      </c>
    </row>
    <row r="75" spans="1:10" x14ac:dyDescent="0.3">
      <c r="B75" s="4"/>
      <c r="C75" s="4"/>
      <c r="F75" s="20">
        <v>347769</v>
      </c>
      <c r="G75" s="20">
        <v>75</v>
      </c>
      <c r="I75">
        <v>1001062</v>
      </c>
      <c r="J75">
        <v>74</v>
      </c>
    </row>
    <row r="76" spans="1:10" x14ac:dyDescent="0.3">
      <c r="B76" s="7"/>
      <c r="C76" s="7"/>
      <c r="F76" s="20">
        <v>387401</v>
      </c>
      <c r="G76" s="20">
        <v>76</v>
      </c>
      <c r="I76">
        <v>1002583</v>
      </c>
      <c r="J76">
        <v>75</v>
      </c>
    </row>
    <row r="77" spans="1:10" x14ac:dyDescent="0.3">
      <c r="B77" s="6"/>
      <c r="C77" s="9"/>
      <c r="F77" s="20">
        <v>347680</v>
      </c>
      <c r="G77" s="20">
        <v>77</v>
      </c>
      <c r="I77">
        <v>390441</v>
      </c>
      <c r="J77">
        <v>76</v>
      </c>
    </row>
    <row r="78" spans="1:10" x14ac:dyDescent="0.3">
      <c r="B78" s="6"/>
      <c r="C78" s="9"/>
      <c r="F78" s="20">
        <v>381167</v>
      </c>
      <c r="G78" s="20">
        <v>78</v>
      </c>
      <c r="I78">
        <v>340486</v>
      </c>
      <c r="J78">
        <v>77</v>
      </c>
    </row>
    <row r="79" spans="1:10" x14ac:dyDescent="0.3">
      <c r="B79" s="4"/>
      <c r="C79" s="4"/>
      <c r="F79" s="20">
        <v>383582</v>
      </c>
      <c r="G79" s="20">
        <v>80</v>
      </c>
      <c r="I79">
        <v>1011001</v>
      </c>
      <c r="J79">
        <v>78</v>
      </c>
    </row>
    <row r="80" spans="1:10" x14ac:dyDescent="0.3">
      <c r="B80" s="6"/>
      <c r="C80" s="9"/>
      <c r="F80" s="20">
        <v>384423</v>
      </c>
      <c r="G80" s="20">
        <v>81</v>
      </c>
      <c r="I80">
        <v>1014491</v>
      </c>
      <c r="J80">
        <v>79</v>
      </c>
    </row>
    <row r="81" spans="6:10" x14ac:dyDescent="0.3">
      <c r="F81" s="20">
        <v>376206</v>
      </c>
      <c r="G81" s="20">
        <v>82</v>
      </c>
      <c r="I81">
        <v>1014023</v>
      </c>
      <c r="J81">
        <v>80</v>
      </c>
    </row>
    <row r="82" spans="6:10" x14ac:dyDescent="0.3">
      <c r="F82" s="20">
        <v>361219</v>
      </c>
      <c r="G82" s="20">
        <v>83</v>
      </c>
      <c r="I82">
        <v>367689</v>
      </c>
      <c r="J82">
        <v>81</v>
      </c>
    </row>
    <row r="83" spans="6:10" x14ac:dyDescent="0.3">
      <c r="F83" s="20">
        <v>293321</v>
      </c>
      <c r="G83" s="20">
        <v>84</v>
      </c>
      <c r="I83">
        <v>1013496</v>
      </c>
      <c r="J83">
        <v>82</v>
      </c>
    </row>
    <row r="84" spans="6:10" x14ac:dyDescent="0.3">
      <c r="F84" s="20">
        <v>389461</v>
      </c>
      <c r="G84" s="20">
        <v>85</v>
      </c>
      <c r="I84">
        <v>1013750</v>
      </c>
      <c r="J84">
        <v>83</v>
      </c>
    </row>
    <row r="85" spans="6:10" x14ac:dyDescent="0.3">
      <c r="F85" s="20">
        <v>301503</v>
      </c>
      <c r="G85" s="20">
        <v>86</v>
      </c>
      <c r="I85">
        <v>1012570</v>
      </c>
      <c r="J85">
        <v>84</v>
      </c>
    </row>
    <row r="86" spans="6:10" x14ac:dyDescent="0.3">
      <c r="F86" s="20">
        <v>293338</v>
      </c>
      <c r="G86" s="20">
        <v>87</v>
      </c>
      <c r="I86">
        <v>353134</v>
      </c>
      <c r="J86">
        <v>85</v>
      </c>
    </row>
    <row r="87" spans="6:10" x14ac:dyDescent="0.3">
      <c r="F87" s="20">
        <v>365133</v>
      </c>
      <c r="G87" s="20">
        <v>88</v>
      </c>
    </row>
    <row r="88" spans="6:10" x14ac:dyDescent="0.3">
      <c r="F88" s="20">
        <v>380379</v>
      </c>
      <c r="G88" s="20">
        <v>89</v>
      </c>
    </row>
    <row r="89" spans="6:10" x14ac:dyDescent="0.3">
      <c r="F89" s="20">
        <v>372441</v>
      </c>
      <c r="G89" s="20">
        <v>90</v>
      </c>
    </row>
    <row r="90" spans="6:10" x14ac:dyDescent="0.3">
      <c r="F90" s="20">
        <v>383958</v>
      </c>
      <c r="G90" s="20">
        <v>91</v>
      </c>
    </row>
    <row r="91" spans="6:10" x14ac:dyDescent="0.3">
      <c r="F91" s="20">
        <v>375533</v>
      </c>
      <c r="G91" s="20">
        <v>92</v>
      </c>
    </row>
    <row r="92" spans="6:10" x14ac:dyDescent="0.3">
      <c r="F92" s="20">
        <v>368860</v>
      </c>
      <c r="G92" s="20">
        <v>93</v>
      </c>
    </row>
    <row r="93" spans="6:10" x14ac:dyDescent="0.3">
      <c r="F93" s="20">
        <v>385551</v>
      </c>
      <c r="G93" s="20">
        <v>95</v>
      </c>
    </row>
    <row r="94" spans="6:10" x14ac:dyDescent="0.3">
      <c r="F94" s="20">
        <v>360140</v>
      </c>
      <c r="G94" s="20">
        <v>96</v>
      </c>
    </row>
    <row r="95" spans="6:10" x14ac:dyDescent="0.3">
      <c r="F95" s="20">
        <v>318970</v>
      </c>
      <c r="G95" s="20">
        <v>97</v>
      </c>
    </row>
    <row r="96" spans="6:10" x14ac:dyDescent="0.3">
      <c r="F96" s="20">
        <v>332928</v>
      </c>
      <c r="G96" s="20">
        <v>98</v>
      </c>
    </row>
    <row r="97" spans="6:10" x14ac:dyDescent="0.3">
      <c r="F97" s="20">
        <v>233791</v>
      </c>
      <c r="G97" s="20">
        <v>99</v>
      </c>
    </row>
    <row r="98" spans="6:10" x14ac:dyDescent="0.3">
      <c r="F98" s="20">
        <v>273666</v>
      </c>
      <c r="G98" s="20">
        <v>100</v>
      </c>
    </row>
    <row r="99" spans="6:10" x14ac:dyDescent="0.3">
      <c r="F99" s="20">
        <v>342163</v>
      </c>
      <c r="G99" s="20">
        <v>101</v>
      </c>
    </row>
    <row r="100" spans="6:10" x14ac:dyDescent="0.3">
      <c r="F100" s="20">
        <v>347199</v>
      </c>
      <c r="G100" s="20">
        <v>102</v>
      </c>
    </row>
    <row r="101" spans="6:10" x14ac:dyDescent="0.3">
      <c r="F101" s="20">
        <v>387544</v>
      </c>
      <c r="G101" s="20">
        <v>103</v>
      </c>
    </row>
    <row r="102" spans="6:10" x14ac:dyDescent="0.3">
      <c r="F102" s="20">
        <v>388076</v>
      </c>
      <c r="G102" s="20">
        <v>104</v>
      </c>
    </row>
    <row r="103" spans="6:10" x14ac:dyDescent="0.3">
      <c r="F103" s="20">
        <v>389221</v>
      </c>
      <c r="G103" s="20">
        <v>105</v>
      </c>
    </row>
    <row r="104" spans="6:10" x14ac:dyDescent="0.3">
      <c r="F104" s="20">
        <v>356618</v>
      </c>
      <c r="G104" s="20">
        <v>106</v>
      </c>
    </row>
    <row r="105" spans="6:10" x14ac:dyDescent="0.3">
      <c r="F105" s="20">
        <v>371485</v>
      </c>
      <c r="G105" s="20">
        <v>107</v>
      </c>
    </row>
    <row r="106" spans="6:10" x14ac:dyDescent="0.3">
      <c r="F106" s="20">
        <v>373090</v>
      </c>
      <c r="G106" s="20">
        <v>108</v>
      </c>
    </row>
    <row r="107" spans="6:10" x14ac:dyDescent="0.3">
      <c r="F107" s="20"/>
      <c r="G107" s="20"/>
    </row>
    <row r="108" spans="6:10" x14ac:dyDescent="0.3">
      <c r="F108" s="20"/>
      <c r="G108" s="20"/>
    </row>
    <row r="109" spans="6:10" x14ac:dyDescent="0.3">
      <c r="F109" s="20"/>
      <c r="G109" s="20"/>
      <c r="I109" s="20"/>
      <c r="J109" s="20"/>
    </row>
    <row r="110" spans="6:10" x14ac:dyDescent="0.3">
      <c r="F110" s="20"/>
      <c r="G110" s="20"/>
      <c r="I110" s="20"/>
      <c r="J110" s="20"/>
    </row>
    <row r="111" spans="6:10" x14ac:dyDescent="0.3">
      <c r="F111" s="20"/>
      <c r="G111" s="20"/>
      <c r="I111" s="20"/>
      <c r="J111" s="20"/>
    </row>
    <row r="112" spans="6:10" x14ac:dyDescent="0.3">
      <c r="F112" s="20"/>
      <c r="G112" s="20"/>
      <c r="I112" s="20"/>
      <c r="J112" s="20"/>
    </row>
    <row r="113" spans="6:10" x14ac:dyDescent="0.3">
      <c r="F113" s="20"/>
      <c r="G113" s="20"/>
      <c r="I113" s="20"/>
      <c r="J113" s="20"/>
    </row>
    <row r="114" spans="6:10" x14ac:dyDescent="0.3">
      <c r="F114" s="20"/>
      <c r="G114" s="20"/>
      <c r="I114" s="20"/>
      <c r="J114" s="20"/>
    </row>
    <row r="115" spans="6:10" x14ac:dyDescent="0.3">
      <c r="F115" s="20"/>
      <c r="G115" s="20"/>
      <c r="I115" s="20"/>
      <c r="J115" s="20"/>
    </row>
    <row r="116" spans="6:10" x14ac:dyDescent="0.3">
      <c r="F116" s="20"/>
      <c r="G116" s="20"/>
      <c r="I116" s="20"/>
      <c r="J116" s="20"/>
    </row>
    <row r="117" spans="6:10" x14ac:dyDescent="0.3">
      <c r="F117" s="20"/>
      <c r="G117" s="20"/>
      <c r="I117" s="20"/>
      <c r="J117" s="20"/>
    </row>
    <row r="118" spans="6:10" x14ac:dyDescent="0.3">
      <c r="F118" s="20"/>
      <c r="G118" s="20"/>
      <c r="I118" s="20"/>
      <c r="J118" s="20"/>
    </row>
    <row r="119" spans="6:10" x14ac:dyDescent="0.3">
      <c r="F119" s="20"/>
      <c r="G119" s="20"/>
      <c r="I119" s="20"/>
      <c r="J119" s="20"/>
    </row>
    <row r="120" spans="6:10" x14ac:dyDescent="0.3">
      <c r="F120" s="20"/>
      <c r="G120" s="20"/>
      <c r="I120" s="20"/>
      <c r="J120" s="20"/>
    </row>
    <row r="121" spans="6:10" x14ac:dyDescent="0.3">
      <c r="F121" s="20"/>
      <c r="G121" s="20"/>
      <c r="I121" s="20"/>
      <c r="J121" s="20"/>
    </row>
    <row r="122" spans="6:10" x14ac:dyDescent="0.3">
      <c r="F122" s="20"/>
      <c r="G122" s="20"/>
      <c r="I122" s="20"/>
      <c r="J122" s="20"/>
    </row>
    <row r="123" spans="6:10" x14ac:dyDescent="0.3">
      <c r="F123" s="20"/>
      <c r="G123" s="20"/>
      <c r="I123" s="20"/>
      <c r="J123" s="20"/>
    </row>
    <row r="124" spans="6:10" x14ac:dyDescent="0.3">
      <c r="F124" s="20"/>
      <c r="G124" s="20"/>
      <c r="I124" s="20"/>
      <c r="J124" s="20"/>
    </row>
    <row r="125" spans="6:10" x14ac:dyDescent="0.3">
      <c r="F125" s="20"/>
      <c r="G125" s="20"/>
      <c r="I125" s="20"/>
      <c r="J125" s="20"/>
    </row>
    <row r="126" spans="6:10" x14ac:dyDescent="0.3">
      <c r="F126" s="20"/>
      <c r="G126" s="20"/>
      <c r="I126" s="20"/>
      <c r="J126" s="20"/>
    </row>
    <row r="127" spans="6:10" x14ac:dyDescent="0.3">
      <c r="F127" s="20"/>
      <c r="G127" s="20"/>
      <c r="I127" s="20"/>
      <c r="J127" s="20"/>
    </row>
    <row r="128" spans="6:10" x14ac:dyDescent="0.3">
      <c r="F128" s="20"/>
      <c r="G128" s="20"/>
      <c r="I128" s="20"/>
      <c r="J128" s="20"/>
    </row>
    <row r="129" spans="6:10" x14ac:dyDescent="0.3">
      <c r="F129" s="20"/>
      <c r="G129" s="20"/>
      <c r="I129" s="20"/>
      <c r="J129" s="20"/>
    </row>
    <row r="130" spans="6:10" x14ac:dyDescent="0.3">
      <c r="F130" s="20"/>
      <c r="G130" s="20"/>
      <c r="I130" s="20"/>
      <c r="J130" s="20"/>
    </row>
    <row r="131" spans="6:10" x14ac:dyDescent="0.3">
      <c r="F131" s="20"/>
      <c r="G131" s="20"/>
      <c r="I131" s="20"/>
      <c r="J131" s="20"/>
    </row>
    <row r="132" spans="6:10" x14ac:dyDescent="0.3">
      <c r="F132" s="20"/>
      <c r="G132" s="20"/>
      <c r="I132" s="20"/>
      <c r="J132" s="20"/>
    </row>
    <row r="133" spans="6:10" x14ac:dyDescent="0.3">
      <c r="F133" s="20"/>
      <c r="G133" s="20"/>
      <c r="I133" s="20"/>
      <c r="J133" s="20"/>
    </row>
    <row r="134" spans="6:10" x14ac:dyDescent="0.3">
      <c r="F134" s="20"/>
      <c r="G134" s="20"/>
      <c r="I134" s="20"/>
      <c r="J134" s="20"/>
    </row>
    <row r="135" spans="6:10" x14ac:dyDescent="0.3">
      <c r="F135" s="20"/>
      <c r="G135" s="20"/>
      <c r="I135" s="20"/>
      <c r="J135" s="20"/>
    </row>
    <row r="136" spans="6:10" x14ac:dyDescent="0.3">
      <c r="F136" s="20"/>
      <c r="G136" s="20"/>
      <c r="I136" s="20"/>
      <c r="J136" s="20"/>
    </row>
    <row r="137" spans="6:10" x14ac:dyDescent="0.3">
      <c r="F137" s="20"/>
      <c r="G137" s="20"/>
      <c r="I137" s="20"/>
      <c r="J137" s="20"/>
    </row>
    <row r="138" spans="6:10" x14ac:dyDescent="0.3">
      <c r="F138" s="20"/>
      <c r="G138" s="20"/>
      <c r="I138" s="20"/>
      <c r="J138" s="20"/>
    </row>
    <row r="139" spans="6:10" x14ac:dyDescent="0.3">
      <c r="F139" s="20"/>
      <c r="G139" s="20"/>
      <c r="I139" s="20"/>
      <c r="J139" s="20"/>
    </row>
    <row r="140" spans="6:10" x14ac:dyDescent="0.3">
      <c r="F140" s="20"/>
      <c r="G140" s="20"/>
      <c r="I140" s="20"/>
      <c r="J140" s="20"/>
    </row>
    <row r="141" spans="6:10" x14ac:dyDescent="0.3">
      <c r="F141" s="20"/>
      <c r="G141" s="20"/>
      <c r="I141" s="20"/>
      <c r="J141" s="20"/>
    </row>
    <row r="142" spans="6:10" x14ac:dyDescent="0.3">
      <c r="F142" s="20"/>
      <c r="G142" s="20"/>
      <c r="I142" s="20"/>
      <c r="J142" s="20"/>
    </row>
    <row r="143" spans="6:10" x14ac:dyDescent="0.3">
      <c r="F143" s="20"/>
      <c r="G143" s="20"/>
      <c r="I143" s="20"/>
      <c r="J143" s="20"/>
    </row>
    <row r="144" spans="6:10" x14ac:dyDescent="0.3">
      <c r="F144" s="20"/>
      <c r="G144" s="20"/>
      <c r="I144" s="20"/>
      <c r="J144" s="20"/>
    </row>
    <row r="145" spans="2:10" x14ac:dyDescent="0.3">
      <c r="F145" s="20"/>
      <c r="G145" s="20"/>
      <c r="I145" s="20"/>
      <c r="J145" s="20"/>
    </row>
    <row r="146" spans="2:10" x14ac:dyDescent="0.3">
      <c r="F146" s="20"/>
      <c r="G146" s="20"/>
      <c r="I146" s="20"/>
      <c r="J146" s="20"/>
    </row>
    <row r="147" spans="2:10" x14ac:dyDescent="0.3">
      <c r="F147" s="20"/>
      <c r="G147" s="20"/>
      <c r="I147" s="20"/>
      <c r="J147" s="20"/>
    </row>
    <row r="148" spans="2:10" x14ac:dyDescent="0.3">
      <c r="F148" s="20"/>
      <c r="G148" s="20"/>
      <c r="I148" s="20"/>
      <c r="J148" s="20"/>
    </row>
    <row r="149" spans="2:10" x14ac:dyDescent="0.3">
      <c r="B149"/>
      <c r="F149" s="20"/>
      <c r="G149" s="20"/>
      <c r="I149" s="20"/>
      <c r="J149" s="20"/>
    </row>
    <row r="150" spans="2:10" x14ac:dyDescent="0.3">
      <c r="B150"/>
      <c r="F150" s="20"/>
      <c r="G150" s="20"/>
      <c r="I150" s="20"/>
      <c r="J150" s="20"/>
    </row>
    <row r="151" spans="2:10" x14ac:dyDescent="0.3">
      <c r="B151"/>
      <c r="F151" s="20"/>
      <c r="G151" s="20"/>
      <c r="I151" s="20"/>
      <c r="J151" s="20"/>
    </row>
    <row r="152" spans="2:10" x14ac:dyDescent="0.3">
      <c r="B152"/>
      <c r="F152" s="20"/>
      <c r="G152" s="20"/>
      <c r="I152" s="20"/>
      <c r="J152" s="20"/>
    </row>
    <row r="153" spans="2:10" x14ac:dyDescent="0.3">
      <c r="B153"/>
      <c r="F153" s="20"/>
      <c r="G153" s="20"/>
      <c r="I153" s="20"/>
      <c r="J153" s="20"/>
    </row>
    <row r="154" spans="2:10" x14ac:dyDescent="0.3">
      <c r="B154"/>
      <c r="F154" s="20"/>
      <c r="G154" s="20"/>
      <c r="I154" s="20"/>
      <c r="J154" s="20"/>
    </row>
    <row r="155" spans="2:10" x14ac:dyDescent="0.3">
      <c r="B155"/>
      <c r="F155" s="20"/>
      <c r="G155" s="20"/>
      <c r="I155" s="20"/>
      <c r="J155" s="20"/>
    </row>
    <row r="156" spans="2:10" x14ac:dyDescent="0.3">
      <c r="B156"/>
      <c r="F156" s="20"/>
      <c r="G156" s="20"/>
      <c r="I156" s="20"/>
      <c r="J156" s="20"/>
    </row>
    <row r="157" spans="2:10" x14ac:dyDescent="0.3">
      <c r="B157"/>
      <c r="F157" s="20"/>
      <c r="G157" s="20"/>
      <c r="I157" s="20"/>
      <c r="J157" s="20"/>
    </row>
    <row r="158" spans="2:10" x14ac:dyDescent="0.3">
      <c r="B158"/>
      <c r="F158" s="20"/>
      <c r="G158" s="20"/>
      <c r="I158" s="20"/>
      <c r="J158" s="20"/>
    </row>
    <row r="159" spans="2:10" x14ac:dyDescent="0.3">
      <c r="B159"/>
      <c r="F159" s="20"/>
      <c r="G159" s="20"/>
      <c r="I159" s="20"/>
      <c r="J159" s="20"/>
    </row>
    <row r="160" spans="2:10" x14ac:dyDescent="0.3">
      <c r="B160"/>
      <c r="F160" s="20"/>
      <c r="G160" s="20"/>
      <c r="I160" s="20"/>
      <c r="J160" s="20"/>
    </row>
    <row r="161" spans="2:10" x14ac:dyDescent="0.3">
      <c r="B161"/>
      <c r="F161" s="20"/>
      <c r="G161" s="20"/>
      <c r="I161" s="20"/>
      <c r="J161" s="20"/>
    </row>
    <row r="162" spans="2:10" x14ac:dyDescent="0.3">
      <c r="B162"/>
      <c r="F162" s="20"/>
      <c r="G162" s="20"/>
      <c r="I162" s="20"/>
      <c r="J162" s="20"/>
    </row>
    <row r="163" spans="2:10" x14ac:dyDescent="0.3">
      <c r="B163"/>
      <c r="F163" s="20"/>
      <c r="G163" s="20"/>
      <c r="I163" s="20"/>
      <c r="J163" s="20"/>
    </row>
    <row r="164" spans="2:10" x14ac:dyDescent="0.3">
      <c r="B164"/>
      <c r="F164" s="20"/>
      <c r="G164" s="20"/>
      <c r="I164" s="20"/>
      <c r="J164" s="20"/>
    </row>
    <row r="165" spans="2:10" x14ac:dyDescent="0.3">
      <c r="B165"/>
      <c r="F165" s="20"/>
      <c r="G165" s="20"/>
      <c r="I165" s="20"/>
      <c r="J165" s="20"/>
    </row>
    <row r="166" spans="2:10" x14ac:dyDescent="0.3">
      <c r="B166"/>
      <c r="F166" s="20"/>
      <c r="G166" s="20"/>
      <c r="I166" s="20"/>
      <c r="J166" s="20"/>
    </row>
    <row r="167" spans="2:10" x14ac:dyDescent="0.3">
      <c r="B167"/>
      <c r="F167" s="20"/>
      <c r="G167" s="20"/>
      <c r="I167" s="20"/>
      <c r="J167" s="20"/>
    </row>
    <row r="168" spans="2:10" x14ac:dyDescent="0.3">
      <c r="B168"/>
      <c r="F168" s="20"/>
      <c r="G168" s="20"/>
      <c r="I168" s="20"/>
      <c r="J168" s="20"/>
    </row>
    <row r="169" spans="2:10" x14ac:dyDescent="0.3">
      <c r="B169"/>
      <c r="F169" s="20"/>
      <c r="G169" s="20"/>
      <c r="I169" s="20"/>
      <c r="J169" s="20"/>
    </row>
    <row r="170" spans="2:10" x14ac:dyDescent="0.3">
      <c r="B170"/>
      <c r="F170" s="20"/>
      <c r="G170" s="20"/>
      <c r="I170" s="20"/>
      <c r="J170" s="20"/>
    </row>
    <row r="171" spans="2:10" x14ac:dyDescent="0.3">
      <c r="B171"/>
      <c r="F171" s="20"/>
      <c r="G171" s="20"/>
      <c r="I171" s="20"/>
      <c r="J171" s="20"/>
    </row>
    <row r="172" spans="2:10" x14ac:dyDescent="0.3">
      <c r="B172"/>
      <c r="F172" s="20"/>
      <c r="G172" s="20"/>
      <c r="I172" s="20"/>
      <c r="J172" s="20"/>
    </row>
    <row r="173" spans="2:10" x14ac:dyDescent="0.3">
      <c r="B173"/>
      <c r="F173" s="20"/>
      <c r="G173" s="20"/>
      <c r="I173" s="20"/>
      <c r="J173" s="20"/>
    </row>
    <row r="174" spans="2:10" x14ac:dyDescent="0.3">
      <c r="B174"/>
      <c r="F174" s="20"/>
      <c r="G174" s="20"/>
      <c r="I174" s="20"/>
      <c r="J174" s="20"/>
    </row>
    <row r="175" spans="2:10" x14ac:dyDescent="0.3">
      <c r="B175"/>
      <c r="F175" s="20"/>
      <c r="G175" s="20"/>
      <c r="I175" s="20"/>
      <c r="J175" s="20"/>
    </row>
    <row r="176" spans="2:10" x14ac:dyDescent="0.3">
      <c r="B176"/>
      <c r="F176" s="20"/>
      <c r="G176" s="20"/>
      <c r="I176" s="20"/>
      <c r="J176" s="20"/>
    </row>
    <row r="177" spans="2:10" x14ac:dyDescent="0.3">
      <c r="B177"/>
      <c r="F177" s="20"/>
      <c r="G177" s="20"/>
      <c r="I177" s="20"/>
      <c r="J177" s="20"/>
    </row>
    <row r="178" spans="2:10" x14ac:dyDescent="0.3">
      <c r="B178"/>
      <c r="F178" s="20"/>
      <c r="G178" s="20"/>
      <c r="I178" s="20"/>
      <c r="J178" s="20"/>
    </row>
    <row r="179" spans="2:10" x14ac:dyDescent="0.3">
      <c r="B179"/>
      <c r="F179" s="20"/>
      <c r="G179" s="20"/>
      <c r="I179" s="20"/>
      <c r="J179" s="20"/>
    </row>
    <row r="180" spans="2:10" x14ac:dyDescent="0.3">
      <c r="B180"/>
      <c r="F180" s="20"/>
      <c r="G180" s="20"/>
      <c r="I180" s="20"/>
      <c r="J180" s="20"/>
    </row>
    <row r="181" spans="2:10" x14ac:dyDescent="0.3">
      <c r="B181"/>
      <c r="F181" s="20"/>
      <c r="G181" s="20"/>
      <c r="I181" s="20"/>
      <c r="J181" s="20"/>
    </row>
    <row r="182" spans="2:10" x14ac:dyDescent="0.3">
      <c r="B182"/>
      <c r="F182" s="20"/>
      <c r="G182" s="20"/>
      <c r="I182" s="20"/>
      <c r="J182" s="20"/>
    </row>
    <row r="183" spans="2:10" x14ac:dyDescent="0.3">
      <c r="B183"/>
      <c r="F183" s="20"/>
      <c r="G183" s="20"/>
      <c r="I183" s="20"/>
      <c r="J183" s="20"/>
    </row>
    <row r="184" spans="2:10" x14ac:dyDescent="0.3">
      <c r="B184"/>
      <c r="F184" s="20"/>
      <c r="G184" s="20"/>
      <c r="I184" s="20"/>
      <c r="J184" s="20"/>
    </row>
    <row r="185" spans="2:10" x14ac:dyDescent="0.3">
      <c r="B185"/>
      <c r="F185" s="20"/>
      <c r="G185" s="20"/>
      <c r="I185" s="20"/>
      <c r="J185" s="20"/>
    </row>
    <row r="186" spans="2:10" x14ac:dyDescent="0.3">
      <c r="B186"/>
      <c r="F186" s="20"/>
      <c r="G186" s="20"/>
      <c r="I186" s="20"/>
      <c r="J186" s="20"/>
    </row>
    <row r="187" spans="2:10" x14ac:dyDescent="0.3">
      <c r="B187"/>
      <c r="F187" s="20"/>
      <c r="G187" s="20"/>
      <c r="I187" s="20"/>
      <c r="J187" s="20"/>
    </row>
    <row r="188" spans="2:10" x14ac:dyDescent="0.3">
      <c r="B188"/>
      <c r="F188" s="20"/>
      <c r="G188" s="20"/>
      <c r="I188" s="20"/>
      <c r="J188" s="20"/>
    </row>
    <row r="189" spans="2:10" x14ac:dyDescent="0.3">
      <c r="B189"/>
      <c r="F189" s="20"/>
      <c r="G189" s="20"/>
      <c r="I189" s="20"/>
      <c r="J189" s="20"/>
    </row>
    <row r="190" spans="2:10" x14ac:dyDescent="0.3">
      <c r="B190"/>
      <c r="F190" s="20"/>
      <c r="G190" s="20"/>
      <c r="I190" s="20"/>
      <c r="J190" s="20"/>
    </row>
    <row r="191" spans="2:10" x14ac:dyDescent="0.3">
      <c r="B191"/>
      <c r="F191" s="20"/>
      <c r="G191" s="20"/>
      <c r="I191" s="20"/>
      <c r="J191" s="20"/>
    </row>
    <row r="192" spans="2:10" x14ac:dyDescent="0.3">
      <c r="B192"/>
      <c r="F192" s="20"/>
      <c r="G192" s="20"/>
      <c r="I192" s="20"/>
      <c r="J192" s="20"/>
    </row>
    <row r="193" spans="2:10" x14ac:dyDescent="0.3">
      <c r="B193"/>
      <c r="F193" s="20"/>
      <c r="G193" s="20"/>
      <c r="I193" s="20"/>
      <c r="J193" s="20"/>
    </row>
    <row r="194" spans="2:10" x14ac:dyDescent="0.3">
      <c r="B194"/>
      <c r="F194" s="20"/>
      <c r="G194" s="20"/>
      <c r="I194" s="20"/>
      <c r="J194" s="20"/>
    </row>
    <row r="195" spans="2:10" x14ac:dyDescent="0.3">
      <c r="B195"/>
      <c r="F195" s="20"/>
      <c r="G195" s="20"/>
      <c r="I195" s="20"/>
      <c r="J195" s="20"/>
    </row>
    <row r="196" spans="2:10" x14ac:dyDescent="0.3">
      <c r="B196"/>
      <c r="F196" s="20"/>
      <c r="G196" s="20"/>
      <c r="I196" s="20"/>
      <c r="J196" s="20"/>
    </row>
    <row r="197" spans="2:10" x14ac:dyDescent="0.3">
      <c r="B197"/>
      <c r="F197" s="20"/>
      <c r="G197" s="20"/>
      <c r="I197" s="20"/>
      <c r="J197" s="20"/>
    </row>
    <row r="198" spans="2:10" x14ac:dyDescent="0.3">
      <c r="B198"/>
      <c r="F198" s="20"/>
      <c r="G198" s="20"/>
      <c r="I198" s="20"/>
      <c r="J198" s="20"/>
    </row>
    <row r="199" spans="2:10" x14ac:dyDescent="0.3">
      <c r="B199"/>
      <c r="F199" s="20"/>
      <c r="G199" s="20"/>
      <c r="I199" s="20"/>
      <c r="J199" s="20"/>
    </row>
    <row r="200" spans="2:10" x14ac:dyDescent="0.3">
      <c r="B200"/>
      <c r="F200" s="20"/>
      <c r="G200" s="20"/>
      <c r="I200" s="20"/>
      <c r="J200" s="20"/>
    </row>
    <row r="201" spans="2:10" x14ac:dyDescent="0.3">
      <c r="B201"/>
      <c r="F201" s="20"/>
      <c r="G201" s="20"/>
      <c r="I201" s="20"/>
      <c r="J201" s="20"/>
    </row>
    <row r="202" spans="2:10" x14ac:dyDescent="0.3">
      <c r="B202"/>
      <c r="F202" s="20"/>
      <c r="G202" s="20"/>
      <c r="I202" s="20"/>
      <c r="J202" s="20"/>
    </row>
    <row r="203" spans="2:10" x14ac:dyDescent="0.3">
      <c r="B203"/>
      <c r="F203" s="20"/>
      <c r="G203" s="20"/>
      <c r="I203" s="20"/>
      <c r="J203" s="20"/>
    </row>
    <row r="204" spans="2:10" x14ac:dyDescent="0.3">
      <c r="B204"/>
      <c r="F204" s="20"/>
      <c r="G204" s="20"/>
      <c r="I204" s="20"/>
      <c r="J204" s="20"/>
    </row>
    <row r="205" spans="2:10" x14ac:dyDescent="0.3">
      <c r="B205"/>
      <c r="F205" s="20"/>
      <c r="G205" s="20"/>
      <c r="I205" s="20"/>
      <c r="J205" s="20"/>
    </row>
    <row r="206" spans="2:10" x14ac:dyDescent="0.3">
      <c r="B206"/>
      <c r="F206" s="20"/>
      <c r="G206" s="20"/>
      <c r="I206" s="20"/>
      <c r="J206" s="20"/>
    </row>
    <row r="207" spans="2:10" x14ac:dyDescent="0.3">
      <c r="B207"/>
      <c r="F207" s="20"/>
      <c r="G207" s="20"/>
      <c r="I207" s="20"/>
      <c r="J207" s="20"/>
    </row>
    <row r="208" spans="2:10" x14ac:dyDescent="0.3">
      <c r="B208"/>
      <c r="F208" s="20"/>
      <c r="G208" s="20"/>
      <c r="I208" s="20"/>
      <c r="J208" s="20"/>
    </row>
    <row r="209" spans="2:10" x14ac:dyDescent="0.3">
      <c r="B209"/>
      <c r="F209" s="20"/>
      <c r="G209" s="20"/>
      <c r="I209" s="20"/>
      <c r="J209" s="20"/>
    </row>
    <row r="210" spans="2:10" x14ac:dyDescent="0.3">
      <c r="B210"/>
      <c r="F210" s="20"/>
      <c r="G210" s="20"/>
      <c r="I210" s="20"/>
      <c r="J210" s="20"/>
    </row>
    <row r="211" spans="2:10" x14ac:dyDescent="0.3">
      <c r="B211"/>
      <c r="F211" s="20"/>
      <c r="G211" s="20"/>
      <c r="I211" s="20"/>
      <c r="J211" s="20"/>
    </row>
    <row r="212" spans="2:10" x14ac:dyDescent="0.3">
      <c r="B212"/>
      <c r="F212" s="20"/>
      <c r="G212" s="20"/>
    </row>
    <row r="213" spans="2:10" x14ac:dyDescent="0.3">
      <c r="B213"/>
      <c r="F213" s="20"/>
      <c r="G213" s="20"/>
    </row>
    <row r="214" spans="2:10" x14ac:dyDescent="0.3">
      <c r="B214"/>
      <c r="F214" s="20"/>
      <c r="G214" s="20"/>
    </row>
    <row r="215" spans="2:10" x14ac:dyDescent="0.3">
      <c r="B215"/>
      <c r="F215" s="20"/>
      <c r="G215" s="20"/>
    </row>
    <row r="216" spans="2:10" x14ac:dyDescent="0.3">
      <c r="B216"/>
      <c r="F216" s="20"/>
      <c r="G216" s="20"/>
    </row>
    <row r="217" spans="2:10" x14ac:dyDescent="0.3">
      <c r="B217"/>
      <c r="F217" s="20"/>
      <c r="G217" s="20"/>
    </row>
    <row r="218" spans="2:10" x14ac:dyDescent="0.3">
      <c r="B218"/>
      <c r="F218" s="20"/>
      <c r="G218" s="20"/>
    </row>
    <row r="219" spans="2:10" x14ac:dyDescent="0.3">
      <c r="B219"/>
      <c r="F219" s="20"/>
      <c r="G219" s="20"/>
    </row>
    <row r="220" spans="2:10" x14ac:dyDescent="0.3">
      <c r="B220"/>
      <c r="F220" s="20"/>
      <c r="G220" s="20"/>
    </row>
    <row r="221" spans="2:10" x14ac:dyDescent="0.3">
      <c r="B221"/>
      <c r="F221" s="20"/>
      <c r="G221" s="20"/>
    </row>
    <row r="222" spans="2:10" x14ac:dyDescent="0.3">
      <c r="B222"/>
      <c r="F222" s="20"/>
      <c r="G222" s="20"/>
    </row>
    <row r="223" spans="2:10" x14ac:dyDescent="0.3">
      <c r="B223"/>
      <c r="F223" s="20"/>
      <c r="G223" s="20"/>
    </row>
    <row r="224" spans="2:10" x14ac:dyDescent="0.3">
      <c r="B224"/>
      <c r="F224" s="20"/>
      <c r="G224" s="20"/>
    </row>
    <row r="225" spans="2:7" x14ac:dyDescent="0.3">
      <c r="B225"/>
      <c r="F225" s="20"/>
      <c r="G225" s="20"/>
    </row>
    <row r="226" spans="2:7" x14ac:dyDescent="0.3">
      <c r="B226"/>
      <c r="F226" s="20"/>
      <c r="G226" s="20"/>
    </row>
    <row r="227" spans="2:7" x14ac:dyDescent="0.3">
      <c r="B227"/>
      <c r="F227" s="20"/>
      <c r="G227" s="20"/>
    </row>
    <row r="228" spans="2:7" x14ac:dyDescent="0.3">
      <c r="B228"/>
      <c r="F228" s="20"/>
      <c r="G228" s="20"/>
    </row>
    <row r="229" spans="2:7" x14ac:dyDescent="0.3">
      <c r="B229"/>
    </row>
    <row r="230" spans="2:7" x14ac:dyDescent="0.3">
      <c r="B230"/>
    </row>
    <row r="231" spans="2:7" x14ac:dyDescent="0.3">
      <c r="B231"/>
    </row>
    <row r="232" spans="2:7" x14ac:dyDescent="0.3">
      <c r="B232"/>
    </row>
    <row r="233" spans="2:7" x14ac:dyDescent="0.3">
      <c r="B233"/>
    </row>
    <row r="234" spans="2:7" x14ac:dyDescent="0.3">
      <c r="B234"/>
    </row>
    <row r="235" spans="2:7" x14ac:dyDescent="0.3">
      <c r="B235"/>
    </row>
    <row r="236" spans="2:7" x14ac:dyDescent="0.3">
      <c r="B236"/>
    </row>
    <row r="237" spans="2:7" x14ac:dyDescent="0.3">
      <c r="B237"/>
    </row>
    <row r="238" spans="2:7" x14ac:dyDescent="0.3">
      <c r="B238"/>
    </row>
    <row r="239" spans="2:7" x14ac:dyDescent="0.3">
      <c r="B239"/>
    </row>
    <row r="240" spans="2:7" x14ac:dyDescent="0.3">
      <c r="B240"/>
    </row>
    <row r="241" spans="2:2" x14ac:dyDescent="0.3">
      <c r="B241"/>
    </row>
    <row r="242" spans="2:2" x14ac:dyDescent="0.3">
      <c r="B242"/>
    </row>
    <row r="243" spans="2:2" x14ac:dyDescent="0.3">
      <c r="B243"/>
    </row>
    <row r="244" spans="2:2" x14ac:dyDescent="0.3">
      <c r="B244"/>
    </row>
  </sheetData>
  <sortState ref="B2:C55">
    <sortCondition ref="B17"/>
  </sortState>
  <customSheetViews>
    <customSheetView guid="{31FA9DD3-B818-410A-9EF7-90B6C16B950C}" scale="90" topLeftCell="A16">
      <selection activeCell="K53" sqref="K53"/>
      <pageMargins left="0.7" right="0.7" top="0.75" bottom="0.75" header="0.3" footer="0.3"/>
      <pageSetup orientation="portrait" r:id="rId1"/>
    </customSheetView>
  </customSheetViews>
  <conditionalFormatting sqref="B22">
    <cfRule type="expression" dxfId="92" priority="265">
      <formula>$D20="Story"</formula>
    </cfRule>
    <cfRule type="expression" dxfId="91" priority="266">
      <formula>$D20="Program Epic"</formula>
    </cfRule>
    <cfRule type="expression" dxfId="90" priority="267">
      <formula>$D20="Feature"</formula>
    </cfRule>
  </conditionalFormatting>
  <conditionalFormatting sqref="B23">
    <cfRule type="expression" dxfId="89" priority="215">
      <formula>$D21="Story"</formula>
    </cfRule>
    <cfRule type="expression" dxfId="88" priority="216">
      <formula>$D21="Program Epic"</formula>
    </cfRule>
    <cfRule type="expression" dxfId="87" priority="217">
      <formula>$D21="Feature"</formula>
    </cfRule>
  </conditionalFormatting>
  <conditionalFormatting sqref="B17">
    <cfRule type="expression" dxfId="86" priority="212">
      <formula>$D15="Story"</formula>
    </cfRule>
    <cfRule type="expression" dxfId="85" priority="213">
      <formula>$D15="Program Epic"</formula>
    </cfRule>
    <cfRule type="expression" dxfId="84" priority="214">
      <formula>$D15="Feature"</formula>
    </cfRule>
  </conditionalFormatting>
  <conditionalFormatting sqref="B23">
    <cfRule type="expression" dxfId="83" priority="209">
      <formula>$D21="Story"</formula>
    </cfRule>
    <cfRule type="expression" dxfId="82" priority="210">
      <formula>$D21="Program Epic"</formula>
    </cfRule>
    <cfRule type="expression" dxfId="81" priority="211">
      <formula>$D21="Feature"</formula>
    </cfRule>
  </conditionalFormatting>
  <conditionalFormatting sqref="B24">
    <cfRule type="expression" dxfId="80" priority="206">
      <formula>$D22="Story"</formula>
    </cfRule>
    <cfRule type="expression" dxfId="79" priority="207">
      <formula>$D22="Program Epic"</formula>
    </cfRule>
    <cfRule type="expression" dxfId="78" priority="208">
      <formula>$D22="Feature"</formula>
    </cfRule>
  </conditionalFormatting>
  <conditionalFormatting sqref="B20">
    <cfRule type="expression" dxfId="77" priority="203">
      <formula>$D18="Story"</formula>
    </cfRule>
    <cfRule type="expression" dxfId="76" priority="204">
      <formula>$D18="Program Epic"</formula>
    </cfRule>
    <cfRule type="expression" dxfId="75" priority="205">
      <formula>$D18="Feature"</formula>
    </cfRule>
  </conditionalFormatting>
  <conditionalFormatting sqref="B21">
    <cfRule type="expression" dxfId="74" priority="200">
      <formula>$D19="Story"</formula>
    </cfRule>
    <cfRule type="expression" dxfId="73" priority="201">
      <formula>$D19="Program Epic"</formula>
    </cfRule>
    <cfRule type="expression" dxfId="72" priority="202">
      <formula>$D19="Feature"</formula>
    </cfRule>
  </conditionalFormatting>
  <conditionalFormatting sqref="B21">
    <cfRule type="expression" dxfId="71" priority="197">
      <formula>$D19="Story"</formula>
    </cfRule>
    <cfRule type="expression" dxfId="70" priority="198">
      <formula>$D19="Program Epic"</formula>
    </cfRule>
    <cfRule type="expression" dxfId="69" priority="199">
      <formula>$D19="Feature"</formula>
    </cfRule>
  </conditionalFormatting>
  <conditionalFormatting sqref="B22">
    <cfRule type="expression" dxfId="68" priority="194">
      <formula>$D20="Story"</formula>
    </cfRule>
    <cfRule type="expression" dxfId="67" priority="195">
      <formula>$D20="Program Epic"</formula>
    </cfRule>
    <cfRule type="expression" dxfId="66" priority="196">
      <formula>$D20="Feature"</formula>
    </cfRule>
  </conditionalFormatting>
  <conditionalFormatting sqref="B15">
    <cfRule type="expression" dxfId="65" priority="177">
      <formula>$D13="Story"</formula>
    </cfRule>
    <cfRule type="expression" dxfId="64" priority="178">
      <formula>$D13="Program Epic"</formula>
    </cfRule>
    <cfRule type="expression" dxfId="63" priority="179">
      <formula>$D13="Feature"</formula>
    </cfRule>
  </conditionalFormatting>
  <conditionalFormatting sqref="B16">
    <cfRule type="expression" dxfId="62" priority="1250">
      <formula>AND(#REF!="ParentNotInCyber",$D14="Story")</formula>
    </cfRule>
    <cfRule type="expression" dxfId="61" priority="1251">
      <formula>$D14="Story"</formula>
    </cfRule>
    <cfRule type="expression" dxfId="60" priority="1252">
      <formula>$D14="Program Epic"</formula>
    </cfRule>
    <cfRule type="expression" dxfId="59" priority="1253">
      <formula>$D14="Feature"</formula>
    </cfRule>
    <cfRule type="expression" dxfId="58" priority="1254">
      <formula>#REF!="Done"</formula>
    </cfRule>
  </conditionalFormatting>
  <conditionalFormatting sqref="L8 L13">
    <cfRule type="expression" dxfId="57" priority="1260">
      <formula>AND($M8="ParentNotInCyber",$D8="Story")</formula>
    </cfRule>
    <cfRule type="expression" dxfId="56" priority="1261">
      <formula>$D8="Story"</formula>
    </cfRule>
    <cfRule type="expression" dxfId="55" priority="1262">
      <formula>$D8="Program Epic"</formula>
    </cfRule>
    <cfRule type="expression" dxfId="54" priority="1263">
      <formula>$D8="Feature"</formula>
    </cfRule>
    <cfRule type="expression" dxfId="53" priority="1264">
      <formula>#REF!="Done"</formula>
    </cfRule>
  </conditionalFormatting>
  <conditionalFormatting sqref="M16 L16:L17">
    <cfRule type="expression" dxfId="52" priority="1280">
      <formula>AND($N16="ParentNotInCyber",$D16="Story")</formula>
    </cfRule>
    <cfRule type="expression" dxfId="51" priority="1281">
      <formula>$D16="Story"</formula>
    </cfRule>
    <cfRule type="expression" dxfId="50" priority="1282">
      <formula>$D16="Program Epic"</formula>
    </cfRule>
    <cfRule type="expression" dxfId="49" priority="1283">
      <formula>$D16="Feature"</formula>
    </cfRule>
    <cfRule type="expression" dxfId="48" priority="1284">
      <formula>#REF!="Done"</formula>
    </cfRule>
    <cfRule type="expression" dxfId="47" priority="1285">
      <formula>LEN(#REF!)=4</formula>
    </cfRule>
  </conditionalFormatting>
  <conditionalFormatting sqref="B43">
    <cfRule type="expression" dxfId="46" priority="1298">
      <formula>AND($N42="ParentNotInCyber",$D42="Story")</formula>
    </cfRule>
    <cfRule type="expression" dxfId="45" priority="1299">
      <formula>$D42="Story"</formula>
    </cfRule>
    <cfRule type="expression" dxfId="44" priority="1300">
      <formula>$D42="Program Epic"</formula>
    </cfRule>
    <cfRule type="expression" dxfId="43" priority="1301">
      <formula>$D42="Feature"</formula>
    </cfRule>
    <cfRule type="expression" dxfId="42" priority="1302">
      <formula>#REF!="Done"</formula>
    </cfRule>
    <cfRule type="expression" dxfId="41" priority="1303">
      <formula>LEN(#REF!)=4</formula>
    </cfRule>
  </conditionalFormatting>
  <conditionalFormatting sqref="B31:B32">
    <cfRule type="expression" dxfId="40" priority="1344">
      <formula>AND(#REF!="ParentNotInCyber",$D27="Story")</formula>
    </cfRule>
    <cfRule type="expression" dxfId="39" priority="1345">
      <formula>$D27="Story"</formula>
    </cfRule>
    <cfRule type="expression" dxfId="38" priority="1346">
      <formula>$D27="Program Epic"</formula>
    </cfRule>
    <cfRule type="expression" dxfId="37" priority="1347">
      <formula>$D27="Feature"</formula>
    </cfRule>
    <cfRule type="expression" dxfId="36" priority="1348">
      <formula>#REF!="Done"</formula>
    </cfRule>
  </conditionalFormatting>
  <conditionalFormatting sqref="B37 B33">
    <cfRule type="expression" dxfId="35" priority="1349">
      <formula>AND($M29="ParentNotInCyber",$D29="Story")</formula>
    </cfRule>
    <cfRule type="expression" dxfId="34" priority="1350">
      <formula>$D29="Story"</formula>
    </cfRule>
    <cfRule type="expression" dxfId="33" priority="1351">
      <formula>$D29="Program Epic"</formula>
    </cfRule>
    <cfRule type="expression" dxfId="32" priority="1352">
      <formula>$D29="Feature"</formula>
    </cfRule>
    <cfRule type="expression" dxfId="31" priority="1353">
      <formula>#REF!="Done"</formula>
    </cfRule>
  </conditionalFormatting>
  <conditionalFormatting sqref="B38:B42">
    <cfRule type="expression" dxfId="30" priority="1359">
      <formula>AND($N34="ParentNotInCyber",$D34="Story")</formula>
    </cfRule>
    <cfRule type="expression" dxfId="29" priority="1360">
      <formula>$D34="Story"</formula>
    </cfRule>
    <cfRule type="expression" dxfId="28" priority="1361">
      <formula>$D34="Program Epic"</formula>
    </cfRule>
    <cfRule type="expression" dxfId="27" priority="1362">
      <formula>$D34="Feature"</formula>
    </cfRule>
    <cfRule type="expression" dxfId="26" priority="1363">
      <formula>#REF!="Done"</formula>
    </cfRule>
    <cfRule type="expression" dxfId="25" priority="1364">
      <formula>LEN(#REF!)=4</formula>
    </cfRule>
  </conditionalFormatting>
  <conditionalFormatting sqref="B52:B58 B50">
    <cfRule type="expression" dxfId="24" priority="1365">
      <formula>AND($N44="ParentNotInCyber",$D44="Story")</formula>
    </cfRule>
    <cfRule type="expression" dxfId="23" priority="1366">
      <formula>$D44="Story"</formula>
    </cfRule>
    <cfRule type="expression" dxfId="22" priority="1367">
      <formula>$D44="Program Epic"</formula>
    </cfRule>
    <cfRule type="expression" dxfId="21" priority="1368">
      <formula>$D44="Feature"</formula>
    </cfRule>
    <cfRule type="expression" dxfId="20" priority="1369">
      <formula>#REF!="Done"</formula>
    </cfRule>
    <cfRule type="expression" dxfId="19" priority="1370">
      <formula>LEN(#REF!)=4</formula>
    </cfRule>
  </conditionalFormatting>
  <pageMargins left="0.7" right="0.7" top="0.75" bottom="0.75" header="0.3" footer="0.3"/>
  <pageSetup orientation="portrait"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1D53670B-9997-4434-806F-21A5C86793CC}">
            <xm:f>CyberData!$N44&lt;&gt;"Cyber"</xm:f>
            <x14:dxf>
              <fill>
                <patternFill>
                  <bgColor theme="9" tint="0.79998168889431442"/>
                </patternFill>
              </fill>
            </x14:dxf>
          </x14:cfRule>
          <x14:cfRule type="expression" priority="2" id="{11438EF7-284F-4DE8-BBBB-ABDFB78FB82C}">
            <xm:f>AND(CyberData!$Q44="ParentNotInCyber",CyberData!$D44="Story")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3" id="{F88E76E4-3F88-4780-B5C7-0C9C55D32B10}">
            <xm:f>CyberData!$D44="Story"</xm:f>
            <x14:dxf>
              <fill>
                <patternFill>
                  <bgColor rgb="FFFFFFCC"/>
                </patternFill>
              </fill>
            </x14:dxf>
          </x14:cfRule>
          <x14:cfRule type="expression" priority="4" id="{7B296876-E426-4753-8014-3E4646C06EE3}">
            <xm:f>CyberData!$D44="Program Epic"</xm:f>
            <x14:dxf>
              <fill>
                <patternFill>
                  <bgColor theme="4" tint="0.39994506668294322"/>
                </patternFill>
              </fill>
            </x14:dxf>
          </x14:cfRule>
          <x14:cfRule type="expression" priority="5" id="{EA4E0335-18CC-4F94-868D-29728254A36D}">
            <xm:f>CyberData!$D44="Feature"</xm:f>
            <x14:dxf>
              <fill>
                <patternFill>
                  <bgColor theme="4" tint="0.59996337778862885"/>
                </patternFill>
              </fill>
            </x14:dxf>
          </x14:cfRule>
          <x14:cfRule type="expression" priority="6" id="{67BF9D5D-698C-4566-B7D5-2B69F0729E77}">
            <xm:f>OR(CyberData!$E44="Done",LEFT(CyberData!$E44,5)="Close")</xm:f>
            <x14:dxf>
              <font>
                <b val="0"/>
                <i/>
                <color theme="0" tint="-0.499984740745262"/>
              </font>
            </x14:dxf>
          </x14:cfRule>
          <xm:sqref>B44:C44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59"/>
  <sheetViews>
    <sheetView zoomScale="110" zoomScaleNormal="110" workbookViewId="0">
      <selection activeCell="K11" sqref="K11:O11"/>
    </sheetView>
  </sheetViews>
  <sheetFormatPr defaultRowHeight="14.4" x14ac:dyDescent="0.3"/>
  <cols>
    <col min="1" max="1" width="28.5546875" customWidth="1"/>
    <col min="2" max="2" width="9.88671875" customWidth="1"/>
    <col min="3" max="7" width="5.44140625" customWidth="1"/>
    <col min="8" max="8" width="11.44140625" customWidth="1"/>
    <col min="9" max="9" width="15.44140625" customWidth="1"/>
    <col min="10" max="10" width="15.6640625" style="20" customWidth="1"/>
    <col min="11" max="11" width="4.6640625" style="20" customWidth="1"/>
    <col min="12" max="12" width="5.6640625" style="20" customWidth="1"/>
    <col min="13" max="18" width="6.33203125" style="20" customWidth="1"/>
    <col min="19" max="20" width="8.88671875" style="20" customWidth="1"/>
  </cols>
  <sheetData>
    <row r="1" spans="1:20" x14ac:dyDescent="0.3">
      <c r="I1" s="4" t="s">
        <v>211</v>
      </c>
      <c r="J1" s="22" t="s">
        <v>206</v>
      </c>
      <c r="K1" s="118" t="s">
        <v>260</v>
      </c>
      <c r="L1" s="118" t="s">
        <v>259</v>
      </c>
      <c r="M1" s="118" t="s">
        <v>256</v>
      </c>
      <c r="N1" s="118" t="s">
        <v>258</v>
      </c>
      <c r="O1" s="118" t="s">
        <v>257</v>
      </c>
      <c r="P1" s="46"/>
      <c r="Q1" s="46"/>
      <c r="R1" s="4"/>
      <c r="S1" s="64" t="s">
        <v>42</v>
      </c>
    </row>
    <row r="2" spans="1:20" x14ac:dyDescent="0.3">
      <c r="C2" s="20"/>
      <c r="D2" s="20"/>
      <c r="E2" s="20"/>
      <c r="F2" s="20"/>
      <c r="G2" s="20"/>
      <c r="J2" s="117">
        <f ca="1">NOW()</f>
        <v>43987.436448379631</v>
      </c>
      <c r="K2" s="4">
        <f>K19</f>
        <v>63</v>
      </c>
      <c r="L2" s="4">
        <f t="shared" ref="L2:S2" si="0">L19</f>
        <v>58</v>
      </c>
      <c r="M2" s="4">
        <f t="shared" si="0"/>
        <v>61</v>
      </c>
      <c r="N2" s="4">
        <f t="shared" si="0"/>
        <v>52</v>
      </c>
      <c r="O2" s="4">
        <f t="shared" si="0"/>
        <v>34</v>
      </c>
      <c r="P2" s="4">
        <f t="shared" si="0"/>
        <v>0</v>
      </c>
      <c r="Q2" s="4">
        <f t="shared" si="0"/>
        <v>0</v>
      </c>
      <c r="R2" s="4"/>
      <c r="S2" s="4">
        <f t="shared" si="0"/>
        <v>268</v>
      </c>
    </row>
    <row r="3" spans="1:20" x14ac:dyDescent="0.3">
      <c r="A3" s="11" t="s">
        <v>0</v>
      </c>
      <c r="B3" s="20" t="s">
        <v>22</v>
      </c>
      <c r="C3" s="20"/>
      <c r="D3" s="20"/>
      <c r="E3" s="20"/>
      <c r="F3" s="20"/>
    </row>
    <row r="4" spans="1:20" x14ac:dyDescent="0.3">
      <c r="A4" s="11" t="s">
        <v>1</v>
      </c>
      <c r="B4" s="20" t="s">
        <v>22</v>
      </c>
      <c r="D4" s="20"/>
      <c r="E4" s="20"/>
      <c r="F4" s="20"/>
      <c r="J4" s="23" t="s">
        <v>57</v>
      </c>
      <c r="K4" s="24"/>
    </row>
    <row r="5" spans="1:20" ht="15" thickBot="1" x14ac:dyDescent="0.35">
      <c r="A5" s="11" t="s">
        <v>14</v>
      </c>
      <c r="B5" s="20" t="s">
        <v>22</v>
      </c>
      <c r="D5" s="20"/>
      <c r="E5" s="20"/>
      <c r="F5" s="20"/>
      <c r="J5" s="22" t="s">
        <v>58</v>
      </c>
      <c r="K5" s="46" t="s">
        <v>260</v>
      </c>
      <c r="L5" s="46" t="s">
        <v>259</v>
      </c>
      <c r="M5" s="46" t="s">
        <v>256</v>
      </c>
      <c r="N5" s="46" t="s">
        <v>258</v>
      </c>
      <c r="O5" s="46" t="s">
        <v>257</v>
      </c>
      <c r="P5" s="46"/>
      <c r="Q5" s="46"/>
      <c r="R5" s="46"/>
      <c r="S5" s="4"/>
    </row>
    <row r="6" spans="1:20" x14ac:dyDescent="0.3">
      <c r="A6" s="11" t="s">
        <v>30</v>
      </c>
      <c r="B6" s="20" t="s">
        <v>22</v>
      </c>
      <c r="D6" s="20"/>
      <c r="E6" s="20"/>
      <c r="F6" s="20"/>
      <c r="J6" s="27" t="s">
        <v>90</v>
      </c>
      <c r="K6" s="66">
        <v>8</v>
      </c>
      <c r="L6" s="66">
        <v>8</v>
      </c>
      <c r="M6" s="66">
        <v>8</v>
      </c>
      <c r="N6" s="66">
        <v>7</v>
      </c>
      <c r="O6" s="66">
        <v>1</v>
      </c>
      <c r="P6" s="66"/>
      <c r="Q6" s="66"/>
      <c r="R6" s="28"/>
      <c r="S6" s="25">
        <f>SUM(K6:Q6)</f>
        <v>32</v>
      </c>
      <c r="T6" s="20" t="s">
        <v>1486</v>
      </c>
    </row>
    <row r="7" spans="1:20" x14ac:dyDescent="0.3">
      <c r="A7" s="11" t="s">
        <v>174</v>
      </c>
      <c r="B7" s="20" t="s">
        <v>22</v>
      </c>
      <c r="D7" s="20"/>
      <c r="E7" s="20"/>
      <c r="F7" s="20"/>
      <c r="J7" s="29" t="s">
        <v>54</v>
      </c>
      <c r="K7" s="67">
        <v>8</v>
      </c>
      <c r="L7" s="67">
        <v>8</v>
      </c>
      <c r="M7" s="67">
        <v>8</v>
      </c>
      <c r="N7" s="113">
        <v>4</v>
      </c>
      <c r="O7" s="67">
        <v>6</v>
      </c>
      <c r="P7" s="67"/>
      <c r="Q7" s="67"/>
      <c r="R7" s="32"/>
      <c r="S7" s="25">
        <f t="shared" ref="S7:S17" si="1">SUM(K7:Q7)</f>
        <v>34</v>
      </c>
      <c r="T7" s="20" t="s">
        <v>1475</v>
      </c>
    </row>
    <row r="8" spans="1:20" x14ac:dyDescent="0.3">
      <c r="A8" s="11" t="s">
        <v>24</v>
      </c>
      <c r="B8" s="20" t="s">
        <v>22</v>
      </c>
      <c r="D8" s="20"/>
      <c r="E8" s="20"/>
      <c r="F8" s="20"/>
      <c r="J8" s="34" t="s">
        <v>218</v>
      </c>
      <c r="K8" s="68">
        <v>8</v>
      </c>
      <c r="L8" s="112">
        <v>5</v>
      </c>
      <c r="M8" s="112">
        <v>6</v>
      </c>
      <c r="N8" s="68">
        <v>7</v>
      </c>
      <c r="O8" s="68">
        <v>3</v>
      </c>
      <c r="P8" s="68"/>
      <c r="Q8" s="68"/>
      <c r="R8" s="32"/>
      <c r="S8" s="25">
        <f t="shared" si="1"/>
        <v>29</v>
      </c>
      <c r="T8" s="111" t="s">
        <v>1488</v>
      </c>
    </row>
    <row r="9" spans="1:20" x14ac:dyDescent="0.3">
      <c r="A9" s="11" t="s">
        <v>41</v>
      </c>
      <c r="B9" s="20" t="s">
        <v>22</v>
      </c>
      <c r="J9" s="34" t="s">
        <v>342</v>
      </c>
      <c r="K9" s="68">
        <v>8</v>
      </c>
      <c r="L9" s="68">
        <v>8</v>
      </c>
      <c r="M9" s="114">
        <v>7</v>
      </c>
      <c r="N9" s="68">
        <v>7</v>
      </c>
      <c r="O9" s="68">
        <v>0</v>
      </c>
      <c r="P9" s="68"/>
      <c r="Q9" s="68"/>
      <c r="R9" s="32"/>
      <c r="S9" s="25">
        <f t="shared" si="1"/>
        <v>30</v>
      </c>
      <c r="T9" s="20" t="s">
        <v>1476</v>
      </c>
    </row>
    <row r="10" spans="1:20" x14ac:dyDescent="0.3">
      <c r="A10" s="11" t="s">
        <v>60</v>
      </c>
      <c r="B10" s="20" t="s">
        <v>206</v>
      </c>
      <c r="H10" s="20"/>
      <c r="J10" s="29" t="s">
        <v>56</v>
      </c>
      <c r="K10" s="67">
        <v>8</v>
      </c>
      <c r="L10" s="67">
        <v>8</v>
      </c>
      <c r="M10" s="67">
        <v>8</v>
      </c>
      <c r="N10" s="113">
        <v>6</v>
      </c>
      <c r="O10" s="67">
        <v>8</v>
      </c>
      <c r="P10" s="67"/>
      <c r="Q10" s="67"/>
      <c r="R10" s="30"/>
      <c r="S10" s="25">
        <f t="shared" si="1"/>
        <v>38</v>
      </c>
      <c r="T10" s="20" t="s">
        <v>1609</v>
      </c>
    </row>
    <row r="11" spans="1:20" x14ac:dyDescent="0.3">
      <c r="E11" s="20"/>
      <c r="F11" s="20"/>
      <c r="G11" s="20"/>
      <c r="H11" s="20"/>
      <c r="J11" s="29" t="s">
        <v>154</v>
      </c>
      <c r="K11" s="113">
        <v>7</v>
      </c>
      <c r="L11" s="67">
        <v>8</v>
      </c>
      <c r="M11" s="67">
        <v>8</v>
      </c>
      <c r="N11" s="113">
        <v>7</v>
      </c>
      <c r="O11" s="67">
        <v>0</v>
      </c>
      <c r="P11" s="67"/>
      <c r="Q11" s="67"/>
      <c r="R11" s="30"/>
      <c r="S11" s="25">
        <f t="shared" si="1"/>
        <v>30</v>
      </c>
      <c r="T11" s="20" t="s">
        <v>1477</v>
      </c>
    </row>
    <row r="12" spans="1:20" x14ac:dyDescent="0.3">
      <c r="A12" s="11" t="s">
        <v>27</v>
      </c>
      <c r="C12" s="11" t="s">
        <v>2</v>
      </c>
      <c r="J12" s="29" t="s">
        <v>55</v>
      </c>
      <c r="K12" s="67">
        <v>8</v>
      </c>
      <c r="L12" s="67">
        <v>8</v>
      </c>
      <c r="M12" s="67">
        <v>8</v>
      </c>
      <c r="N12" s="67">
        <v>7</v>
      </c>
      <c r="O12" s="67">
        <v>8</v>
      </c>
      <c r="P12" s="67"/>
      <c r="Q12" s="67"/>
      <c r="R12" s="32"/>
      <c r="S12" s="25">
        <f t="shared" si="1"/>
        <v>39</v>
      </c>
      <c r="T12" s="20" t="s">
        <v>1479</v>
      </c>
    </row>
    <row r="13" spans="1:20" x14ac:dyDescent="0.3">
      <c r="A13" s="11" t="s">
        <v>4</v>
      </c>
      <c r="B13" s="11" t="s">
        <v>20</v>
      </c>
      <c r="C13" s="20" t="s">
        <v>7</v>
      </c>
      <c r="D13" s="20" t="s">
        <v>105</v>
      </c>
      <c r="E13" s="20" t="s">
        <v>345</v>
      </c>
      <c r="F13" s="20" t="s">
        <v>21</v>
      </c>
      <c r="J13" s="29" t="s">
        <v>1390</v>
      </c>
      <c r="K13" s="67">
        <v>8</v>
      </c>
      <c r="L13" s="112">
        <v>5</v>
      </c>
      <c r="M13" s="112">
        <v>8</v>
      </c>
      <c r="N13" s="67">
        <v>7</v>
      </c>
      <c r="O13" s="67">
        <v>8</v>
      </c>
      <c r="P13" s="67"/>
      <c r="Q13" s="67"/>
      <c r="R13" s="30"/>
      <c r="S13" s="25">
        <f t="shared" si="1"/>
        <v>36</v>
      </c>
      <c r="T13" s="20" t="s">
        <v>1487</v>
      </c>
    </row>
    <row r="14" spans="1:20" x14ac:dyDescent="0.3">
      <c r="A14" s="20" t="s">
        <v>260</v>
      </c>
      <c r="B14" s="20" t="s">
        <v>44</v>
      </c>
      <c r="C14" s="12"/>
      <c r="D14" s="12"/>
      <c r="E14" s="12">
        <v>6</v>
      </c>
      <c r="F14" s="12">
        <v>6</v>
      </c>
      <c r="J14" s="34"/>
      <c r="K14" s="115"/>
      <c r="L14" s="115"/>
      <c r="M14" s="115"/>
      <c r="N14" s="115"/>
      <c r="O14" s="115"/>
      <c r="P14" s="115"/>
      <c r="Q14" s="115"/>
      <c r="R14" s="40"/>
      <c r="S14" s="25">
        <f t="shared" si="1"/>
        <v>0</v>
      </c>
    </row>
    <row r="15" spans="1:20" x14ac:dyDescent="0.3">
      <c r="B15" s="20" t="s">
        <v>220</v>
      </c>
      <c r="C15" s="12"/>
      <c r="D15" s="12"/>
      <c r="E15" s="12">
        <v>8</v>
      </c>
      <c r="F15" s="12">
        <v>8</v>
      </c>
      <c r="J15" s="34"/>
      <c r="K15" s="35"/>
      <c r="L15" s="35"/>
      <c r="M15" s="35"/>
      <c r="N15" s="35"/>
      <c r="O15" s="35"/>
      <c r="P15" s="35"/>
      <c r="Q15" s="35"/>
      <c r="R15" s="32"/>
      <c r="S15" s="25">
        <f t="shared" si="1"/>
        <v>0</v>
      </c>
    </row>
    <row r="16" spans="1:20" x14ac:dyDescent="0.3">
      <c r="B16" s="20" t="s">
        <v>219</v>
      </c>
      <c r="C16" s="12"/>
      <c r="D16" s="12"/>
      <c r="E16" s="12">
        <v>3</v>
      </c>
      <c r="F16" s="12">
        <v>3</v>
      </c>
      <c r="J16" s="34" t="s">
        <v>1478</v>
      </c>
      <c r="K16" s="35"/>
      <c r="L16" s="35"/>
      <c r="M16" s="35"/>
      <c r="N16" s="35"/>
      <c r="O16" s="35"/>
      <c r="P16" s="35"/>
      <c r="Q16" s="35"/>
      <c r="R16" s="32"/>
      <c r="S16" s="25">
        <f t="shared" si="1"/>
        <v>0</v>
      </c>
    </row>
    <row r="17" spans="1:19" x14ac:dyDescent="0.3">
      <c r="B17" s="20" t="s">
        <v>94</v>
      </c>
      <c r="C17" s="12"/>
      <c r="D17" s="12"/>
      <c r="E17" s="12">
        <v>5</v>
      </c>
      <c r="F17" s="12">
        <v>5</v>
      </c>
      <c r="J17" s="29" t="s">
        <v>343</v>
      </c>
      <c r="K17" s="13"/>
      <c r="L17" s="13"/>
      <c r="M17" s="13"/>
      <c r="N17" s="13"/>
      <c r="O17" s="13"/>
      <c r="P17" s="13"/>
      <c r="Q17" s="13"/>
      <c r="R17" s="33"/>
      <c r="S17" s="25">
        <f t="shared" si="1"/>
        <v>0</v>
      </c>
    </row>
    <row r="18" spans="1:19" ht="15" thickBot="1" x14ac:dyDescent="0.35">
      <c r="B18" s="20" t="s">
        <v>52</v>
      </c>
      <c r="C18" s="12"/>
      <c r="D18" s="12"/>
      <c r="E18" s="12">
        <v>9</v>
      </c>
      <c r="F18" s="12">
        <v>9</v>
      </c>
      <c r="J18" s="38"/>
      <c r="K18" s="39"/>
      <c r="L18" s="39"/>
      <c r="M18" s="39"/>
      <c r="N18" s="39"/>
      <c r="O18" s="39"/>
      <c r="P18" s="39"/>
      <c r="Q18" s="39"/>
      <c r="R18" s="41"/>
      <c r="S18" s="45"/>
    </row>
    <row r="19" spans="1:19" x14ac:dyDescent="0.3">
      <c r="B19" s="20" t="s">
        <v>38</v>
      </c>
      <c r="C19" s="12"/>
      <c r="D19" s="12"/>
      <c r="E19" s="12">
        <v>5</v>
      </c>
      <c r="F19" s="12">
        <v>5</v>
      </c>
      <c r="J19" s="26" t="s">
        <v>42</v>
      </c>
      <c r="K19" s="26">
        <f t="shared" ref="K19:Q19" si="2">SUM(K6:K18)</f>
        <v>63</v>
      </c>
      <c r="L19" s="26">
        <f t="shared" si="2"/>
        <v>58</v>
      </c>
      <c r="M19" s="26">
        <f t="shared" si="2"/>
        <v>61</v>
      </c>
      <c r="N19" s="26">
        <f t="shared" si="2"/>
        <v>52</v>
      </c>
      <c r="O19" s="26">
        <f t="shared" si="2"/>
        <v>34</v>
      </c>
      <c r="P19" s="26">
        <f t="shared" si="2"/>
        <v>0</v>
      </c>
      <c r="Q19" s="26">
        <f t="shared" si="2"/>
        <v>0</v>
      </c>
      <c r="R19" s="26"/>
      <c r="S19" s="4">
        <f>SUM(S6:S17)</f>
        <v>268</v>
      </c>
    </row>
    <row r="20" spans="1:19" x14ac:dyDescent="0.3">
      <c r="B20" s="20" t="s">
        <v>1389</v>
      </c>
      <c r="C20" s="12"/>
      <c r="D20" s="12"/>
      <c r="E20" s="12">
        <v>7</v>
      </c>
      <c r="F20" s="12">
        <v>7</v>
      </c>
    </row>
    <row r="21" spans="1:19" x14ac:dyDescent="0.3">
      <c r="B21" s="20" t="s">
        <v>17</v>
      </c>
      <c r="C21" s="12"/>
      <c r="D21" s="12"/>
      <c r="E21" s="12">
        <v>5</v>
      </c>
      <c r="F21" s="12">
        <v>5</v>
      </c>
      <c r="J21" s="50" t="s">
        <v>59</v>
      </c>
    </row>
    <row r="22" spans="1:19" ht="15" thickBot="1" x14ac:dyDescent="0.35">
      <c r="A22" s="20" t="s">
        <v>1448</v>
      </c>
      <c r="B22" s="20"/>
      <c r="C22" s="12"/>
      <c r="D22" s="12"/>
      <c r="E22" s="12">
        <v>48</v>
      </c>
      <c r="F22" s="12">
        <v>48</v>
      </c>
      <c r="J22" s="22" t="s">
        <v>58</v>
      </c>
      <c r="K22" s="46" t="s">
        <v>260</v>
      </c>
      <c r="L22" s="46" t="s">
        <v>259</v>
      </c>
      <c r="M22" s="46" t="s">
        <v>256</v>
      </c>
      <c r="N22" s="46" t="s">
        <v>258</v>
      </c>
      <c r="O22" s="46" t="s">
        <v>257</v>
      </c>
      <c r="P22" s="46"/>
      <c r="Q22" s="46"/>
      <c r="R22" s="46"/>
    </row>
    <row r="23" spans="1:19" x14ac:dyDescent="0.3">
      <c r="A23" s="20" t="s">
        <v>259</v>
      </c>
      <c r="B23" s="20" t="s">
        <v>44</v>
      </c>
      <c r="C23" s="12"/>
      <c r="D23" s="12"/>
      <c r="E23" s="12">
        <v>8</v>
      </c>
      <c r="F23" s="12">
        <v>8</v>
      </c>
      <c r="J23" s="27" t="s">
        <v>44</v>
      </c>
      <c r="K23" s="4">
        <f t="shared" ref="K23:R34" si="3">IFERROR(GETPIVOTDATA("Story Points (numeric)",$A$12,"Planned For",K$22,"Owner",$J23),0)</f>
        <v>6</v>
      </c>
      <c r="L23" s="4">
        <f t="shared" si="3"/>
        <v>8</v>
      </c>
      <c r="M23" s="4">
        <f t="shared" si="3"/>
        <v>8</v>
      </c>
      <c r="N23" s="4">
        <f t="shared" si="3"/>
        <v>6</v>
      </c>
      <c r="O23" s="4">
        <f t="shared" si="3"/>
        <v>4</v>
      </c>
      <c r="P23" s="4">
        <f t="shared" si="3"/>
        <v>0</v>
      </c>
      <c r="Q23" s="4">
        <f t="shared" si="3"/>
        <v>0</v>
      </c>
      <c r="R23" s="4">
        <f t="shared" si="3"/>
        <v>0</v>
      </c>
      <c r="S23" s="25">
        <f t="shared" ref="S23:S33" si="4">SUM(K23:R23)</f>
        <v>32</v>
      </c>
    </row>
    <row r="24" spans="1:19" x14ac:dyDescent="0.3">
      <c r="B24" s="20" t="s">
        <v>220</v>
      </c>
      <c r="C24" s="12"/>
      <c r="D24" s="12"/>
      <c r="E24" s="12">
        <v>9</v>
      </c>
      <c r="F24" s="12">
        <v>9</v>
      </c>
      <c r="J24" s="29" t="s">
        <v>220</v>
      </c>
      <c r="K24" s="4">
        <f t="shared" si="3"/>
        <v>8</v>
      </c>
      <c r="L24" s="4">
        <f t="shared" si="3"/>
        <v>9</v>
      </c>
      <c r="M24" s="4">
        <f t="shared" si="3"/>
        <v>6</v>
      </c>
      <c r="N24" s="4">
        <f t="shared" si="3"/>
        <v>8</v>
      </c>
      <c r="O24" s="4">
        <f t="shared" si="3"/>
        <v>5</v>
      </c>
      <c r="P24" s="4">
        <f t="shared" si="3"/>
        <v>0</v>
      </c>
      <c r="Q24" s="4">
        <f t="shared" si="3"/>
        <v>0</v>
      </c>
      <c r="R24" s="4">
        <f t="shared" si="3"/>
        <v>0</v>
      </c>
      <c r="S24" s="25">
        <f t="shared" si="4"/>
        <v>36</v>
      </c>
    </row>
    <row r="25" spans="1:19" x14ac:dyDescent="0.3">
      <c r="B25" s="20" t="s">
        <v>219</v>
      </c>
      <c r="C25" s="12"/>
      <c r="D25" s="12"/>
      <c r="E25" s="12">
        <v>8</v>
      </c>
      <c r="F25" s="12">
        <v>8</v>
      </c>
      <c r="J25" s="34" t="s">
        <v>219</v>
      </c>
      <c r="K25" s="4">
        <f t="shared" si="3"/>
        <v>3</v>
      </c>
      <c r="L25" s="4">
        <f t="shared" si="3"/>
        <v>8</v>
      </c>
      <c r="M25" s="4">
        <f t="shared" si="3"/>
        <v>3</v>
      </c>
      <c r="N25" s="4">
        <f t="shared" si="3"/>
        <v>8</v>
      </c>
      <c r="O25" s="4">
        <f t="shared" si="3"/>
        <v>5</v>
      </c>
      <c r="P25" s="4">
        <f t="shared" si="3"/>
        <v>0</v>
      </c>
      <c r="Q25" s="4">
        <f t="shared" si="3"/>
        <v>0</v>
      </c>
      <c r="R25" s="4">
        <f t="shared" si="3"/>
        <v>0</v>
      </c>
      <c r="S25" s="25">
        <f t="shared" si="4"/>
        <v>27</v>
      </c>
    </row>
    <row r="26" spans="1:19" x14ac:dyDescent="0.3">
      <c r="B26" s="20" t="s">
        <v>94</v>
      </c>
      <c r="C26" s="12"/>
      <c r="D26" s="12"/>
      <c r="E26" s="12">
        <v>8</v>
      </c>
      <c r="F26" s="12">
        <v>8</v>
      </c>
      <c r="J26" s="34" t="s">
        <v>94</v>
      </c>
      <c r="K26" s="4">
        <f t="shared" si="3"/>
        <v>5</v>
      </c>
      <c r="L26" s="4">
        <f t="shared" si="3"/>
        <v>8</v>
      </c>
      <c r="M26" s="4">
        <f t="shared" si="3"/>
        <v>5</v>
      </c>
      <c r="N26" s="4">
        <f t="shared" si="3"/>
        <v>11</v>
      </c>
      <c r="O26" s="4">
        <f t="shared" si="3"/>
        <v>3</v>
      </c>
      <c r="P26" s="4">
        <f t="shared" si="3"/>
        <v>0</v>
      </c>
      <c r="Q26" s="4">
        <f t="shared" si="3"/>
        <v>0</v>
      </c>
      <c r="R26" s="4">
        <f t="shared" si="3"/>
        <v>0</v>
      </c>
      <c r="S26" s="25">
        <f t="shared" si="4"/>
        <v>32</v>
      </c>
    </row>
    <row r="27" spans="1:19" x14ac:dyDescent="0.3">
      <c r="B27" s="20" t="s">
        <v>52</v>
      </c>
      <c r="C27" s="12"/>
      <c r="D27" s="12"/>
      <c r="E27" s="12">
        <v>7</v>
      </c>
      <c r="F27" s="12">
        <v>7</v>
      </c>
      <c r="J27" s="29" t="s">
        <v>52</v>
      </c>
      <c r="K27" s="4">
        <f t="shared" si="3"/>
        <v>9</v>
      </c>
      <c r="L27" s="4">
        <f t="shared" si="3"/>
        <v>7</v>
      </c>
      <c r="M27" s="4">
        <f t="shared" si="3"/>
        <v>7</v>
      </c>
      <c r="N27" s="4">
        <f t="shared" si="3"/>
        <v>6</v>
      </c>
      <c r="O27" s="4">
        <f t="shared" si="3"/>
        <v>9</v>
      </c>
      <c r="P27" s="4">
        <f t="shared" si="3"/>
        <v>0</v>
      </c>
      <c r="Q27" s="4">
        <f t="shared" si="3"/>
        <v>0</v>
      </c>
      <c r="R27" s="4">
        <f t="shared" si="3"/>
        <v>0</v>
      </c>
      <c r="S27" s="25">
        <f t="shared" si="4"/>
        <v>38</v>
      </c>
    </row>
    <row r="28" spans="1:19" x14ac:dyDescent="0.3">
      <c r="B28" s="20" t="s">
        <v>38</v>
      </c>
      <c r="C28" s="12"/>
      <c r="D28" s="12"/>
      <c r="E28" s="12">
        <v>8</v>
      </c>
      <c r="F28" s="12">
        <v>8</v>
      </c>
      <c r="J28" s="29" t="s">
        <v>38</v>
      </c>
      <c r="K28" s="4">
        <f t="shared" si="3"/>
        <v>5</v>
      </c>
      <c r="L28" s="4">
        <f t="shared" si="3"/>
        <v>8</v>
      </c>
      <c r="M28" s="4">
        <f t="shared" si="3"/>
        <v>8</v>
      </c>
      <c r="N28" s="4">
        <f t="shared" si="3"/>
        <v>7</v>
      </c>
      <c r="O28" s="4">
        <f t="shared" si="3"/>
        <v>4</v>
      </c>
      <c r="P28" s="4">
        <f t="shared" si="3"/>
        <v>0</v>
      </c>
      <c r="Q28" s="4">
        <f t="shared" si="3"/>
        <v>0</v>
      </c>
      <c r="R28" s="4">
        <f t="shared" si="3"/>
        <v>0</v>
      </c>
      <c r="S28" s="25">
        <f t="shared" si="4"/>
        <v>32</v>
      </c>
    </row>
    <row r="29" spans="1:19" x14ac:dyDescent="0.3">
      <c r="B29" s="20" t="s">
        <v>1389</v>
      </c>
      <c r="C29" s="12"/>
      <c r="D29" s="12"/>
      <c r="E29" s="12">
        <v>7</v>
      </c>
      <c r="F29" s="12">
        <v>7</v>
      </c>
      <c r="J29" s="29" t="s">
        <v>17</v>
      </c>
      <c r="K29" s="4">
        <f t="shared" si="3"/>
        <v>5</v>
      </c>
      <c r="L29" s="4">
        <f t="shared" si="3"/>
        <v>8</v>
      </c>
      <c r="M29" s="4">
        <f t="shared" si="3"/>
        <v>8</v>
      </c>
      <c r="N29" s="4">
        <f t="shared" si="3"/>
        <v>8</v>
      </c>
      <c r="O29" s="4">
        <f t="shared" si="3"/>
        <v>8</v>
      </c>
      <c r="P29" s="4">
        <f t="shared" si="3"/>
        <v>0</v>
      </c>
      <c r="Q29" s="4">
        <f t="shared" si="3"/>
        <v>0</v>
      </c>
      <c r="R29" s="4">
        <f t="shared" si="3"/>
        <v>0</v>
      </c>
      <c r="S29" s="25">
        <f t="shared" si="4"/>
        <v>37</v>
      </c>
    </row>
    <row r="30" spans="1:19" x14ac:dyDescent="0.3">
      <c r="B30" s="20" t="s">
        <v>17</v>
      </c>
      <c r="C30" s="12"/>
      <c r="D30" s="12"/>
      <c r="E30" s="12">
        <v>8</v>
      </c>
      <c r="F30" s="12">
        <v>8</v>
      </c>
      <c r="J30" s="29" t="s">
        <v>1389</v>
      </c>
      <c r="K30" s="4">
        <f t="shared" si="3"/>
        <v>7</v>
      </c>
      <c r="L30" s="4">
        <f t="shared" si="3"/>
        <v>7</v>
      </c>
      <c r="M30" s="4">
        <f t="shared" si="3"/>
        <v>6</v>
      </c>
      <c r="N30" s="4">
        <f t="shared" si="3"/>
        <v>5</v>
      </c>
      <c r="O30" s="4">
        <f t="shared" si="3"/>
        <v>10</v>
      </c>
      <c r="P30" s="4">
        <f t="shared" si="3"/>
        <v>0</v>
      </c>
      <c r="Q30" s="4">
        <f t="shared" si="3"/>
        <v>0</v>
      </c>
      <c r="R30" s="4">
        <f t="shared" si="3"/>
        <v>0</v>
      </c>
      <c r="S30" s="25">
        <f t="shared" si="4"/>
        <v>35</v>
      </c>
    </row>
    <row r="31" spans="1:19" x14ac:dyDescent="0.3">
      <c r="A31" s="20" t="s">
        <v>1449</v>
      </c>
      <c r="B31" s="20"/>
      <c r="C31" s="12"/>
      <c r="D31" s="12"/>
      <c r="E31" s="12">
        <v>63</v>
      </c>
      <c r="F31" s="12">
        <v>63</v>
      </c>
      <c r="J31" s="34"/>
      <c r="K31" s="4">
        <f t="shared" si="3"/>
        <v>0</v>
      </c>
      <c r="L31" s="4">
        <f t="shared" si="3"/>
        <v>0</v>
      </c>
      <c r="M31" s="4">
        <f t="shared" si="3"/>
        <v>0</v>
      </c>
      <c r="N31" s="4">
        <f t="shared" si="3"/>
        <v>0</v>
      </c>
      <c r="O31" s="4">
        <f t="shared" si="3"/>
        <v>0</v>
      </c>
      <c r="P31" s="4">
        <f t="shared" si="3"/>
        <v>0</v>
      </c>
      <c r="Q31" s="4">
        <f t="shared" si="3"/>
        <v>0</v>
      </c>
      <c r="R31" s="4">
        <f t="shared" si="3"/>
        <v>0</v>
      </c>
      <c r="S31" s="25">
        <f t="shared" si="4"/>
        <v>0</v>
      </c>
    </row>
    <row r="32" spans="1:19" x14ac:dyDescent="0.3">
      <c r="A32" s="20" t="s">
        <v>256</v>
      </c>
      <c r="B32" s="20" t="s">
        <v>44</v>
      </c>
      <c r="C32" s="12"/>
      <c r="D32" s="12"/>
      <c r="E32" s="12">
        <v>8</v>
      </c>
      <c r="F32" s="12">
        <v>8</v>
      </c>
      <c r="J32" s="29" t="s">
        <v>16</v>
      </c>
      <c r="K32" s="4">
        <f t="shared" si="3"/>
        <v>0</v>
      </c>
      <c r="L32" s="4">
        <f t="shared" si="3"/>
        <v>0</v>
      </c>
      <c r="M32" s="4">
        <f t="shared" si="3"/>
        <v>0</v>
      </c>
      <c r="N32" s="4">
        <f t="shared" si="3"/>
        <v>0</v>
      </c>
      <c r="O32" s="4">
        <f t="shared" si="3"/>
        <v>0</v>
      </c>
      <c r="P32" s="4">
        <f t="shared" si="3"/>
        <v>0</v>
      </c>
      <c r="Q32" s="4">
        <f t="shared" si="3"/>
        <v>0</v>
      </c>
      <c r="R32" s="4">
        <f t="shared" si="3"/>
        <v>0</v>
      </c>
      <c r="S32" s="25">
        <f t="shared" si="4"/>
        <v>0</v>
      </c>
    </row>
    <row r="33" spans="1:20" x14ac:dyDescent="0.3">
      <c r="B33" s="20" t="s">
        <v>220</v>
      </c>
      <c r="C33" s="12"/>
      <c r="D33" s="12"/>
      <c r="E33" s="12">
        <v>6</v>
      </c>
      <c r="F33" s="12">
        <v>6</v>
      </c>
      <c r="J33" s="34"/>
      <c r="K33" s="4">
        <f t="shared" si="3"/>
        <v>0</v>
      </c>
      <c r="L33" s="4">
        <f t="shared" si="3"/>
        <v>0</v>
      </c>
      <c r="M33" s="4">
        <f t="shared" si="3"/>
        <v>0</v>
      </c>
      <c r="N33" s="4">
        <f t="shared" si="3"/>
        <v>0</v>
      </c>
      <c r="O33" s="4">
        <f t="shared" si="3"/>
        <v>0</v>
      </c>
      <c r="P33" s="4">
        <f t="shared" si="3"/>
        <v>0</v>
      </c>
      <c r="Q33" s="4">
        <f t="shared" si="3"/>
        <v>0</v>
      </c>
      <c r="R33" s="4">
        <f t="shared" si="3"/>
        <v>0</v>
      </c>
      <c r="S33" s="25">
        <f t="shared" si="4"/>
        <v>0</v>
      </c>
    </row>
    <row r="34" spans="1:20" ht="15" thickBot="1" x14ac:dyDescent="0.35">
      <c r="B34" s="20" t="s">
        <v>219</v>
      </c>
      <c r="C34" s="12"/>
      <c r="D34" s="12"/>
      <c r="E34" s="12">
        <v>3</v>
      </c>
      <c r="F34" s="12">
        <v>3</v>
      </c>
      <c r="J34" s="37"/>
      <c r="K34" s="4">
        <f t="shared" si="3"/>
        <v>0</v>
      </c>
      <c r="L34" s="4">
        <f t="shared" si="3"/>
        <v>0</v>
      </c>
      <c r="M34" s="4">
        <f t="shared" si="3"/>
        <v>0</v>
      </c>
      <c r="N34" s="4">
        <f t="shared" si="3"/>
        <v>0</v>
      </c>
      <c r="O34" s="4">
        <f t="shared" si="3"/>
        <v>0</v>
      </c>
      <c r="P34" s="4">
        <f t="shared" si="3"/>
        <v>0</v>
      </c>
      <c r="Q34" s="4">
        <f t="shared" si="3"/>
        <v>0</v>
      </c>
      <c r="R34" s="4">
        <f t="shared" si="3"/>
        <v>0</v>
      </c>
      <c r="S34" s="25">
        <f t="shared" ref="S34:S35" si="5">SUM(K34:R34)</f>
        <v>0</v>
      </c>
    </row>
    <row r="35" spans="1:20" x14ac:dyDescent="0.3">
      <c r="B35" s="20" t="s">
        <v>94</v>
      </c>
      <c r="C35" s="12"/>
      <c r="D35" s="12"/>
      <c r="E35" s="12">
        <v>5</v>
      </c>
      <c r="F35" s="12">
        <v>5</v>
      </c>
      <c r="J35" s="26" t="s">
        <v>42</v>
      </c>
      <c r="K35" s="26">
        <f t="shared" ref="K35:R35" si="6">SUM(K22:K34)</f>
        <v>48</v>
      </c>
      <c r="L35" s="26">
        <f t="shared" si="6"/>
        <v>63</v>
      </c>
      <c r="M35" s="26">
        <f t="shared" si="6"/>
        <v>51</v>
      </c>
      <c r="N35" s="26">
        <f t="shared" si="6"/>
        <v>59</v>
      </c>
      <c r="O35" s="26">
        <f t="shared" si="6"/>
        <v>48</v>
      </c>
      <c r="P35" s="26">
        <f t="shared" si="6"/>
        <v>0</v>
      </c>
      <c r="Q35" s="26">
        <f t="shared" si="6"/>
        <v>0</v>
      </c>
      <c r="R35" s="26">
        <f t="shared" si="6"/>
        <v>0</v>
      </c>
      <c r="S35" s="60">
        <f t="shared" si="5"/>
        <v>269</v>
      </c>
      <c r="T35" s="74">
        <f>S35/S19</f>
        <v>1.0037313432835822</v>
      </c>
    </row>
    <row r="36" spans="1:20" x14ac:dyDescent="0.3">
      <c r="B36" s="20" t="s">
        <v>52</v>
      </c>
      <c r="C36" s="12"/>
      <c r="D36" s="12"/>
      <c r="E36" s="12">
        <v>7</v>
      </c>
      <c r="F36" s="12">
        <v>7</v>
      </c>
    </row>
    <row r="37" spans="1:20" x14ac:dyDescent="0.3">
      <c r="B37" s="20" t="s">
        <v>38</v>
      </c>
      <c r="C37" s="12"/>
      <c r="D37" s="12"/>
      <c r="E37" s="12">
        <v>8</v>
      </c>
      <c r="F37" s="12">
        <v>8</v>
      </c>
      <c r="J37" s="50" t="s">
        <v>78</v>
      </c>
    </row>
    <row r="38" spans="1:20" ht="15" thickBot="1" x14ac:dyDescent="0.35">
      <c r="B38" s="20" t="s">
        <v>1389</v>
      </c>
      <c r="C38" s="12"/>
      <c r="D38" s="12"/>
      <c r="E38" s="12">
        <v>6</v>
      </c>
      <c r="F38" s="12">
        <v>6</v>
      </c>
      <c r="J38" s="22" t="s">
        <v>58</v>
      </c>
      <c r="K38" s="46" t="s">
        <v>260</v>
      </c>
      <c r="L38" s="46" t="s">
        <v>259</v>
      </c>
      <c r="M38" s="46" t="s">
        <v>256</v>
      </c>
      <c r="N38" s="46" t="s">
        <v>258</v>
      </c>
      <c r="O38" s="46" t="s">
        <v>257</v>
      </c>
      <c r="P38" s="46"/>
      <c r="Q38" s="46"/>
      <c r="R38" s="46"/>
    </row>
    <row r="39" spans="1:20" x14ac:dyDescent="0.3">
      <c r="B39" s="20" t="s">
        <v>17</v>
      </c>
      <c r="C39" s="12"/>
      <c r="D39" s="12"/>
      <c r="E39" s="12">
        <v>8</v>
      </c>
      <c r="F39" s="12">
        <v>8</v>
      </c>
      <c r="I39" t="s">
        <v>1499</v>
      </c>
      <c r="J39" s="27" t="s">
        <v>44</v>
      </c>
      <c r="K39" s="31">
        <f t="shared" ref="K39:R40" si="7">K23-K6</f>
        <v>-2</v>
      </c>
      <c r="L39" s="31">
        <f t="shared" si="7"/>
        <v>0</v>
      </c>
      <c r="M39" s="31">
        <f t="shared" si="7"/>
        <v>0</v>
      </c>
      <c r="N39" s="31">
        <f t="shared" si="7"/>
        <v>-1</v>
      </c>
      <c r="O39" s="31">
        <f t="shared" si="7"/>
        <v>3</v>
      </c>
      <c r="P39" s="31">
        <f t="shared" si="7"/>
        <v>0</v>
      </c>
      <c r="Q39" s="31">
        <f t="shared" si="7"/>
        <v>0</v>
      </c>
      <c r="R39" s="28">
        <f t="shared" si="7"/>
        <v>0</v>
      </c>
      <c r="S39" s="25">
        <f t="shared" ref="S39:S49" si="8">SUM(K39:R39)</f>
        <v>0</v>
      </c>
    </row>
    <row r="40" spans="1:20" x14ac:dyDescent="0.3">
      <c r="A40" s="20" t="s">
        <v>1450</v>
      </c>
      <c r="B40" s="20"/>
      <c r="C40" s="12"/>
      <c r="D40" s="12"/>
      <c r="E40" s="12">
        <v>51</v>
      </c>
      <c r="F40" s="12">
        <v>51</v>
      </c>
      <c r="J40" s="29" t="s">
        <v>220</v>
      </c>
      <c r="K40" s="4">
        <f t="shared" si="7"/>
        <v>0</v>
      </c>
      <c r="L40" s="4">
        <f t="shared" si="7"/>
        <v>1</v>
      </c>
      <c r="M40" s="4">
        <f t="shared" si="7"/>
        <v>-2</v>
      </c>
      <c r="N40" s="4">
        <f t="shared" si="7"/>
        <v>4</v>
      </c>
      <c r="O40" s="4">
        <f t="shared" si="7"/>
        <v>-1</v>
      </c>
      <c r="P40" s="4">
        <f t="shared" si="7"/>
        <v>0</v>
      </c>
      <c r="Q40" s="4">
        <f t="shared" si="7"/>
        <v>0</v>
      </c>
      <c r="R40" s="30">
        <f t="shared" si="7"/>
        <v>0</v>
      </c>
      <c r="S40" s="25">
        <f t="shared" si="8"/>
        <v>2</v>
      </c>
    </row>
    <row r="41" spans="1:20" x14ac:dyDescent="0.3">
      <c r="A41" s="20" t="s">
        <v>258</v>
      </c>
      <c r="B41" s="20" t="s">
        <v>44</v>
      </c>
      <c r="C41" s="12"/>
      <c r="D41" s="12"/>
      <c r="E41" s="12">
        <v>6</v>
      </c>
      <c r="F41" s="12">
        <v>6</v>
      </c>
      <c r="I41" t="s">
        <v>1500</v>
      </c>
      <c r="J41" s="34" t="s">
        <v>219</v>
      </c>
      <c r="K41" s="4">
        <f t="shared" ref="K41:R50" si="9">K25-K8</f>
        <v>-5</v>
      </c>
      <c r="L41" s="4">
        <f t="shared" si="9"/>
        <v>3</v>
      </c>
      <c r="M41" s="4">
        <f t="shared" si="9"/>
        <v>-3</v>
      </c>
      <c r="N41" s="4">
        <f t="shared" si="9"/>
        <v>1</v>
      </c>
      <c r="O41" s="4">
        <f t="shared" si="9"/>
        <v>2</v>
      </c>
      <c r="P41" s="4">
        <f t="shared" si="9"/>
        <v>0</v>
      </c>
      <c r="Q41" s="4">
        <f t="shared" si="9"/>
        <v>0</v>
      </c>
      <c r="R41" s="30">
        <f t="shared" si="9"/>
        <v>0</v>
      </c>
      <c r="S41" s="25">
        <f t="shared" si="8"/>
        <v>-2</v>
      </c>
    </row>
    <row r="42" spans="1:20" x14ac:dyDescent="0.3">
      <c r="B42" s="20" t="s">
        <v>220</v>
      </c>
      <c r="C42" s="12"/>
      <c r="D42" s="12"/>
      <c r="E42" s="12">
        <v>8</v>
      </c>
      <c r="F42" s="12">
        <v>8</v>
      </c>
      <c r="I42" t="s">
        <v>1499</v>
      </c>
      <c r="J42" s="34" t="s">
        <v>94</v>
      </c>
      <c r="K42" s="4">
        <f t="shared" si="9"/>
        <v>-3</v>
      </c>
      <c r="L42" s="4">
        <f t="shared" si="9"/>
        <v>0</v>
      </c>
      <c r="M42" s="4">
        <f t="shared" si="9"/>
        <v>-2</v>
      </c>
      <c r="N42" s="4">
        <f t="shared" si="9"/>
        <v>4</v>
      </c>
      <c r="O42" s="4">
        <f t="shared" si="9"/>
        <v>3</v>
      </c>
      <c r="P42" s="4">
        <f t="shared" si="9"/>
        <v>0</v>
      </c>
      <c r="Q42" s="4">
        <f t="shared" si="9"/>
        <v>0</v>
      </c>
      <c r="R42" s="30">
        <f t="shared" si="9"/>
        <v>0</v>
      </c>
      <c r="S42" s="25">
        <f t="shared" si="8"/>
        <v>2</v>
      </c>
    </row>
    <row r="43" spans="1:20" x14ac:dyDescent="0.3">
      <c r="B43" s="20" t="s">
        <v>219</v>
      </c>
      <c r="C43" s="12"/>
      <c r="D43" s="12"/>
      <c r="E43" s="12">
        <v>8</v>
      </c>
      <c r="F43" s="12">
        <v>8</v>
      </c>
      <c r="I43" s="20" t="s">
        <v>1501</v>
      </c>
      <c r="J43" s="29" t="s">
        <v>52</v>
      </c>
      <c r="K43" s="4">
        <f t="shared" si="9"/>
        <v>1</v>
      </c>
      <c r="L43" s="4">
        <f t="shared" si="9"/>
        <v>-1</v>
      </c>
      <c r="M43" s="4">
        <f t="shared" si="9"/>
        <v>-1</v>
      </c>
      <c r="N43" s="4">
        <f t="shared" si="9"/>
        <v>0</v>
      </c>
      <c r="O43" s="4">
        <f t="shared" si="9"/>
        <v>1</v>
      </c>
      <c r="P43" s="4">
        <f t="shared" si="9"/>
        <v>0</v>
      </c>
      <c r="Q43" s="4">
        <f t="shared" si="9"/>
        <v>0</v>
      </c>
      <c r="R43" s="30">
        <f t="shared" si="9"/>
        <v>0</v>
      </c>
      <c r="S43" s="25">
        <f t="shared" si="8"/>
        <v>0</v>
      </c>
    </row>
    <row r="44" spans="1:20" x14ac:dyDescent="0.3">
      <c r="B44" s="20" t="s">
        <v>94</v>
      </c>
      <c r="C44" s="12"/>
      <c r="D44" s="12"/>
      <c r="E44" s="12">
        <v>11</v>
      </c>
      <c r="F44" s="12">
        <v>11</v>
      </c>
      <c r="I44" t="s">
        <v>1499</v>
      </c>
      <c r="J44" s="29" t="s">
        <v>38</v>
      </c>
      <c r="K44" s="4">
        <f t="shared" si="9"/>
        <v>-2</v>
      </c>
      <c r="L44" s="4">
        <f t="shared" si="9"/>
        <v>0</v>
      </c>
      <c r="M44" s="4">
        <f t="shared" si="9"/>
        <v>0</v>
      </c>
      <c r="N44" s="4">
        <f t="shared" si="9"/>
        <v>0</v>
      </c>
      <c r="O44" s="4">
        <f t="shared" si="9"/>
        <v>4</v>
      </c>
      <c r="P44" s="4">
        <f t="shared" si="9"/>
        <v>0</v>
      </c>
      <c r="Q44" s="4">
        <f t="shared" si="9"/>
        <v>0</v>
      </c>
      <c r="R44" s="30">
        <f t="shared" si="9"/>
        <v>0</v>
      </c>
      <c r="S44" s="25">
        <f t="shared" si="8"/>
        <v>2</v>
      </c>
    </row>
    <row r="45" spans="1:20" x14ac:dyDescent="0.3">
      <c r="B45" s="20" t="s">
        <v>52</v>
      </c>
      <c r="C45" s="12"/>
      <c r="D45" s="12"/>
      <c r="E45" s="12">
        <v>6</v>
      </c>
      <c r="F45" s="12">
        <v>6</v>
      </c>
      <c r="I45" t="s">
        <v>1501</v>
      </c>
      <c r="J45" s="29" t="s">
        <v>17</v>
      </c>
      <c r="K45" s="4">
        <f t="shared" si="9"/>
        <v>-3</v>
      </c>
      <c r="L45" s="4">
        <f t="shared" si="9"/>
        <v>0</v>
      </c>
      <c r="M45" s="4">
        <f t="shared" si="9"/>
        <v>0</v>
      </c>
      <c r="N45" s="4">
        <f t="shared" si="9"/>
        <v>1</v>
      </c>
      <c r="O45" s="4">
        <f t="shared" si="9"/>
        <v>0</v>
      </c>
      <c r="P45" s="4">
        <f t="shared" si="9"/>
        <v>0</v>
      </c>
      <c r="Q45" s="4">
        <f t="shared" si="9"/>
        <v>0</v>
      </c>
      <c r="R45" s="30">
        <f t="shared" si="9"/>
        <v>0</v>
      </c>
      <c r="S45" s="25">
        <f t="shared" si="8"/>
        <v>-2</v>
      </c>
    </row>
    <row r="46" spans="1:20" x14ac:dyDescent="0.3">
      <c r="B46" s="20" t="s">
        <v>38</v>
      </c>
      <c r="C46" s="12"/>
      <c r="D46" s="12"/>
      <c r="E46" s="12">
        <v>7</v>
      </c>
      <c r="F46" s="12">
        <v>7</v>
      </c>
      <c r="J46" s="29" t="s">
        <v>1389</v>
      </c>
      <c r="K46" s="4">
        <f>K30-K13</f>
        <v>-1</v>
      </c>
      <c r="L46" s="4">
        <f t="shared" si="9"/>
        <v>2</v>
      </c>
      <c r="M46" s="4">
        <f t="shared" si="9"/>
        <v>-2</v>
      </c>
      <c r="N46" s="4">
        <f t="shared" si="9"/>
        <v>-2</v>
      </c>
      <c r="O46" s="4">
        <f t="shared" si="9"/>
        <v>2</v>
      </c>
      <c r="P46" s="4">
        <f t="shared" si="9"/>
        <v>0</v>
      </c>
      <c r="Q46" s="4">
        <f t="shared" si="9"/>
        <v>0</v>
      </c>
      <c r="R46" s="30">
        <f t="shared" si="9"/>
        <v>0</v>
      </c>
      <c r="S46" s="25">
        <f t="shared" si="8"/>
        <v>-1</v>
      </c>
    </row>
    <row r="47" spans="1:20" x14ac:dyDescent="0.3">
      <c r="B47" s="20" t="s">
        <v>1389</v>
      </c>
      <c r="C47" s="12"/>
      <c r="D47" s="12"/>
      <c r="E47" s="12">
        <v>5</v>
      </c>
      <c r="F47" s="12">
        <v>5</v>
      </c>
      <c r="J47" s="34"/>
      <c r="K47" s="4">
        <f>K31-K14</f>
        <v>0</v>
      </c>
      <c r="L47" s="4">
        <f t="shared" si="9"/>
        <v>0</v>
      </c>
      <c r="M47" s="4">
        <f t="shared" si="9"/>
        <v>0</v>
      </c>
      <c r="N47" s="4">
        <f t="shared" si="9"/>
        <v>0</v>
      </c>
      <c r="O47" s="4">
        <f t="shared" si="9"/>
        <v>0</v>
      </c>
      <c r="P47" s="4">
        <f t="shared" si="9"/>
        <v>0</v>
      </c>
      <c r="Q47" s="4">
        <f t="shared" si="9"/>
        <v>0</v>
      </c>
      <c r="R47" s="30">
        <f t="shared" si="9"/>
        <v>0</v>
      </c>
      <c r="S47" s="25">
        <f t="shared" si="8"/>
        <v>0</v>
      </c>
    </row>
    <row r="48" spans="1:20" x14ac:dyDescent="0.3">
      <c r="B48" s="20" t="s">
        <v>17</v>
      </c>
      <c r="C48" s="12"/>
      <c r="D48" s="12"/>
      <c r="E48" s="12">
        <v>8</v>
      </c>
      <c r="F48" s="12">
        <v>8</v>
      </c>
      <c r="J48" s="29" t="s">
        <v>16</v>
      </c>
      <c r="K48" s="4">
        <f t="shared" si="9"/>
        <v>0</v>
      </c>
      <c r="L48" s="4">
        <f t="shared" si="9"/>
        <v>0</v>
      </c>
      <c r="M48" s="4">
        <f t="shared" si="9"/>
        <v>0</v>
      </c>
      <c r="N48" s="4">
        <f t="shared" si="9"/>
        <v>0</v>
      </c>
      <c r="O48" s="4">
        <f t="shared" si="9"/>
        <v>0</v>
      </c>
      <c r="P48" s="4">
        <f t="shared" si="9"/>
        <v>0</v>
      </c>
      <c r="Q48" s="4">
        <f t="shared" si="9"/>
        <v>0</v>
      </c>
      <c r="R48" s="30">
        <f t="shared" si="9"/>
        <v>0</v>
      </c>
      <c r="S48" s="25">
        <f t="shared" si="8"/>
        <v>0</v>
      </c>
    </row>
    <row r="49" spans="1:21" x14ac:dyDescent="0.3">
      <c r="A49" s="20" t="s">
        <v>1451</v>
      </c>
      <c r="B49" s="20"/>
      <c r="C49" s="12"/>
      <c r="D49" s="12"/>
      <c r="E49" s="12">
        <v>59</v>
      </c>
      <c r="F49" s="12">
        <v>59</v>
      </c>
      <c r="J49" s="34"/>
      <c r="K49" s="4">
        <f t="shared" si="9"/>
        <v>0</v>
      </c>
      <c r="L49" s="4">
        <f t="shared" si="9"/>
        <v>0</v>
      </c>
      <c r="M49" s="4">
        <f t="shared" si="9"/>
        <v>0</v>
      </c>
      <c r="N49" s="4">
        <f t="shared" si="9"/>
        <v>0</v>
      </c>
      <c r="O49" s="4">
        <f t="shared" si="9"/>
        <v>0</v>
      </c>
      <c r="P49" s="4">
        <f t="shared" si="9"/>
        <v>0</v>
      </c>
      <c r="Q49" s="4">
        <f t="shared" si="9"/>
        <v>0</v>
      </c>
      <c r="R49" s="30">
        <f t="shared" si="9"/>
        <v>0</v>
      </c>
      <c r="S49" s="25">
        <f t="shared" si="8"/>
        <v>0</v>
      </c>
    </row>
    <row r="50" spans="1:21" ht="15" thickBot="1" x14ac:dyDescent="0.35">
      <c r="A50" s="20" t="s">
        <v>257</v>
      </c>
      <c r="B50" s="20" t="s">
        <v>44</v>
      </c>
      <c r="C50" s="12">
        <v>4</v>
      </c>
      <c r="D50" s="12"/>
      <c r="E50" s="12"/>
      <c r="F50" s="12">
        <v>4</v>
      </c>
      <c r="J50" s="37" t="s">
        <v>101</v>
      </c>
      <c r="K50" s="51">
        <f t="shared" si="9"/>
        <v>0</v>
      </c>
      <c r="L50" s="51">
        <f t="shared" si="9"/>
        <v>0</v>
      </c>
      <c r="M50" s="51">
        <f t="shared" si="9"/>
        <v>0</v>
      </c>
      <c r="N50" s="51">
        <f t="shared" si="9"/>
        <v>0</v>
      </c>
      <c r="O50" s="51">
        <f t="shared" si="9"/>
        <v>0</v>
      </c>
      <c r="P50" s="51">
        <f t="shared" si="9"/>
        <v>0</v>
      </c>
      <c r="Q50" s="51">
        <f t="shared" si="9"/>
        <v>0</v>
      </c>
      <c r="R50" s="52">
        <f t="shared" si="9"/>
        <v>0</v>
      </c>
      <c r="S50" s="25">
        <f t="shared" ref="S50:S51" si="10">SUM(K50:R50)</f>
        <v>0</v>
      </c>
    </row>
    <row r="51" spans="1:21" x14ac:dyDescent="0.3">
      <c r="B51" s="20" t="s">
        <v>220</v>
      </c>
      <c r="C51" s="12">
        <v>5</v>
      </c>
      <c r="D51" s="12"/>
      <c r="E51" s="12"/>
      <c r="F51" s="12">
        <v>5</v>
      </c>
      <c r="J51" s="26" t="s">
        <v>42</v>
      </c>
      <c r="K51" s="26">
        <f t="shared" ref="K51:R51" si="11">SUM(K37:K50)</f>
        <v>-15</v>
      </c>
      <c r="L51" s="26">
        <f t="shared" si="11"/>
        <v>5</v>
      </c>
      <c r="M51" s="26">
        <f t="shared" si="11"/>
        <v>-10</v>
      </c>
      <c r="N51" s="26">
        <f t="shared" si="11"/>
        <v>7</v>
      </c>
      <c r="O51" s="26">
        <f t="shared" si="11"/>
        <v>14</v>
      </c>
      <c r="P51" s="26">
        <f t="shared" si="11"/>
        <v>0</v>
      </c>
      <c r="Q51" s="26">
        <f t="shared" si="11"/>
        <v>0</v>
      </c>
      <c r="R51" s="26">
        <f t="shared" si="11"/>
        <v>0</v>
      </c>
      <c r="S51" s="4">
        <f t="shared" si="10"/>
        <v>1</v>
      </c>
    </row>
    <row r="52" spans="1:21" x14ac:dyDescent="0.3">
      <c r="B52" s="20" t="s">
        <v>219</v>
      </c>
      <c r="C52" s="12"/>
      <c r="D52" s="12">
        <v>5</v>
      </c>
      <c r="E52" s="12"/>
      <c r="F52" s="12">
        <v>5</v>
      </c>
    </row>
    <row r="53" spans="1:21" x14ac:dyDescent="0.3">
      <c r="B53" s="20" t="s">
        <v>94</v>
      </c>
      <c r="C53" s="12">
        <v>3</v>
      </c>
      <c r="D53" s="12"/>
      <c r="E53" s="12"/>
      <c r="F53" s="12">
        <v>3</v>
      </c>
      <c r="U53" s="20"/>
    </row>
    <row r="54" spans="1:21" x14ac:dyDescent="0.3">
      <c r="B54" s="20" t="s">
        <v>52</v>
      </c>
      <c r="C54" s="12">
        <v>9</v>
      </c>
      <c r="D54" s="12"/>
      <c r="E54" s="12"/>
      <c r="F54" s="12">
        <v>9</v>
      </c>
      <c r="U54" s="20"/>
    </row>
    <row r="55" spans="1:21" x14ac:dyDescent="0.3">
      <c r="B55" s="20" t="s">
        <v>38</v>
      </c>
      <c r="C55" s="12">
        <v>4</v>
      </c>
      <c r="D55" s="12"/>
      <c r="E55" s="12"/>
      <c r="F55" s="12">
        <v>4</v>
      </c>
      <c r="U55" s="20"/>
    </row>
    <row r="56" spans="1:21" x14ac:dyDescent="0.3">
      <c r="B56" s="20" t="s">
        <v>1389</v>
      </c>
      <c r="C56" s="12">
        <v>10</v>
      </c>
      <c r="D56" s="12"/>
      <c r="E56" s="12"/>
      <c r="F56" s="12">
        <v>10</v>
      </c>
      <c r="U56" s="20"/>
    </row>
    <row r="57" spans="1:21" x14ac:dyDescent="0.3">
      <c r="B57" s="20" t="s">
        <v>17</v>
      </c>
      <c r="C57" s="12">
        <v>8</v>
      </c>
      <c r="D57" s="12"/>
      <c r="E57" s="12"/>
      <c r="F57" s="12">
        <v>8</v>
      </c>
    </row>
    <row r="58" spans="1:21" x14ac:dyDescent="0.3">
      <c r="A58" s="20" t="s">
        <v>1452</v>
      </c>
      <c r="B58" s="20"/>
      <c r="C58" s="12">
        <v>43</v>
      </c>
      <c r="D58" s="12">
        <v>5</v>
      </c>
      <c r="E58" s="12"/>
      <c r="F58" s="12">
        <v>48</v>
      </c>
    </row>
    <row r="59" spans="1:21" x14ac:dyDescent="0.3">
      <c r="A59" s="20" t="s">
        <v>21</v>
      </c>
      <c r="C59" s="12">
        <v>43</v>
      </c>
      <c r="D59" s="12">
        <v>5</v>
      </c>
      <c r="E59" s="12">
        <v>221</v>
      </c>
      <c r="F59" s="12">
        <v>269</v>
      </c>
    </row>
  </sheetData>
  <sortState ref="E14:F42">
    <sortCondition ref="E14"/>
  </sortState>
  <customSheetViews>
    <customSheetView guid="{31FA9DD3-B818-410A-9EF7-90B6C16B950C}" scale="80">
      <selection activeCell="D23" sqref="D23"/>
      <pageMargins left="0.7" right="0.7" top="0.75" bottom="0.75" header="0.3" footer="0.3"/>
      <pageSetup orientation="portrait" r:id="rId2"/>
    </customSheetView>
  </customSheetViews>
  <conditionalFormatting sqref="K51:P51 R51:S51 K39:S50">
    <cfRule type="expression" dxfId="7" priority="5">
      <formula>K39=0</formula>
    </cfRule>
    <cfRule type="expression" dxfId="6" priority="6">
      <formula>K39&gt;0</formula>
    </cfRule>
  </conditionalFormatting>
  <conditionalFormatting sqref="Q51">
    <cfRule type="expression" dxfId="5" priority="1">
      <formula>Q51=0</formula>
    </cfRule>
    <cfRule type="expression" dxfId="4" priority="2">
      <formula>Q51&gt;0</formula>
    </cfRule>
  </conditionalFormatting>
  <conditionalFormatting sqref="K23:S35">
    <cfRule type="expression" dxfId="3" priority="1330">
      <formula>K23=K6</formula>
    </cfRule>
    <cfRule type="expression" dxfId="2" priority="1331">
      <formula>K23&gt;K6</formula>
    </cfRule>
  </conditionalFormatting>
  <pageMargins left="0.7" right="0.7" top="0.75" bottom="0.75" header="0.3" footer="0.3"/>
  <pageSetup scale="170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52"/>
  <sheetViews>
    <sheetView tabSelected="1" zoomScale="80" zoomScaleNormal="80" workbookViewId="0">
      <selection activeCell="E10" sqref="E10"/>
    </sheetView>
  </sheetViews>
  <sheetFormatPr defaultRowHeight="14.4" x14ac:dyDescent="0.3"/>
  <cols>
    <col min="2" max="2" width="43" customWidth="1"/>
    <col min="3" max="3" width="16.5546875" bestFit="1" customWidth="1"/>
    <col min="4" max="7" width="15.5546875" customWidth="1"/>
    <col min="8" max="9" width="16.88671875" customWidth="1"/>
    <col min="12" max="12" width="2.44140625" style="20" customWidth="1"/>
    <col min="13" max="13" width="9.109375" style="20"/>
  </cols>
  <sheetData>
    <row r="1" spans="1:19" x14ac:dyDescent="0.3">
      <c r="A1" s="151" t="s">
        <v>258</v>
      </c>
      <c r="B1" t="s">
        <v>196</v>
      </c>
    </row>
    <row r="2" spans="1:19" x14ac:dyDescent="0.3">
      <c r="A2" t="s">
        <v>195</v>
      </c>
    </row>
    <row r="3" spans="1:19" ht="15" thickBot="1" x14ac:dyDescent="0.35">
      <c r="A3" s="58"/>
      <c r="B3" s="58"/>
      <c r="C3" s="58"/>
      <c r="D3" s="149" t="s">
        <v>340</v>
      </c>
      <c r="E3" s="150"/>
      <c r="F3" s="149" t="s">
        <v>341</v>
      </c>
      <c r="G3" s="150"/>
      <c r="H3" s="58"/>
      <c r="I3" s="58"/>
      <c r="J3" s="58"/>
    </row>
    <row r="4" spans="1:19" ht="38.4" thickBot="1" x14ac:dyDescent="0.35">
      <c r="A4" s="53" t="s">
        <v>192</v>
      </c>
      <c r="B4" s="53" t="s">
        <v>24</v>
      </c>
      <c r="C4" s="53" t="s">
        <v>2</v>
      </c>
      <c r="D4" s="53" t="str">
        <f>CONCATENATE("Baseline Pts",CHAR(10),$A$1)</f>
        <v>Baseline Pts
EA 15.4</v>
      </c>
      <c r="E4" s="53" t="str">
        <f>CONCATENATE("Actual Pts",CHAR(10),$A$1)</f>
        <v>Actual Pts
EA 15.4</v>
      </c>
      <c r="F4" s="53" t="str">
        <f>"Baseline %
Complete
PI " &amp; MID($A$1,4,2)</f>
        <v>Baseline %
Complete
PI 15</v>
      </c>
      <c r="G4" s="53" t="str">
        <f>"Actual %
Complete
PI " &amp; MID($A$1,4,2)</f>
        <v>Actual %
Complete
PI 15</v>
      </c>
      <c r="H4" s="53" t="s">
        <v>193</v>
      </c>
      <c r="I4" s="53" t="s">
        <v>194</v>
      </c>
      <c r="J4" s="58"/>
    </row>
    <row r="5" spans="1:19" ht="15.6" thickTop="1" thickBot="1" x14ac:dyDescent="0.35">
      <c r="A5" s="54">
        <f>A18</f>
        <v>395853</v>
      </c>
      <c r="B5" s="55" t="str">
        <f>VLOOKUP(A5,CyberData!B:F,5,0)</f>
        <v>Cyber: MFR Deployment Support - PI 15 (Recurring)</v>
      </c>
      <c r="C5" s="142" t="str">
        <f>VLOOKUP($A5,CyberData!B:G,4,0)</f>
        <v>Implementing</v>
      </c>
      <c r="D5" s="54">
        <f>VLOOKUP($A5,$A$17:$J$25,MATCH($A$1,$A$17:$J$17,0),0)</f>
        <v>4</v>
      </c>
      <c r="E5" s="54">
        <f>VLOOKUP($A5,$A$42:$J$50,MATCH($A$1,$A$42:$J$42,0),0)</f>
        <v>2</v>
      </c>
      <c r="F5" s="56">
        <f>VLOOKUP($A5,$M$17:$T$25,MATCH($A$1,$M$17:$T$17,0),0)/VLOOKUP($A5,$M$17:$T$25,8,0)</f>
        <v>0.62962962962962965</v>
      </c>
      <c r="G5" s="56">
        <f>VLOOKUP($A5,$M$42:$T$50,8,0)/VLOOKUP($A5,$M$17:$T$25,8,0)</f>
        <v>0.55555555555555558</v>
      </c>
      <c r="H5" s="54" t="str">
        <f t="shared" ref="H5:H8" si="0">VLOOKUP($A5,$A$17:$C$25,3,0)</f>
        <v>EA 15.5</v>
      </c>
      <c r="I5" s="54" t="str">
        <f t="shared" ref="I5:I8" si="1">VLOOKUP($A5,$A$29:$C$37,3,0)</f>
        <v>EA 15.5</v>
      </c>
      <c r="J5" s="58"/>
      <c r="S5" s="73"/>
    </row>
    <row r="6" spans="1:19" ht="15.6" thickTop="1" thickBot="1" x14ac:dyDescent="0.35">
      <c r="A6" s="54">
        <f t="shared" ref="A6:A8" si="2">A19</f>
        <v>395688</v>
      </c>
      <c r="B6" s="55" t="str">
        <f>VLOOKUP(A6,CyberData!B:F,5,0)</f>
        <v>Cyber: TO3 IA Patching - PI 15 (Recurring)</v>
      </c>
      <c r="C6" s="142" t="str">
        <f>VLOOKUP($A6,CyberData!B:G,4,0)</f>
        <v>Implementing</v>
      </c>
      <c r="D6" s="54">
        <f t="shared" ref="D6:D8" si="3">VLOOKUP($A6,$A$17:$J$25,MATCH($A$1,$A$17:$J$17,0),0)</f>
        <v>15</v>
      </c>
      <c r="E6" s="54">
        <f t="shared" ref="E6:E8" si="4">VLOOKUP($A6,$A$42:$J$50,MATCH($A$1,$A$42:$J$42,0),0)</f>
        <v>12</v>
      </c>
      <c r="F6" s="56">
        <f t="shared" ref="F6:F7" si="5">VLOOKUP($A6,$M$17:$T$25,MATCH($A$1,$M$17:$T$17,0),0)/VLOOKUP($A6,$M$17:$T$25,8,0)</f>
        <v>0.75384615384615383</v>
      </c>
      <c r="G6" s="56">
        <f t="shared" ref="G6:G8" si="6">VLOOKUP($A6,$M$42:$T$50,8,0)/VLOOKUP($A6,$M$17:$T$25,8,0)</f>
        <v>0.75384615384615383</v>
      </c>
      <c r="H6" s="54" t="str">
        <f t="shared" si="0"/>
        <v>EA 15.5</v>
      </c>
      <c r="I6" s="54" t="str">
        <f t="shared" si="1"/>
        <v>EA 15.5</v>
      </c>
      <c r="J6" s="58"/>
      <c r="O6" s="20"/>
      <c r="P6" s="20"/>
    </row>
    <row r="7" spans="1:19" ht="15.6" thickTop="1" thickBot="1" x14ac:dyDescent="0.35">
      <c r="A7" s="54">
        <f t="shared" si="2"/>
        <v>395897</v>
      </c>
      <c r="B7" s="55" t="str">
        <f>VLOOKUP(A7,CyberData!B:F,5,0)</f>
        <v>Cyber: RMF Continuous Monitoring - PI 15 (Recurring)</v>
      </c>
      <c r="C7" s="142" t="str">
        <f>VLOOKUP($A7,CyberData!B:G,4,0)</f>
        <v>Implementing</v>
      </c>
      <c r="D7" s="54">
        <f t="shared" si="3"/>
        <v>11</v>
      </c>
      <c r="E7" s="54">
        <f t="shared" si="4"/>
        <v>16</v>
      </c>
      <c r="F7" s="56">
        <f t="shared" si="5"/>
        <v>0.82499999999999996</v>
      </c>
      <c r="G7" s="56">
        <f t="shared" si="6"/>
        <v>0.78749999999999998</v>
      </c>
      <c r="H7" s="54" t="str">
        <f t="shared" si="0"/>
        <v>EA 15.5</v>
      </c>
      <c r="I7" s="54" t="str">
        <f t="shared" si="1"/>
        <v>EA 15.5</v>
      </c>
      <c r="J7" s="58"/>
      <c r="O7" s="20"/>
      <c r="P7" s="20"/>
    </row>
    <row r="8" spans="1:19" ht="15.6" thickTop="1" thickBot="1" x14ac:dyDescent="0.35">
      <c r="A8" s="54">
        <f t="shared" si="2"/>
        <v>372921</v>
      </c>
      <c r="B8" s="55" t="str">
        <f>VLOOKUP(A8,CyberData!B:F,5,0)</f>
        <v>Cyber: RMF Accreditation of Call Bank Radio System</v>
      </c>
      <c r="C8" s="142" t="str">
        <f>VLOOKUP($A8,CyberData!B:G,4,0)</f>
        <v>Implementing</v>
      </c>
      <c r="D8" s="54">
        <f t="shared" si="3"/>
        <v>5</v>
      </c>
      <c r="E8" s="54">
        <f t="shared" si="4"/>
        <v>10</v>
      </c>
      <c r="F8" s="56">
        <f>VLOOKUP($A8,$M$17:$T$25,MATCH($A$1,$M$17:$T$17,0),0)/VLOOKUP($A8,$M$17:$T$25,8,0)</f>
        <v>0.8</v>
      </c>
      <c r="G8" s="56">
        <f t="shared" si="6"/>
        <v>1.3666666666666667</v>
      </c>
      <c r="H8" s="54" t="str">
        <f t="shared" si="0"/>
        <v>EA 15.5</v>
      </c>
      <c r="I8" s="54" t="str">
        <f t="shared" si="1"/>
        <v>PI 16 - In Progress</v>
      </c>
      <c r="J8" s="58"/>
      <c r="O8" s="20"/>
      <c r="P8" s="20"/>
    </row>
    <row r="9" spans="1:19" ht="15.6" thickTop="1" thickBot="1" x14ac:dyDescent="0.35">
      <c r="A9" s="54"/>
      <c r="B9" s="55"/>
      <c r="C9" s="143"/>
      <c r="D9" s="54"/>
      <c r="E9" s="54"/>
      <c r="F9" s="56"/>
      <c r="G9" s="56"/>
      <c r="H9" s="54"/>
      <c r="I9" s="54"/>
      <c r="J9" s="58"/>
      <c r="O9" s="20"/>
      <c r="P9" s="20"/>
    </row>
    <row r="10" spans="1:19" ht="15.6" thickTop="1" thickBot="1" x14ac:dyDescent="0.35">
      <c r="A10" s="54"/>
      <c r="B10" s="55"/>
      <c r="C10" s="140"/>
      <c r="D10" s="54"/>
      <c r="E10" s="54"/>
      <c r="F10" s="56"/>
      <c r="G10" s="56"/>
      <c r="H10" s="54"/>
      <c r="I10" s="54"/>
      <c r="J10" s="58"/>
      <c r="O10" s="20"/>
      <c r="P10" s="20"/>
    </row>
    <row r="11" spans="1:19" ht="15.6" thickTop="1" thickBot="1" x14ac:dyDescent="0.35">
      <c r="A11" s="54"/>
      <c r="B11" s="55"/>
      <c r="C11" s="55"/>
      <c r="D11" s="54"/>
      <c r="E11" s="54"/>
      <c r="F11" s="56"/>
      <c r="G11" s="56"/>
      <c r="H11" s="54"/>
      <c r="I11" s="54"/>
      <c r="J11" s="58"/>
      <c r="O11" s="20"/>
      <c r="P11" s="20"/>
    </row>
    <row r="12" spans="1:19" ht="15.6" thickTop="1" thickBot="1" x14ac:dyDescent="0.35">
      <c r="A12" s="54"/>
      <c r="B12" s="55"/>
      <c r="C12" s="55"/>
      <c r="D12" s="54"/>
      <c r="E12" s="54"/>
      <c r="F12" s="56"/>
      <c r="G12" s="56"/>
      <c r="H12" s="54"/>
      <c r="I12" s="54"/>
      <c r="J12" s="58"/>
      <c r="O12" s="20"/>
      <c r="P12" s="20"/>
    </row>
    <row r="13" spans="1:19" x14ac:dyDescent="0.3">
      <c r="A13" s="58"/>
      <c r="B13" s="58"/>
      <c r="C13" s="58"/>
      <c r="D13" s="58"/>
      <c r="E13" s="58"/>
      <c r="F13" s="58"/>
      <c r="G13" s="58"/>
      <c r="H13" s="58"/>
      <c r="I13" s="58"/>
      <c r="J13" s="58"/>
    </row>
    <row r="16" spans="1:19" x14ac:dyDescent="0.3">
      <c r="A16" t="s">
        <v>1515</v>
      </c>
      <c r="M16" t="s">
        <v>222</v>
      </c>
    </row>
    <row r="17" spans="1:20" x14ac:dyDescent="0.3">
      <c r="A17" s="50" t="s">
        <v>1</v>
      </c>
      <c r="B17" s="50" t="s">
        <v>3</v>
      </c>
      <c r="C17" s="70" t="s">
        <v>4</v>
      </c>
      <c r="D17" s="70" t="s">
        <v>260</v>
      </c>
      <c r="E17" s="70" t="s">
        <v>259</v>
      </c>
      <c r="F17" s="70" t="s">
        <v>256</v>
      </c>
      <c r="G17" s="70" t="s">
        <v>258</v>
      </c>
      <c r="H17" s="70" t="s">
        <v>257</v>
      </c>
      <c r="I17" s="70"/>
      <c r="J17" s="70"/>
      <c r="M17" s="50" t="s">
        <v>1</v>
      </c>
      <c r="N17" s="50" t="s">
        <v>260</v>
      </c>
      <c r="O17" s="50" t="s">
        <v>259</v>
      </c>
      <c r="P17" s="50" t="s">
        <v>256</v>
      </c>
      <c r="Q17" s="50" t="s">
        <v>258</v>
      </c>
      <c r="R17" s="50" t="s">
        <v>257</v>
      </c>
      <c r="S17" s="50"/>
      <c r="T17" s="50"/>
    </row>
    <row r="18" spans="1:20" x14ac:dyDescent="0.3">
      <c r="A18" s="72">
        <v>395853</v>
      </c>
      <c r="B18" s="69" t="s">
        <v>1427</v>
      </c>
      <c r="C18" s="71" t="s">
        <v>257</v>
      </c>
      <c r="D18" s="71">
        <v>6</v>
      </c>
      <c r="E18" s="71">
        <v>1</v>
      </c>
      <c r="F18" s="71">
        <v>6</v>
      </c>
      <c r="G18" s="71">
        <v>4</v>
      </c>
      <c r="H18" s="71">
        <v>10</v>
      </c>
      <c r="I18" s="71">
        <v>0</v>
      </c>
      <c r="J18" s="71">
        <v>0</v>
      </c>
      <c r="M18" s="14">
        <f>A18</f>
        <v>395853</v>
      </c>
      <c r="N18" s="57">
        <f>SUM($D18:D18)</f>
        <v>6</v>
      </c>
      <c r="O18" s="57">
        <f>SUM($D18:E18)</f>
        <v>7</v>
      </c>
      <c r="P18" s="57">
        <f>SUM($D18:F18)</f>
        <v>13</v>
      </c>
      <c r="Q18" s="57">
        <f>SUM($D18:G18)</f>
        <v>17</v>
      </c>
      <c r="R18" s="57">
        <f>SUM($D18:H18)</f>
        <v>27</v>
      </c>
      <c r="S18" s="57">
        <f>SUM($D18:I18)</f>
        <v>27</v>
      </c>
      <c r="T18" s="57">
        <f>SUM($D18:J18)</f>
        <v>27</v>
      </c>
    </row>
    <row r="19" spans="1:20" x14ac:dyDescent="0.3">
      <c r="A19" s="72">
        <v>395688</v>
      </c>
      <c r="B19" s="69" t="s">
        <v>1428</v>
      </c>
      <c r="C19" s="71" t="s">
        <v>257</v>
      </c>
      <c r="D19" s="71">
        <v>17</v>
      </c>
      <c r="E19" s="71">
        <v>11</v>
      </c>
      <c r="F19" s="71">
        <v>6</v>
      </c>
      <c r="G19" s="71">
        <v>15</v>
      </c>
      <c r="H19" s="71">
        <v>16</v>
      </c>
      <c r="I19" s="71">
        <v>0</v>
      </c>
      <c r="J19" s="71">
        <v>0</v>
      </c>
      <c r="K19" s="20"/>
      <c r="M19" s="14">
        <f t="shared" ref="M19:M21" si="7">A19</f>
        <v>395688</v>
      </c>
      <c r="N19" s="57">
        <f>SUM($D19:D19)</f>
        <v>17</v>
      </c>
      <c r="O19" s="57">
        <f>SUM($D19:E19)</f>
        <v>28</v>
      </c>
      <c r="P19" s="57">
        <f>SUM($D19:F19)</f>
        <v>34</v>
      </c>
      <c r="Q19" s="57">
        <f>SUM($D19:G19)</f>
        <v>49</v>
      </c>
      <c r="R19" s="57">
        <f>SUM($D19:H19)</f>
        <v>65</v>
      </c>
      <c r="S19" s="57">
        <f>SUM($D19:I19)</f>
        <v>65</v>
      </c>
      <c r="T19" s="57">
        <f>SUM($D19:J19)</f>
        <v>65</v>
      </c>
    </row>
    <row r="20" spans="1:20" x14ac:dyDescent="0.3">
      <c r="A20" s="72">
        <v>395897</v>
      </c>
      <c r="B20" s="69" t="s">
        <v>1426</v>
      </c>
      <c r="C20" s="71" t="s">
        <v>257</v>
      </c>
      <c r="D20" s="71">
        <v>20</v>
      </c>
      <c r="E20" s="71">
        <v>19</v>
      </c>
      <c r="F20" s="71">
        <v>16</v>
      </c>
      <c r="G20" s="71">
        <v>11</v>
      </c>
      <c r="H20" s="71">
        <v>14</v>
      </c>
      <c r="I20" s="71">
        <v>0</v>
      </c>
      <c r="J20" s="71">
        <v>0</v>
      </c>
      <c r="K20" s="20"/>
      <c r="M20" s="14">
        <f t="shared" si="7"/>
        <v>395897</v>
      </c>
      <c r="N20" s="57">
        <f>SUM($D20:D20)</f>
        <v>20</v>
      </c>
      <c r="O20" s="57">
        <f>SUM($D20:E20)</f>
        <v>39</v>
      </c>
      <c r="P20" s="57">
        <f>SUM($D20:F20)</f>
        <v>55</v>
      </c>
      <c r="Q20" s="57">
        <f>SUM($D20:G20)</f>
        <v>66</v>
      </c>
      <c r="R20" s="57">
        <f>SUM($D20:H20)</f>
        <v>80</v>
      </c>
      <c r="S20" s="57">
        <f>SUM($D20:I20)</f>
        <v>80</v>
      </c>
      <c r="T20" s="57">
        <f>SUM($D20:J20)</f>
        <v>80</v>
      </c>
    </row>
    <row r="21" spans="1:20" x14ac:dyDescent="0.3">
      <c r="A21" s="72">
        <v>372921</v>
      </c>
      <c r="B21" s="69" t="s">
        <v>200</v>
      </c>
      <c r="C21" s="71" t="s">
        <v>257</v>
      </c>
      <c r="D21" s="71">
        <v>6</v>
      </c>
      <c r="E21" s="71">
        <v>6</v>
      </c>
      <c r="F21" s="71">
        <v>7</v>
      </c>
      <c r="G21" s="71">
        <v>5</v>
      </c>
      <c r="H21" s="71">
        <v>6</v>
      </c>
      <c r="I21" s="71">
        <v>0</v>
      </c>
      <c r="J21" s="71">
        <v>0</v>
      </c>
      <c r="K21" s="20"/>
      <c r="M21" s="14">
        <f t="shared" si="7"/>
        <v>372921</v>
      </c>
      <c r="N21" s="57">
        <f>SUM($D21:D21)</f>
        <v>6</v>
      </c>
      <c r="O21" s="57">
        <f>SUM($D21:E21)</f>
        <v>12</v>
      </c>
      <c r="P21" s="57">
        <f>SUM($D21:F21)</f>
        <v>19</v>
      </c>
      <c r="Q21" s="57">
        <f>SUM($D21:G21)</f>
        <v>24</v>
      </c>
      <c r="R21" s="57">
        <f>SUM($D21:H21)</f>
        <v>30</v>
      </c>
      <c r="S21" s="57">
        <f>SUM($D21:I21)</f>
        <v>30</v>
      </c>
      <c r="T21" s="57">
        <f>SUM($D21:J21)</f>
        <v>30</v>
      </c>
    </row>
    <row r="22" spans="1:20" x14ac:dyDescent="0.3">
      <c r="A22" s="72"/>
      <c r="B22" s="69"/>
      <c r="C22" s="71"/>
      <c r="D22" s="71"/>
      <c r="E22" s="71"/>
      <c r="F22" s="71"/>
      <c r="G22" s="71"/>
      <c r="H22" s="71"/>
      <c r="I22" s="71"/>
      <c r="J22" s="71"/>
      <c r="K22" s="20"/>
      <c r="M22" s="14"/>
      <c r="N22" s="57"/>
      <c r="O22" s="57"/>
      <c r="P22" s="57"/>
      <c r="Q22" s="57"/>
      <c r="R22" s="57"/>
      <c r="S22" s="57"/>
      <c r="T22" s="57"/>
    </row>
    <row r="23" spans="1:20" x14ac:dyDescent="0.3">
      <c r="A23" s="72"/>
      <c r="B23" s="69"/>
      <c r="C23" s="71"/>
      <c r="D23" s="71"/>
      <c r="E23" s="71"/>
      <c r="F23" s="71"/>
      <c r="G23" s="71"/>
      <c r="H23" s="71"/>
      <c r="I23" s="71"/>
      <c r="J23" s="71"/>
      <c r="K23" s="20"/>
      <c r="M23" s="14"/>
      <c r="N23" s="57"/>
      <c r="O23" s="57"/>
      <c r="P23" s="57"/>
      <c r="Q23" s="57"/>
      <c r="R23" s="57"/>
      <c r="S23" s="57"/>
      <c r="T23" s="57"/>
    </row>
    <row r="24" spans="1:20" x14ac:dyDescent="0.3">
      <c r="A24" s="72"/>
      <c r="B24" s="69"/>
      <c r="C24" s="71"/>
      <c r="D24" s="71"/>
      <c r="E24" s="71"/>
      <c r="F24" s="71"/>
      <c r="G24" s="71"/>
      <c r="H24" s="71"/>
      <c r="I24" s="71"/>
      <c r="J24" s="71"/>
      <c r="K24" s="20"/>
      <c r="M24" s="14"/>
      <c r="N24" s="57"/>
      <c r="O24" s="57"/>
      <c r="P24" s="57"/>
      <c r="Q24" s="57"/>
      <c r="R24" s="57"/>
      <c r="S24" s="57"/>
      <c r="T24" s="57"/>
    </row>
    <row r="25" spans="1:20" x14ac:dyDescent="0.3">
      <c r="A25" s="72"/>
      <c r="B25" s="69"/>
      <c r="C25" s="71"/>
      <c r="D25" s="71"/>
      <c r="E25" s="71"/>
      <c r="F25" s="71"/>
      <c r="G25" s="71"/>
      <c r="H25" s="71"/>
      <c r="I25" s="71"/>
      <c r="J25" s="71"/>
      <c r="K25" s="20"/>
      <c r="M25" s="14"/>
      <c r="N25" s="57"/>
      <c r="O25" s="57"/>
      <c r="P25" s="57"/>
      <c r="Q25" s="57"/>
      <c r="R25" s="57"/>
      <c r="S25" s="57"/>
      <c r="T25" s="57"/>
    </row>
    <row r="26" spans="1:20" x14ac:dyDescent="0.3">
      <c r="C26" s="8"/>
    </row>
    <row r="27" spans="1:20" s="20" customFormat="1" x14ac:dyDescent="0.3">
      <c r="C27" s="8"/>
    </row>
    <row r="28" spans="1:20" s="20" customFormat="1" x14ac:dyDescent="0.3">
      <c r="A28" s="20" t="s">
        <v>1516</v>
      </c>
      <c r="C28" s="8"/>
      <c r="M28" s="20" t="s">
        <v>198</v>
      </c>
    </row>
    <row r="29" spans="1:20" s="20" customFormat="1" x14ac:dyDescent="0.3">
      <c r="A29" s="50" t="s">
        <v>1</v>
      </c>
      <c r="B29" s="50" t="s">
        <v>3</v>
      </c>
      <c r="C29" s="70" t="s">
        <v>4</v>
      </c>
      <c r="D29" s="70" t="s">
        <v>260</v>
      </c>
      <c r="E29" s="70" t="s">
        <v>259</v>
      </c>
      <c r="F29" s="70" t="s">
        <v>256</v>
      </c>
      <c r="G29" s="70" t="s">
        <v>258</v>
      </c>
      <c r="H29" s="70" t="s">
        <v>257</v>
      </c>
      <c r="I29" s="70"/>
      <c r="J29" s="70"/>
      <c r="M29" s="50" t="s">
        <v>1</v>
      </c>
      <c r="N29" s="50" t="s">
        <v>260</v>
      </c>
      <c r="O29" s="50" t="s">
        <v>259</v>
      </c>
      <c r="P29" s="50" t="s">
        <v>256</v>
      </c>
      <c r="Q29" s="50" t="s">
        <v>258</v>
      </c>
      <c r="R29" s="50" t="s">
        <v>257</v>
      </c>
      <c r="S29" s="50"/>
      <c r="T29" s="50"/>
    </row>
    <row r="30" spans="1:20" s="20" customFormat="1" x14ac:dyDescent="0.3">
      <c r="A30" s="72">
        <f>A5</f>
        <v>395853</v>
      </c>
      <c r="B30" s="69" t="str">
        <f>B5</f>
        <v>Cyber: MFR Deployment Support - PI 15 (Recurring)</v>
      </c>
      <c r="C30" s="71" t="str">
        <f>VLOOKUP($A5,CyberData!B:G,6,0)</f>
        <v>EA 15.5</v>
      </c>
      <c r="D30" s="71">
        <f>SUMIFS(CyberData!$H:$H,CyberData!$S:$S,SprintReview!$A30,CyberData!$G:$G,SprintReview!D$29)</f>
        <v>6</v>
      </c>
      <c r="E30" s="71">
        <f>SUMIFS(CyberData!$H:$H,CyberData!$S:$S,SprintReview!$A30,CyberData!$G:$G,SprintReview!E$29)</f>
        <v>1</v>
      </c>
      <c r="F30" s="71">
        <f>SUMIFS(CyberData!$H:$H,CyberData!$S:$S,SprintReview!$A30,CyberData!$G:$G,SprintReview!F$29)</f>
        <v>6</v>
      </c>
      <c r="G30" s="71">
        <f>SUMIFS(CyberData!$H:$H,CyberData!$S:$S,SprintReview!$A30,CyberData!$G:$G,SprintReview!G$29)</f>
        <v>2</v>
      </c>
      <c r="H30" s="71">
        <f>SUMIFS(CyberData!$H:$H,CyberData!$S:$S,SprintReview!$A30,CyberData!$G:$G,SprintReview!H$29)</f>
        <v>9</v>
      </c>
      <c r="I30" s="71">
        <f>SUMIFS(CyberData!$H:$H,CyberData!$S:$S,SprintReview!$A30,CyberData!$G:$G,SprintReview!I$29)</f>
        <v>0</v>
      </c>
      <c r="J30" s="71">
        <f>SUMIFS(CyberData!$H:$H,CyberData!$S:$S,SprintReview!$A30,CyberData!$G:$G,SprintReview!J$29)</f>
        <v>0</v>
      </c>
      <c r="M30" s="14">
        <f>A30</f>
        <v>395853</v>
      </c>
      <c r="N30" s="57">
        <f>SUM($D30:D30)</f>
        <v>6</v>
      </c>
      <c r="O30" s="57">
        <f>SUM($D30:E30)</f>
        <v>7</v>
      </c>
      <c r="P30" s="57">
        <f>SUM($D30:F30)</f>
        <v>13</v>
      </c>
      <c r="Q30" s="57">
        <f>SUM($D30:G30)</f>
        <v>15</v>
      </c>
      <c r="R30" s="57">
        <f>SUM($D30:H30)</f>
        <v>24</v>
      </c>
      <c r="S30" s="57">
        <f>SUM($D30:I30)</f>
        <v>24</v>
      </c>
      <c r="T30" s="57">
        <f>SUM($D30:J30)</f>
        <v>24</v>
      </c>
    </row>
    <row r="31" spans="1:20" s="20" customFormat="1" x14ac:dyDescent="0.3">
      <c r="A31" s="72">
        <f t="shared" ref="A31:B37" si="8">A6</f>
        <v>395688</v>
      </c>
      <c r="B31" s="69" t="str">
        <f t="shared" si="8"/>
        <v>Cyber: TO3 IA Patching - PI 15 (Recurring)</v>
      </c>
      <c r="C31" s="71" t="str">
        <f>VLOOKUP($A6,CyberData!B:G,6,0)</f>
        <v>EA 15.5</v>
      </c>
      <c r="D31" s="71">
        <f>SUMIFS(CyberData!$H:$H,CyberData!$S:$S,SprintReview!$A31,CyberData!$G:$G,SprintReview!D$29)</f>
        <v>16</v>
      </c>
      <c r="E31" s="71">
        <f>SUMIFS(CyberData!$H:$H,CyberData!$S:$S,SprintReview!$A31,CyberData!$G:$G,SprintReview!E$29)</f>
        <v>14</v>
      </c>
      <c r="F31" s="71">
        <f>SUMIFS(CyberData!$H:$H,CyberData!$S:$S,SprintReview!$A31,CyberData!$G:$G,SprintReview!F$29)</f>
        <v>7</v>
      </c>
      <c r="G31" s="71">
        <f>SUMIFS(CyberData!$H:$H,CyberData!$S:$S,SprintReview!$A31,CyberData!$G:$G,SprintReview!G$29)</f>
        <v>12</v>
      </c>
      <c r="H31" s="71">
        <f>SUMIFS(CyberData!$H:$H,CyberData!$S:$S,SprintReview!$A31,CyberData!$G:$G,SprintReview!H$29)</f>
        <v>19</v>
      </c>
      <c r="I31" s="71">
        <f>SUMIFS(CyberData!$H:$H,CyberData!$S:$S,SprintReview!$A31,CyberData!$G:$G,SprintReview!I$29)</f>
        <v>0</v>
      </c>
      <c r="J31" s="71">
        <f>SUMIFS(CyberData!$H:$H,CyberData!$S:$S,SprintReview!$A31,CyberData!$G:$G,SprintReview!J$29)</f>
        <v>0</v>
      </c>
      <c r="M31" s="14">
        <f t="shared" ref="M31:M37" si="9">A31</f>
        <v>395688</v>
      </c>
      <c r="N31" s="57">
        <f>SUM($D31:D31)</f>
        <v>16</v>
      </c>
      <c r="O31" s="57">
        <f>SUM($D31:E31)</f>
        <v>30</v>
      </c>
      <c r="P31" s="57">
        <f>SUM($D31:F31)</f>
        <v>37</v>
      </c>
      <c r="Q31" s="57">
        <f>SUM($D31:G31)</f>
        <v>49</v>
      </c>
      <c r="R31" s="57">
        <f>SUM($D31:H31)</f>
        <v>68</v>
      </c>
      <c r="S31" s="57">
        <f>SUM($D31:I31)</f>
        <v>68</v>
      </c>
      <c r="T31" s="57">
        <f>SUM($D31:J31)</f>
        <v>68</v>
      </c>
    </row>
    <row r="32" spans="1:20" s="20" customFormat="1" x14ac:dyDescent="0.3">
      <c r="A32" s="72">
        <f t="shared" si="8"/>
        <v>395897</v>
      </c>
      <c r="B32" s="69" t="str">
        <f t="shared" si="8"/>
        <v>Cyber: RMF Continuous Monitoring - PI 15 (Recurring)</v>
      </c>
      <c r="C32" s="71" t="str">
        <f>VLOOKUP($A7,CyberData!B:G,6,0)</f>
        <v>EA 15.5</v>
      </c>
      <c r="D32" s="71">
        <f>SUMIFS(CyberData!$H:$H,CyberData!$S:$S,SprintReview!$A32,CyberData!$G:$G,SprintReview!D$29)</f>
        <v>14</v>
      </c>
      <c r="E32" s="71">
        <f>SUMIFS(CyberData!$H:$H,CyberData!$S:$S,SprintReview!$A32,CyberData!$G:$G,SprintReview!E$29)</f>
        <v>24</v>
      </c>
      <c r="F32" s="71">
        <f>SUMIFS(CyberData!$H:$H,CyberData!$S:$S,SprintReview!$A32,CyberData!$G:$G,SprintReview!F$29)</f>
        <v>9</v>
      </c>
      <c r="G32" s="71">
        <f>SUMIFS(CyberData!$H:$H,CyberData!$S:$S,SprintReview!$A32,CyberData!$G:$G,SprintReview!G$29)</f>
        <v>16</v>
      </c>
      <c r="H32" s="71">
        <f>SUMIFS(CyberData!$H:$H,CyberData!$S:$S,SprintReview!$A32,CyberData!$G:$G,SprintReview!H$29)</f>
        <v>14</v>
      </c>
      <c r="I32" s="71">
        <f>SUMIFS(CyberData!$H:$H,CyberData!$S:$S,SprintReview!$A32,CyberData!$G:$G,SprintReview!I$29)</f>
        <v>0</v>
      </c>
      <c r="J32" s="71">
        <f>SUMIFS(CyberData!$H:$H,CyberData!$S:$S,SprintReview!$A32,CyberData!$G:$G,SprintReview!J$29)</f>
        <v>0</v>
      </c>
      <c r="M32" s="14">
        <f t="shared" si="9"/>
        <v>395897</v>
      </c>
      <c r="N32" s="57">
        <f>SUM($D32:D32)</f>
        <v>14</v>
      </c>
      <c r="O32" s="57">
        <f>SUM($D32:E32)</f>
        <v>38</v>
      </c>
      <c r="P32" s="57">
        <f>SUM($D32:F32)</f>
        <v>47</v>
      </c>
      <c r="Q32" s="57">
        <f>SUM($D32:G32)</f>
        <v>63</v>
      </c>
      <c r="R32" s="57">
        <f>SUM($D32:H32)</f>
        <v>77</v>
      </c>
      <c r="S32" s="57">
        <f>SUM($D32:I32)</f>
        <v>77</v>
      </c>
      <c r="T32" s="57">
        <f>SUM($D32:J32)</f>
        <v>77</v>
      </c>
    </row>
    <row r="33" spans="1:21" s="20" customFormat="1" x14ac:dyDescent="0.3">
      <c r="A33" s="72">
        <f t="shared" si="8"/>
        <v>372921</v>
      </c>
      <c r="B33" s="69" t="str">
        <f t="shared" si="8"/>
        <v>Cyber: RMF Accreditation of Call Bank Radio System</v>
      </c>
      <c r="C33" s="71" t="str">
        <f>VLOOKUP($A8,CyberData!B:G,6,0)</f>
        <v>PI 16 - In Progress</v>
      </c>
      <c r="D33" s="71">
        <f>SUMIFS(CyberData!$H:$H,CyberData!$S:$S,SprintReview!$A33,CyberData!$G:$G,SprintReview!D$29)</f>
        <v>6</v>
      </c>
      <c r="E33" s="71">
        <f>SUMIFS(CyberData!$H:$H,CyberData!$S:$S,SprintReview!$A33,CyberData!$G:$G,SprintReview!E$29)</f>
        <v>11</v>
      </c>
      <c r="F33" s="71">
        <f>SUMIFS(CyberData!$H:$H,CyberData!$S:$S,SprintReview!$A33,CyberData!$G:$G,SprintReview!F$29)</f>
        <v>14</v>
      </c>
      <c r="G33" s="71">
        <f>SUMIFS(CyberData!$H:$H,CyberData!$S:$S,SprintReview!$A33,CyberData!$G:$G,SprintReview!G$29)</f>
        <v>10</v>
      </c>
      <c r="H33" s="71">
        <f>SUMIFS(CyberData!$H:$H,CyberData!$S:$S,SprintReview!$A33,CyberData!$G:$G,SprintReview!H$29)</f>
        <v>6</v>
      </c>
      <c r="I33" s="71">
        <f>SUMIFS(CyberData!$H:$H,CyberData!$S:$S,SprintReview!$A33,CyberData!$G:$G,SprintReview!I$29)</f>
        <v>0</v>
      </c>
      <c r="J33" s="71">
        <f>SUMIFS(CyberData!$H:$H,CyberData!$S:$S,SprintReview!$A33,CyberData!$G:$G,SprintReview!J$29)</f>
        <v>0</v>
      </c>
      <c r="M33" s="14">
        <f t="shared" si="9"/>
        <v>372921</v>
      </c>
      <c r="N33" s="57">
        <f>SUM($D33:D33)</f>
        <v>6</v>
      </c>
      <c r="O33" s="57">
        <f>SUM($D33:E33)</f>
        <v>17</v>
      </c>
      <c r="P33" s="57">
        <f>SUM($D33:F33)</f>
        <v>31</v>
      </c>
      <c r="Q33" s="57">
        <f>SUM($D33:G33)</f>
        <v>41</v>
      </c>
      <c r="R33" s="57">
        <f>SUM($D33:H33)</f>
        <v>47</v>
      </c>
      <c r="S33" s="57">
        <f>SUM($D33:I33)</f>
        <v>47</v>
      </c>
      <c r="T33" s="57">
        <f>SUM($D33:J33)</f>
        <v>47</v>
      </c>
    </row>
    <row r="34" spans="1:21" s="20" customFormat="1" x14ac:dyDescent="0.3">
      <c r="A34" s="72">
        <f t="shared" si="8"/>
        <v>0</v>
      </c>
      <c r="B34" s="69">
        <f t="shared" si="8"/>
        <v>0</v>
      </c>
      <c r="C34" s="71" t="e">
        <f>VLOOKUP($A9,CyberData!B:G,6,0)</f>
        <v>#N/A</v>
      </c>
      <c r="D34" s="71">
        <f>SUMIFS(CyberData!$H:$H,CyberData!$S:$S,SprintReview!$A34,CyberData!$G:$G,SprintReview!D$29)</f>
        <v>0</v>
      </c>
      <c r="E34" s="71">
        <f>SUMIFS(CyberData!$H:$H,CyberData!$S:$S,SprintReview!$A34,CyberData!$G:$G,SprintReview!E$29)</f>
        <v>0</v>
      </c>
      <c r="F34" s="71">
        <f>SUMIFS(CyberData!$H:$H,CyberData!$S:$S,SprintReview!$A34,CyberData!$G:$G,SprintReview!F$29)</f>
        <v>0</v>
      </c>
      <c r="G34" s="71">
        <f>SUMIFS(CyberData!$H:$H,CyberData!$S:$S,SprintReview!$A34,CyberData!$G:$G,SprintReview!G$29)</f>
        <v>0</v>
      </c>
      <c r="H34" s="71">
        <f>SUMIFS(CyberData!$H:$H,CyberData!$S:$S,SprintReview!$A34,CyberData!$G:$G,SprintReview!H$29)</f>
        <v>0</v>
      </c>
      <c r="I34" s="71">
        <f>SUMIFS(CyberData!$H:$H,CyberData!$S:$S,SprintReview!$A34,CyberData!$G:$G,SprintReview!I$29)</f>
        <v>0</v>
      </c>
      <c r="J34" s="71">
        <f>SUMIFS(CyberData!$H:$H,CyberData!$S:$S,SprintReview!$A34,CyberData!$G:$G,SprintReview!J$29)</f>
        <v>0</v>
      </c>
      <c r="M34" s="14">
        <f t="shared" si="9"/>
        <v>0</v>
      </c>
      <c r="N34" s="57">
        <f>SUM($D34:D34)</f>
        <v>0</v>
      </c>
      <c r="O34" s="57">
        <f>SUM($D34:E34)</f>
        <v>0</v>
      </c>
      <c r="P34" s="57">
        <f>SUM($D34:F34)</f>
        <v>0</v>
      </c>
      <c r="Q34" s="57">
        <f>SUM($D34:G34)</f>
        <v>0</v>
      </c>
      <c r="R34" s="57">
        <f>SUM($D34:H34)</f>
        <v>0</v>
      </c>
      <c r="S34" s="57">
        <f>SUM($D34:I34)</f>
        <v>0</v>
      </c>
      <c r="T34" s="57">
        <f>SUM($D34:J34)</f>
        <v>0</v>
      </c>
    </row>
    <row r="35" spans="1:21" s="20" customFormat="1" x14ac:dyDescent="0.3">
      <c r="A35" s="72">
        <f t="shared" si="8"/>
        <v>0</v>
      </c>
      <c r="B35" s="69">
        <f t="shared" si="8"/>
        <v>0</v>
      </c>
      <c r="C35" s="71" t="e">
        <f>VLOOKUP($A10,CyberData!B:G,6,0)</f>
        <v>#N/A</v>
      </c>
      <c r="D35" s="71">
        <f>SUMIFS(CyberData!$H:$H,CyberData!$S:$S,SprintReview!$A35,CyberData!$G:$G,SprintReview!D$29)</f>
        <v>0</v>
      </c>
      <c r="E35" s="71">
        <f>SUMIFS(CyberData!$H:$H,CyberData!$S:$S,SprintReview!$A35,CyberData!$G:$G,SprintReview!E$29)</f>
        <v>0</v>
      </c>
      <c r="F35" s="71">
        <f>SUMIFS(CyberData!$H:$H,CyberData!$S:$S,SprintReview!$A35,CyberData!$G:$G,SprintReview!F$29)</f>
        <v>0</v>
      </c>
      <c r="G35" s="71">
        <f>SUMIFS(CyberData!$H:$H,CyberData!$S:$S,SprintReview!$A35,CyberData!$G:$G,SprintReview!G$29)</f>
        <v>0</v>
      </c>
      <c r="H35" s="71">
        <f>SUMIFS(CyberData!$H:$H,CyberData!$S:$S,SprintReview!$A35,CyberData!$G:$G,SprintReview!H$29)</f>
        <v>0</v>
      </c>
      <c r="I35" s="71">
        <f>SUMIFS(CyberData!$H:$H,CyberData!$S:$S,SprintReview!$A35,CyberData!$G:$G,SprintReview!I$29)</f>
        <v>0</v>
      </c>
      <c r="J35" s="71">
        <f>SUMIFS(CyberData!$H:$H,CyberData!$S:$S,SprintReview!$A35,CyberData!$G:$G,SprintReview!J$29)</f>
        <v>0</v>
      </c>
      <c r="M35" s="14">
        <f t="shared" si="9"/>
        <v>0</v>
      </c>
      <c r="N35" s="57">
        <f>SUM($D35:D35)</f>
        <v>0</v>
      </c>
      <c r="O35" s="57">
        <f>SUM($D35:E35)</f>
        <v>0</v>
      </c>
      <c r="P35" s="57">
        <f>SUM($D35:F35)</f>
        <v>0</v>
      </c>
      <c r="Q35" s="57">
        <f>SUM($D35:G35)</f>
        <v>0</v>
      </c>
      <c r="R35" s="57">
        <f>SUM($D35:H35)</f>
        <v>0</v>
      </c>
      <c r="S35" s="57">
        <f>SUM($D35:I35)</f>
        <v>0</v>
      </c>
      <c r="T35" s="57">
        <f>SUM($D35:J35)</f>
        <v>0</v>
      </c>
    </row>
    <row r="36" spans="1:21" s="20" customFormat="1" x14ac:dyDescent="0.3">
      <c r="A36" s="72">
        <f t="shared" si="8"/>
        <v>0</v>
      </c>
      <c r="B36" s="69">
        <f t="shared" si="8"/>
        <v>0</v>
      </c>
      <c r="C36" s="71" t="e">
        <f>VLOOKUP($A11,CyberData!B:G,6,0)</f>
        <v>#N/A</v>
      </c>
      <c r="D36" s="71">
        <f>SUMIFS(CyberData!$H:$H,CyberData!$S:$S,SprintReview!$A36,CyberData!$G:$G,SprintReview!D$29)</f>
        <v>0</v>
      </c>
      <c r="E36" s="71">
        <f>SUMIFS(CyberData!$H:$H,CyberData!$S:$S,SprintReview!$A36,CyberData!$G:$G,SprintReview!E$29)</f>
        <v>0</v>
      </c>
      <c r="F36" s="71">
        <f>SUMIFS(CyberData!$H:$H,CyberData!$S:$S,SprintReview!$A36,CyberData!$G:$G,SprintReview!F$29)</f>
        <v>0</v>
      </c>
      <c r="G36" s="71">
        <f>SUMIFS(CyberData!$H:$H,CyberData!$S:$S,SprintReview!$A36,CyberData!$G:$G,SprintReview!G$29)</f>
        <v>0</v>
      </c>
      <c r="H36" s="71">
        <f>SUMIFS(CyberData!$H:$H,CyberData!$S:$S,SprintReview!$A36,CyberData!$G:$G,SprintReview!H$29)</f>
        <v>0</v>
      </c>
      <c r="I36" s="71">
        <f>SUMIFS(CyberData!$H:$H,CyberData!$S:$S,SprintReview!$A36,CyberData!$G:$G,SprintReview!I$29)</f>
        <v>0</v>
      </c>
      <c r="J36" s="71">
        <f>SUMIFS(CyberData!$H:$H,CyberData!$S:$S,SprintReview!$A36,CyberData!$G:$G,SprintReview!J$29)</f>
        <v>0</v>
      </c>
      <c r="M36" s="14">
        <f t="shared" si="9"/>
        <v>0</v>
      </c>
      <c r="N36" s="57">
        <f>SUM($D36:D36)</f>
        <v>0</v>
      </c>
      <c r="O36" s="57">
        <f>SUM($D36:E36)</f>
        <v>0</v>
      </c>
      <c r="P36" s="57">
        <f>SUM($D36:F36)</f>
        <v>0</v>
      </c>
      <c r="Q36" s="57">
        <f>SUM($D36:G36)</f>
        <v>0</v>
      </c>
      <c r="R36" s="57">
        <f>SUM($D36:H36)</f>
        <v>0</v>
      </c>
      <c r="S36" s="57">
        <f>SUM($D36:I36)</f>
        <v>0</v>
      </c>
      <c r="T36" s="57">
        <f>SUM($D36:J36)</f>
        <v>0</v>
      </c>
    </row>
    <row r="37" spans="1:21" s="20" customFormat="1" x14ac:dyDescent="0.3">
      <c r="A37" s="72">
        <f t="shared" si="8"/>
        <v>0</v>
      </c>
      <c r="B37" s="69">
        <f t="shared" si="8"/>
        <v>0</v>
      </c>
      <c r="C37" s="71" t="e">
        <f>VLOOKUP($A12,CyberData!B:G,6,0)</f>
        <v>#N/A</v>
      </c>
      <c r="D37" s="71">
        <f>SUMIFS(CyberData!$H:$H,CyberData!$S:$S,SprintReview!$A37,CyberData!$G:$G,SprintReview!D$29)</f>
        <v>0</v>
      </c>
      <c r="E37" s="71">
        <f>SUMIFS(CyberData!$H:$H,CyberData!$S:$S,SprintReview!$A37,CyberData!$G:$G,SprintReview!E$29)</f>
        <v>0</v>
      </c>
      <c r="F37" s="71">
        <f>SUMIFS(CyberData!$H:$H,CyberData!$S:$S,SprintReview!$A37,CyberData!$G:$G,SprintReview!F$29)</f>
        <v>0</v>
      </c>
      <c r="G37" s="71">
        <f>SUMIFS(CyberData!$H:$H,CyberData!$S:$S,SprintReview!$A37,CyberData!$G:$G,SprintReview!G$29)</f>
        <v>0</v>
      </c>
      <c r="H37" s="71">
        <f>SUMIFS(CyberData!$H:$H,CyberData!$S:$S,SprintReview!$A37,CyberData!$G:$G,SprintReview!H$29)</f>
        <v>0</v>
      </c>
      <c r="I37" s="71">
        <f>SUMIFS(CyberData!$H:$H,CyberData!$S:$S,SprintReview!$A37,CyberData!$G:$G,SprintReview!I$29)</f>
        <v>0</v>
      </c>
      <c r="J37" s="71">
        <f>SUMIFS(CyberData!$H:$H,CyberData!$S:$S,SprintReview!$A37,CyberData!$G:$G,SprintReview!J$29)</f>
        <v>0</v>
      </c>
      <c r="M37" s="14">
        <f t="shared" si="9"/>
        <v>0</v>
      </c>
      <c r="N37" s="57">
        <f>SUM($D37:D37)</f>
        <v>0</v>
      </c>
      <c r="O37" s="57">
        <f>SUM($D37:E37)</f>
        <v>0</v>
      </c>
      <c r="P37" s="57">
        <f>SUM($D37:F37)</f>
        <v>0</v>
      </c>
      <c r="Q37" s="57">
        <f>SUM($D37:G37)</f>
        <v>0</v>
      </c>
      <c r="R37" s="57">
        <f>SUM($D37:H37)</f>
        <v>0</v>
      </c>
      <c r="S37" s="57">
        <f>SUM($D37:I37)</f>
        <v>0</v>
      </c>
      <c r="T37" s="57">
        <f>SUM($D37:J37)</f>
        <v>0</v>
      </c>
    </row>
    <row r="38" spans="1:21" s="20" customFormat="1" x14ac:dyDescent="0.3">
      <c r="C38" s="8"/>
    </row>
    <row r="39" spans="1:21" x14ac:dyDescent="0.3">
      <c r="C39" s="8"/>
    </row>
    <row r="40" spans="1:21" x14ac:dyDescent="0.3">
      <c r="A40" s="20"/>
      <c r="B40" s="20"/>
      <c r="C40" s="8"/>
      <c r="D40" s="20"/>
      <c r="E40" s="20"/>
      <c r="F40" s="20"/>
      <c r="G40" s="20"/>
      <c r="H40" s="20"/>
      <c r="I40" s="20"/>
      <c r="J40" s="20"/>
      <c r="K40" s="20"/>
      <c r="N40" s="20"/>
      <c r="O40" s="20"/>
      <c r="P40" s="20"/>
      <c r="Q40" s="20"/>
      <c r="R40" s="20"/>
      <c r="S40" s="20"/>
      <c r="T40" s="20"/>
      <c r="U40" s="20"/>
    </row>
    <row r="41" spans="1:21" x14ac:dyDescent="0.3">
      <c r="A41" s="20" t="s">
        <v>1517</v>
      </c>
      <c r="B41" s="20"/>
      <c r="C41" s="8"/>
      <c r="D41" s="20"/>
      <c r="E41" s="20"/>
      <c r="F41" s="20"/>
      <c r="G41" s="20"/>
      <c r="H41" s="20"/>
      <c r="I41" s="20"/>
      <c r="J41" s="20"/>
      <c r="K41" s="20"/>
      <c r="M41" s="20" t="s">
        <v>197</v>
      </c>
      <c r="N41" s="20"/>
      <c r="O41" s="20"/>
      <c r="P41" s="20"/>
      <c r="Q41" s="20"/>
      <c r="R41" s="20"/>
      <c r="S41" s="20"/>
      <c r="T41" s="20"/>
      <c r="U41" s="20"/>
    </row>
    <row r="42" spans="1:21" x14ac:dyDescent="0.3">
      <c r="A42" s="50" t="s">
        <v>1</v>
      </c>
      <c r="B42" s="50" t="s">
        <v>3</v>
      </c>
      <c r="C42" s="70" t="s">
        <v>4</v>
      </c>
      <c r="D42" s="70" t="s">
        <v>260</v>
      </c>
      <c r="E42" s="70" t="s">
        <v>259</v>
      </c>
      <c r="F42" s="70" t="s">
        <v>256</v>
      </c>
      <c r="G42" s="70" t="s">
        <v>258</v>
      </c>
      <c r="H42" s="70" t="s">
        <v>257</v>
      </c>
      <c r="I42" s="70"/>
      <c r="J42" s="70"/>
      <c r="K42" s="20"/>
      <c r="M42" s="50" t="s">
        <v>1</v>
      </c>
      <c r="N42" s="50" t="s">
        <v>260</v>
      </c>
      <c r="O42" s="50" t="s">
        <v>259</v>
      </c>
      <c r="P42" s="50" t="s">
        <v>256</v>
      </c>
      <c r="Q42" s="50" t="s">
        <v>258</v>
      </c>
      <c r="R42" s="50" t="s">
        <v>257</v>
      </c>
      <c r="S42" s="50"/>
      <c r="T42" s="50"/>
      <c r="U42" s="20"/>
    </row>
    <row r="43" spans="1:21" x14ac:dyDescent="0.3">
      <c r="A43" s="72">
        <f>A5</f>
        <v>395853</v>
      </c>
      <c r="B43" s="69" t="str">
        <f>B5</f>
        <v>Cyber: MFR Deployment Support - PI 15 (Recurring)</v>
      </c>
      <c r="C43" s="71" t="str">
        <f>VLOOKUP($A18,CyberData!B:G,6,0)</f>
        <v>EA 15.5</v>
      </c>
      <c r="D43" s="71">
        <f>SUMIFS(CyberData!$H:$H,CyberData!$S:$S,SprintReview!$A43,CyberData!$G:$G,SprintReview!D$29,CyberData!$E:$E,"Done")</f>
        <v>6</v>
      </c>
      <c r="E43" s="71">
        <f>SUMIFS(CyberData!$H:$H,CyberData!$S:$S,SprintReview!$A43,CyberData!$G:$G,SprintReview!E$29,CyberData!$E:$E,"Done")</f>
        <v>1</v>
      </c>
      <c r="F43" s="71">
        <f>SUMIFS(CyberData!$H:$H,CyberData!$S:$S,SprintReview!$A43,CyberData!$G:$G,SprintReview!F$29,CyberData!$E:$E,"Done")</f>
        <v>6</v>
      </c>
      <c r="G43" s="71">
        <f>SUMIFS(CyberData!$H:$H,CyberData!$S:$S,SprintReview!$A43,CyberData!$G:$G,SprintReview!G$29,CyberData!$E:$E,"Done")</f>
        <v>2</v>
      </c>
      <c r="H43" s="71">
        <f>SUMIFS(CyberData!$H:$H,CyberData!$S:$S,SprintReview!$A43,CyberData!$G:$G,SprintReview!H$29,CyberData!$E:$E,"Done")</f>
        <v>0</v>
      </c>
      <c r="I43" s="71">
        <f>SUMIFS(CyberData!$H:$H,CyberData!$S:$S,SprintReview!$A43,CyberData!$G:$G,SprintReview!I$29,CyberData!$E:$E,"Done")</f>
        <v>0</v>
      </c>
      <c r="J43" s="71">
        <f>SUMIFS(CyberData!$H:$H,CyberData!$S:$S,SprintReview!$A43,CyberData!$G:$G,SprintReview!J$29,CyberData!$E:$E,"Done")</f>
        <v>0</v>
      </c>
      <c r="K43" s="20"/>
      <c r="M43" s="14">
        <f>A43</f>
        <v>395853</v>
      </c>
      <c r="N43" s="57">
        <f>SUM($D43:D43)</f>
        <v>6</v>
      </c>
      <c r="O43" s="57">
        <f>SUM($D43:E43)</f>
        <v>7</v>
      </c>
      <c r="P43" s="57">
        <f>SUM($D43:F43)</f>
        <v>13</v>
      </c>
      <c r="Q43" s="57">
        <f>SUM($D43:G43)</f>
        <v>15</v>
      </c>
      <c r="R43" s="57">
        <f>SUM($D43:H43)</f>
        <v>15</v>
      </c>
      <c r="S43" s="57">
        <f>SUM($D43:I43)</f>
        <v>15</v>
      </c>
      <c r="T43" s="57">
        <f>SUM($D43:J43)</f>
        <v>15</v>
      </c>
      <c r="U43" s="20"/>
    </row>
    <row r="44" spans="1:21" x14ac:dyDescent="0.3">
      <c r="A44" s="72">
        <f t="shared" ref="A44:B50" si="10">A6</f>
        <v>395688</v>
      </c>
      <c r="B44" s="69" t="str">
        <f t="shared" si="10"/>
        <v>Cyber: TO3 IA Patching - PI 15 (Recurring)</v>
      </c>
      <c r="C44" s="71" t="str">
        <f>VLOOKUP($A19,CyberData!B:G,6,0)</f>
        <v>EA 15.5</v>
      </c>
      <c r="D44" s="71">
        <f>SUMIFS(CyberData!$H:$H,CyberData!$S:$S,SprintReview!$A44,CyberData!$G:$G,SprintReview!D$29,CyberData!$E:$E,"Done")</f>
        <v>16</v>
      </c>
      <c r="E44" s="71">
        <f>SUMIFS(CyberData!$H:$H,CyberData!$S:$S,SprintReview!$A44,CyberData!$G:$G,SprintReview!E$29,CyberData!$E:$E,"Done")</f>
        <v>14</v>
      </c>
      <c r="F44" s="71">
        <f>SUMIFS(CyberData!$H:$H,CyberData!$S:$S,SprintReview!$A44,CyberData!$G:$G,SprintReview!F$29,CyberData!$E:$E,"Done")</f>
        <v>7</v>
      </c>
      <c r="G44" s="71">
        <f>SUMIFS(CyberData!$H:$H,CyberData!$S:$S,SprintReview!$A44,CyberData!$G:$G,SprintReview!G$29,CyberData!$E:$E,"Done")</f>
        <v>12</v>
      </c>
      <c r="H44" s="71">
        <f>SUMIFS(CyberData!$H:$H,CyberData!$S:$S,SprintReview!$A44,CyberData!$G:$G,SprintReview!H$29,CyberData!$E:$E,"Done")</f>
        <v>0</v>
      </c>
      <c r="I44" s="71">
        <f>SUMIFS(CyberData!$H:$H,CyberData!$S:$S,SprintReview!$A44,CyberData!$G:$G,SprintReview!I$29,CyberData!$E:$E,"Done")</f>
        <v>0</v>
      </c>
      <c r="J44" s="71">
        <f>SUMIFS(CyberData!$H:$H,CyberData!$S:$S,SprintReview!$A44,CyberData!$G:$G,SprintReview!J$29,CyberData!$E:$E,"Done")</f>
        <v>0</v>
      </c>
      <c r="K44" s="20"/>
      <c r="M44" s="14">
        <f t="shared" ref="M44:M50" si="11">A44</f>
        <v>395688</v>
      </c>
      <c r="N44" s="57">
        <f>SUM($D44:D44)</f>
        <v>16</v>
      </c>
      <c r="O44" s="57">
        <f>SUM($D44:E44)</f>
        <v>30</v>
      </c>
      <c r="P44" s="57">
        <f>SUM($D44:F44)</f>
        <v>37</v>
      </c>
      <c r="Q44" s="57">
        <f>SUM($D44:G44)</f>
        <v>49</v>
      </c>
      <c r="R44" s="57">
        <f>SUM($D44:H44)</f>
        <v>49</v>
      </c>
      <c r="S44" s="57">
        <f>SUM($D44:I44)</f>
        <v>49</v>
      </c>
      <c r="T44" s="57">
        <f>SUM($D44:J44)</f>
        <v>49</v>
      </c>
      <c r="U44" s="20"/>
    </row>
    <row r="45" spans="1:21" x14ac:dyDescent="0.3">
      <c r="A45" s="72">
        <f t="shared" si="10"/>
        <v>395897</v>
      </c>
      <c r="B45" s="69" t="str">
        <f t="shared" si="10"/>
        <v>Cyber: RMF Continuous Monitoring - PI 15 (Recurring)</v>
      </c>
      <c r="C45" s="71" t="str">
        <f>VLOOKUP($A20,CyberData!B:G,6,0)</f>
        <v>EA 15.5</v>
      </c>
      <c r="D45" s="71">
        <f>SUMIFS(CyberData!$H:$H,CyberData!$S:$S,SprintReview!$A45,CyberData!$G:$G,SprintReview!D$29,CyberData!$E:$E,"Done")</f>
        <v>14</v>
      </c>
      <c r="E45" s="71">
        <f>SUMIFS(CyberData!$H:$H,CyberData!$S:$S,SprintReview!$A45,CyberData!$G:$G,SprintReview!E$29,CyberData!$E:$E,"Done")</f>
        <v>24</v>
      </c>
      <c r="F45" s="71">
        <f>SUMIFS(CyberData!$H:$H,CyberData!$S:$S,SprintReview!$A45,CyberData!$G:$G,SprintReview!F$29,CyberData!$E:$E,"Done")</f>
        <v>9</v>
      </c>
      <c r="G45" s="71">
        <f>SUMIFS(CyberData!$H:$H,CyberData!$S:$S,SprintReview!$A45,CyberData!$G:$G,SprintReview!G$29,CyberData!$E:$E,"Done")</f>
        <v>16</v>
      </c>
      <c r="H45" s="71">
        <f>SUMIFS(CyberData!$H:$H,CyberData!$S:$S,SprintReview!$A45,CyberData!$G:$G,SprintReview!H$29,CyberData!$E:$E,"Done")</f>
        <v>0</v>
      </c>
      <c r="I45" s="71">
        <f>SUMIFS(CyberData!$H:$H,CyberData!$S:$S,SprintReview!$A45,CyberData!$G:$G,SprintReview!I$29,CyberData!$E:$E,"Done")</f>
        <v>0</v>
      </c>
      <c r="J45" s="71">
        <f>SUMIFS(CyberData!$H:$H,CyberData!$S:$S,SprintReview!$A45,CyberData!$G:$G,SprintReview!J$29,CyberData!$E:$E,"Done")</f>
        <v>0</v>
      </c>
      <c r="K45" s="20"/>
      <c r="M45" s="14">
        <f t="shared" si="11"/>
        <v>395897</v>
      </c>
      <c r="N45" s="57">
        <f>SUM($D45:D45)</f>
        <v>14</v>
      </c>
      <c r="O45" s="57">
        <f>SUM($D45:E45)</f>
        <v>38</v>
      </c>
      <c r="P45" s="57">
        <f>SUM($D45:F45)</f>
        <v>47</v>
      </c>
      <c r="Q45" s="57">
        <f>SUM($D45:G45)</f>
        <v>63</v>
      </c>
      <c r="R45" s="57">
        <f>SUM($D45:H45)</f>
        <v>63</v>
      </c>
      <c r="S45" s="57">
        <f>SUM($D45:I45)</f>
        <v>63</v>
      </c>
      <c r="T45" s="57">
        <f>SUM($D45:J45)</f>
        <v>63</v>
      </c>
      <c r="U45" s="20"/>
    </row>
    <row r="46" spans="1:21" x14ac:dyDescent="0.3">
      <c r="A46" s="72">
        <f t="shared" si="10"/>
        <v>372921</v>
      </c>
      <c r="B46" s="69" t="str">
        <f t="shared" si="10"/>
        <v>Cyber: RMF Accreditation of Call Bank Radio System</v>
      </c>
      <c r="C46" s="71" t="str">
        <f>VLOOKUP($A21,CyberData!B:G,6,0)</f>
        <v>PI 16 - In Progress</v>
      </c>
      <c r="D46" s="71">
        <f>SUMIFS(CyberData!$H:$H,CyberData!$S:$S,SprintReview!$A46,CyberData!$G:$G,SprintReview!D$29,CyberData!$E:$E,"Done")</f>
        <v>6</v>
      </c>
      <c r="E46" s="71">
        <f>SUMIFS(CyberData!$H:$H,CyberData!$S:$S,SprintReview!$A46,CyberData!$G:$G,SprintReview!E$29,CyberData!$E:$E,"Done")</f>
        <v>11</v>
      </c>
      <c r="F46" s="71">
        <f>SUMIFS(CyberData!$H:$H,CyberData!$S:$S,SprintReview!$A46,CyberData!$G:$G,SprintReview!F$29,CyberData!$E:$E,"Done")</f>
        <v>14</v>
      </c>
      <c r="G46" s="71">
        <f>SUMIFS(CyberData!$H:$H,CyberData!$S:$S,SprintReview!$A46,CyberData!$G:$G,SprintReview!G$29,CyberData!$E:$E,"Done")</f>
        <v>10</v>
      </c>
      <c r="H46" s="71">
        <f>SUMIFS(CyberData!$H:$H,CyberData!$S:$S,SprintReview!$A46,CyberData!$G:$G,SprintReview!H$29,CyberData!$E:$E,"Done")</f>
        <v>0</v>
      </c>
      <c r="I46" s="71">
        <f>SUMIFS(CyberData!$H:$H,CyberData!$S:$S,SprintReview!$A46,CyberData!$G:$G,SprintReview!I$29,CyberData!$E:$E,"Done")</f>
        <v>0</v>
      </c>
      <c r="J46" s="71">
        <f>SUMIFS(CyberData!$H:$H,CyberData!$S:$S,SprintReview!$A46,CyberData!$G:$G,SprintReview!J$29,CyberData!$E:$E,"Done")</f>
        <v>0</v>
      </c>
      <c r="K46" s="20"/>
      <c r="M46" s="14">
        <f t="shared" si="11"/>
        <v>372921</v>
      </c>
      <c r="N46" s="57">
        <f>SUM($D46:D46)</f>
        <v>6</v>
      </c>
      <c r="O46" s="57">
        <f>SUM($D46:E46)</f>
        <v>17</v>
      </c>
      <c r="P46" s="57">
        <f>SUM($D46:F46)</f>
        <v>31</v>
      </c>
      <c r="Q46" s="57">
        <f>SUM($D46:G46)</f>
        <v>41</v>
      </c>
      <c r="R46" s="57">
        <f>SUM($D46:H46)</f>
        <v>41</v>
      </c>
      <c r="S46" s="57">
        <f>SUM($D46:I46)</f>
        <v>41</v>
      </c>
      <c r="T46" s="57">
        <f>SUM($D46:J46)</f>
        <v>41</v>
      </c>
      <c r="U46" s="20"/>
    </row>
    <row r="47" spans="1:21" x14ac:dyDescent="0.3">
      <c r="A47" s="72">
        <f t="shared" si="10"/>
        <v>0</v>
      </c>
      <c r="B47" s="69">
        <f t="shared" si="10"/>
        <v>0</v>
      </c>
      <c r="C47" s="71" t="e">
        <f>VLOOKUP($A22,CyberData!B:G,6,0)</f>
        <v>#N/A</v>
      </c>
      <c r="D47" s="71">
        <f>SUMIFS(CyberData!$H:$H,CyberData!$S:$S,SprintReview!$A47,CyberData!$G:$G,SprintReview!D$29,CyberData!$E:$E,"Done")</f>
        <v>0</v>
      </c>
      <c r="E47" s="71">
        <f>SUMIFS(CyberData!$H:$H,CyberData!$S:$S,SprintReview!$A47,CyberData!$G:$G,SprintReview!E$29,CyberData!$E:$E,"Done")</f>
        <v>0</v>
      </c>
      <c r="F47" s="71">
        <f>SUMIFS(CyberData!$H:$H,CyberData!$S:$S,SprintReview!$A47,CyberData!$G:$G,SprintReview!F$29,CyberData!$E:$E,"Done")</f>
        <v>0</v>
      </c>
      <c r="G47" s="71">
        <f>SUMIFS(CyberData!$H:$H,CyberData!$S:$S,SprintReview!$A47,CyberData!$G:$G,SprintReview!G$29,CyberData!$E:$E,"Done")</f>
        <v>0</v>
      </c>
      <c r="H47" s="71">
        <f>SUMIFS(CyberData!$H:$H,CyberData!$S:$S,SprintReview!$A47,CyberData!$G:$G,SprintReview!H$29,CyberData!$E:$E,"Done")</f>
        <v>0</v>
      </c>
      <c r="I47" s="71">
        <f>SUMIFS(CyberData!$H:$H,CyberData!$S:$S,SprintReview!$A47,CyberData!$G:$G,SprintReview!I$29,CyberData!$E:$E,"Done")</f>
        <v>0</v>
      </c>
      <c r="J47" s="71">
        <f>SUMIFS(CyberData!$H:$H,CyberData!$S:$S,SprintReview!$A47,CyberData!$G:$G,SprintReview!J$29,CyberData!$E:$E,"Done")</f>
        <v>0</v>
      </c>
      <c r="K47" s="20"/>
      <c r="M47" s="14">
        <f t="shared" si="11"/>
        <v>0</v>
      </c>
      <c r="N47" s="57">
        <f>SUM($D47:D47)</f>
        <v>0</v>
      </c>
      <c r="O47" s="57">
        <f>SUM($D47:E47)</f>
        <v>0</v>
      </c>
      <c r="P47" s="57">
        <f>SUM($D47:F47)</f>
        <v>0</v>
      </c>
      <c r="Q47" s="57">
        <f>SUM($D47:G47)</f>
        <v>0</v>
      </c>
      <c r="R47" s="57">
        <f>SUM($D47:H47)</f>
        <v>0</v>
      </c>
      <c r="S47" s="57">
        <f>SUM($D47:I47)</f>
        <v>0</v>
      </c>
      <c r="T47" s="57">
        <f>SUM($D47:J47)</f>
        <v>0</v>
      </c>
      <c r="U47" s="20"/>
    </row>
    <row r="48" spans="1:21" x14ac:dyDescent="0.3">
      <c r="A48" s="72">
        <f t="shared" si="10"/>
        <v>0</v>
      </c>
      <c r="B48" s="69">
        <f t="shared" si="10"/>
        <v>0</v>
      </c>
      <c r="C48" s="71" t="e">
        <f>VLOOKUP($A23,CyberData!B:G,6,0)</f>
        <v>#N/A</v>
      </c>
      <c r="D48" s="71">
        <f>SUMIFS(CyberData!$H:$H,CyberData!$S:$S,SprintReview!$A48,CyberData!$G:$G,SprintReview!D$29,CyberData!$E:$E,"Done")</f>
        <v>0</v>
      </c>
      <c r="E48" s="71">
        <f>SUMIFS(CyberData!$H:$H,CyberData!$S:$S,SprintReview!$A48,CyberData!$G:$G,SprintReview!E$29,CyberData!$E:$E,"Done")</f>
        <v>0</v>
      </c>
      <c r="F48" s="71">
        <f>SUMIFS(CyberData!$H:$H,CyberData!$S:$S,SprintReview!$A48,CyberData!$G:$G,SprintReview!F$29,CyberData!$E:$E,"Done")</f>
        <v>0</v>
      </c>
      <c r="G48" s="71">
        <f>SUMIFS(CyberData!$H:$H,CyberData!$S:$S,SprintReview!$A48,CyberData!$G:$G,SprintReview!G$29,CyberData!$E:$E,"Done")</f>
        <v>0</v>
      </c>
      <c r="H48" s="71">
        <f>SUMIFS(CyberData!$H:$H,CyberData!$S:$S,SprintReview!$A48,CyberData!$G:$G,SprintReview!H$29,CyberData!$E:$E,"Done")</f>
        <v>0</v>
      </c>
      <c r="I48" s="71">
        <f>SUMIFS(CyberData!$H:$H,CyberData!$S:$S,SprintReview!$A48,CyberData!$G:$G,SprintReview!I$29,CyberData!$E:$E,"Done")</f>
        <v>0</v>
      </c>
      <c r="J48" s="71">
        <f>SUMIFS(CyberData!$H:$H,CyberData!$S:$S,SprintReview!$A48,CyberData!$G:$G,SprintReview!J$29,CyberData!$E:$E,"Done")</f>
        <v>0</v>
      </c>
      <c r="K48" s="20"/>
      <c r="M48" s="14">
        <f t="shared" si="11"/>
        <v>0</v>
      </c>
      <c r="N48" s="57">
        <f>SUM($D48:D48)</f>
        <v>0</v>
      </c>
      <c r="O48" s="57">
        <f>SUM($D48:E48)</f>
        <v>0</v>
      </c>
      <c r="P48" s="57">
        <f>SUM($D48:F48)</f>
        <v>0</v>
      </c>
      <c r="Q48" s="57">
        <f>SUM($D48:G48)</f>
        <v>0</v>
      </c>
      <c r="R48" s="57">
        <f>SUM($D48:H48)</f>
        <v>0</v>
      </c>
      <c r="S48" s="57">
        <f>SUM($D48:I48)</f>
        <v>0</v>
      </c>
      <c r="T48" s="57">
        <f>SUM($D48:J48)</f>
        <v>0</v>
      </c>
      <c r="U48" s="20"/>
    </row>
    <row r="49" spans="1:21" x14ac:dyDescent="0.3">
      <c r="A49" s="72">
        <f t="shared" si="10"/>
        <v>0</v>
      </c>
      <c r="B49" s="69">
        <f t="shared" si="10"/>
        <v>0</v>
      </c>
      <c r="C49" s="71" t="e">
        <f>VLOOKUP($A24,CyberData!B:G,6,0)</f>
        <v>#N/A</v>
      </c>
      <c r="D49" s="71">
        <f>SUMIFS(CyberData!$H:$H,CyberData!$S:$S,SprintReview!$A49,CyberData!$G:$G,SprintReview!D$29,CyberData!$E:$E,"Done")</f>
        <v>0</v>
      </c>
      <c r="E49" s="71">
        <f>SUMIFS(CyberData!$H:$H,CyberData!$S:$S,SprintReview!$A49,CyberData!$G:$G,SprintReview!E$29,CyberData!$E:$E,"Done")</f>
        <v>0</v>
      </c>
      <c r="F49" s="71">
        <f>SUMIFS(CyberData!$H:$H,CyberData!$S:$S,SprintReview!$A49,CyberData!$G:$G,SprintReview!F$29,CyberData!$E:$E,"Done")</f>
        <v>0</v>
      </c>
      <c r="G49" s="71">
        <f>SUMIFS(CyberData!$H:$H,CyberData!$S:$S,SprintReview!$A49,CyberData!$G:$G,SprintReview!G$29,CyberData!$E:$E,"Done")</f>
        <v>0</v>
      </c>
      <c r="H49" s="71">
        <f>SUMIFS(CyberData!$H:$H,CyberData!$S:$S,SprintReview!$A49,CyberData!$G:$G,SprintReview!H$29,CyberData!$E:$E,"Done")</f>
        <v>0</v>
      </c>
      <c r="I49" s="71">
        <f>SUMIFS(CyberData!$H:$H,CyberData!$S:$S,SprintReview!$A49,CyberData!$G:$G,SprintReview!I$29,CyberData!$E:$E,"Done")</f>
        <v>0</v>
      </c>
      <c r="J49" s="71">
        <f>SUMIFS(CyberData!$H:$H,CyberData!$S:$S,SprintReview!$A49,CyberData!$G:$G,SprintReview!J$29,CyberData!$E:$E,"Done")</f>
        <v>0</v>
      </c>
      <c r="K49" s="20"/>
      <c r="M49" s="14">
        <f t="shared" si="11"/>
        <v>0</v>
      </c>
      <c r="N49" s="57">
        <f>SUM($D49:D49)</f>
        <v>0</v>
      </c>
      <c r="O49" s="57">
        <f>SUM($D49:E49)</f>
        <v>0</v>
      </c>
      <c r="P49" s="57">
        <f>SUM($D49:F49)</f>
        <v>0</v>
      </c>
      <c r="Q49" s="57">
        <f>SUM($D49:G49)</f>
        <v>0</v>
      </c>
      <c r="R49" s="57">
        <f>SUM($D49:H49)</f>
        <v>0</v>
      </c>
      <c r="S49" s="57">
        <f>SUM($D49:I49)</f>
        <v>0</v>
      </c>
      <c r="T49" s="57">
        <f>SUM($D49:J49)</f>
        <v>0</v>
      </c>
      <c r="U49" s="20"/>
    </row>
    <row r="50" spans="1:21" x14ac:dyDescent="0.3">
      <c r="A50" s="72">
        <f t="shared" si="10"/>
        <v>0</v>
      </c>
      <c r="B50" s="69">
        <f t="shared" si="10"/>
        <v>0</v>
      </c>
      <c r="C50" s="71" t="e">
        <f>VLOOKUP($A25,CyberData!B:G,6,0)</f>
        <v>#N/A</v>
      </c>
      <c r="D50" s="71">
        <f>SUMIFS(CyberData!$H:$H,CyberData!$S:$S,SprintReview!$A50,CyberData!$G:$G,SprintReview!D$29,CyberData!$E:$E,"Done")</f>
        <v>0</v>
      </c>
      <c r="E50" s="71">
        <f>SUMIFS(CyberData!$H:$H,CyberData!$S:$S,SprintReview!$A50,CyberData!$G:$G,SprintReview!E$29,CyberData!$E:$E,"Done")</f>
        <v>0</v>
      </c>
      <c r="F50" s="71">
        <f>SUMIFS(CyberData!$H:$H,CyberData!$S:$S,SprintReview!$A50,CyberData!$G:$G,SprintReview!F$29,CyberData!$E:$E,"Done")</f>
        <v>0</v>
      </c>
      <c r="G50" s="71">
        <f>SUMIFS(CyberData!$H:$H,CyberData!$S:$S,SprintReview!$A50,CyberData!$G:$G,SprintReview!G$29,CyberData!$E:$E,"Done")</f>
        <v>0</v>
      </c>
      <c r="H50" s="71">
        <f>SUMIFS(CyberData!$H:$H,CyberData!$S:$S,SprintReview!$A50,CyberData!$G:$G,SprintReview!H$29,CyberData!$E:$E,"Done")</f>
        <v>0</v>
      </c>
      <c r="I50" s="71">
        <f>SUMIFS(CyberData!$H:$H,CyberData!$S:$S,SprintReview!$A50,CyberData!$G:$G,SprintReview!I$29,CyberData!$E:$E,"Done")</f>
        <v>0</v>
      </c>
      <c r="J50" s="71">
        <f>SUMIFS(CyberData!$H:$H,CyberData!$S:$S,SprintReview!$A50,CyberData!$G:$G,SprintReview!J$29,CyberData!$E:$E,"Done")</f>
        <v>0</v>
      </c>
      <c r="K50" s="20"/>
      <c r="M50" s="14">
        <f t="shared" si="11"/>
        <v>0</v>
      </c>
      <c r="N50" s="57">
        <f>SUM($D50:D50)</f>
        <v>0</v>
      </c>
      <c r="O50" s="57">
        <f>SUM($D50:E50)</f>
        <v>0</v>
      </c>
      <c r="P50" s="57">
        <f>SUM($D50:F50)</f>
        <v>0</v>
      </c>
      <c r="Q50" s="57">
        <f>SUM($D50:G50)</f>
        <v>0</v>
      </c>
      <c r="R50" s="57">
        <f>SUM($D50:H50)</f>
        <v>0</v>
      </c>
      <c r="S50" s="57">
        <f>SUM($D50:I50)</f>
        <v>0</v>
      </c>
      <c r="T50" s="57">
        <f>SUM($D50:J50)</f>
        <v>0</v>
      </c>
      <c r="U50" s="20"/>
    </row>
    <row r="51" spans="1:21" x14ac:dyDescent="0.3">
      <c r="A51" s="20"/>
      <c r="B51" s="20"/>
      <c r="C51" s="20"/>
      <c r="D51" s="20">
        <f>D46-D21</f>
        <v>0</v>
      </c>
      <c r="E51" s="20">
        <f t="shared" ref="E51:H51" si="12">E46-E21</f>
        <v>5</v>
      </c>
      <c r="F51" s="20">
        <f t="shared" si="12"/>
        <v>7</v>
      </c>
      <c r="G51" s="20">
        <f t="shared" si="12"/>
        <v>5</v>
      </c>
      <c r="H51" s="20">
        <f t="shared" si="12"/>
        <v>-6</v>
      </c>
      <c r="I51" s="20"/>
      <c r="J51" s="20"/>
      <c r="K51" s="20"/>
      <c r="N51" s="20"/>
      <c r="O51" s="20"/>
      <c r="P51" s="20"/>
      <c r="Q51" s="20"/>
      <c r="R51" s="20"/>
      <c r="S51" s="20"/>
      <c r="T51" s="20"/>
      <c r="U51" s="20"/>
    </row>
    <row r="52" spans="1:21" x14ac:dyDescent="0.3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N52" s="20"/>
      <c r="O52" s="20"/>
      <c r="P52" s="20"/>
      <c r="Q52" s="20"/>
      <c r="R52" s="20"/>
      <c r="S52" s="20"/>
      <c r="T52" s="20"/>
      <c r="U52" s="20"/>
    </row>
  </sheetData>
  <sortState ref="A5:A11">
    <sortCondition ref="A5"/>
  </sortState>
  <mergeCells count="2">
    <mergeCell ref="D3:E3"/>
    <mergeCell ref="F3:G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B8"/>
  <sheetViews>
    <sheetView topLeftCell="A4" workbookViewId="0">
      <selection activeCell="B17" sqref="B17"/>
    </sheetView>
  </sheetViews>
  <sheetFormatPr defaultRowHeight="14.4" x14ac:dyDescent="0.3"/>
  <cols>
    <col min="1" max="1" width="5.6640625" style="2" customWidth="1"/>
    <col min="2" max="2" width="101.44140625" customWidth="1"/>
  </cols>
  <sheetData>
    <row r="1" spans="1:2" x14ac:dyDescent="0.3">
      <c r="A1" s="15" t="s">
        <v>33</v>
      </c>
      <c r="B1" s="16" t="s">
        <v>34</v>
      </c>
    </row>
    <row r="2" spans="1:2" x14ac:dyDescent="0.3">
      <c r="A2" s="3">
        <v>1</v>
      </c>
      <c r="B2" s="4" t="s">
        <v>145</v>
      </c>
    </row>
    <row r="3" spans="1:2" x14ac:dyDescent="0.3">
      <c r="A3" s="3">
        <v>2</v>
      </c>
      <c r="B3" s="4" t="s">
        <v>35</v>
      </c>
    </row>
    <row r="4" spans="1:2" x14ac:dyDescent="0.3">
      <c r="A4" s="3">
        <v>3</v>
      </c>
      <c r="B4" s="4" t="s">
        <v>36</v>
      </c>
    </row>
    <row r="5" spans="1:2" x14ac:dyDescent="0.3">
      <c r="A5" s="3">
        <v>4</v>
      </c>
      <c r="B5" s="4" t="s">
        <v>183</v>
      </c>
    </row>
    <row r="6" spans="1:2" ht="206.4" customHeight="1" x14ac:dyDescent="0.3">
      <c r="A6" s="17">
        <v>5</v>
      </c>
      <c r="B6" s="18" t="s">
        <v>146</v>
      </c>
    </row>
    <row r="7" spans="1:2" ht="28.8" x14ac:dyDescent="0.3">
      <c r="A7" s="3">
        <v>6</v>
      </c>
      <c r="B7" s="19" t="s">
        <v>147</v>
      </c>
    </row>
    <row r="8" spans="1:2" ht="43.2" x14ac:dyDescent="0.3">
      <c r="A8" s="3">
        <v>7</v>
      </c>
      <c r="B8" s="19" t="s">
        <v>148</v>
      </c>
    </row>
  </sheetData>
  <sheetProtection sheet="1" objects="1" scenarios="1"/>
  <customSheetViews>
    <customSheetView guid="{31FA9DD3-B818-410A-9EF7-90B6C16B950C}">
      <selection activeCell="K6" sqref="K6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F12"/>
  <sheetViews>
    <sheetView workbookViewId="0">
      <selection activeCell="D26" sqref="D26"/>
    </sheetView>
  </sheetViews>
  <sheetFormatPr defaultColWidth="8.88671875" defaultRowHeight="14.4" x14ac:dyDescent="0.3"/>
  <cols>
    <col min="1" max="1" width="14" style="20" customWidth="1"/>
    <col min="2" max="3" width="33.6640625" style="20" customWidth="1"/>
    <col min="4" max="4" width="11.6640625" style="20" customWidth="1"/>
    <col min="5" max="5" width="10.33203125" style="20" customWidth="1"/>
    <col min="6" max="6" width="40.5546875" style="20" customWidth="1"/>
    <col min="7" max="16384" width="8.88671875" style="20"/>
  </cols>
  <sheetData>
    <row r="1" spans="1:6" x14ac:dyDescent="0.3">
      <c r="A1" s="20" t="s">
        <v>1435</v>
      </c>
      <c r="B1" s="20" t="s">
        <v>1434</v>
      </c>
      <c r="C1" s="20" t="s">
        <v>1433</v>
      </c>
      <c r="D1" s="20" t="s">
        <v>1432</v>
      </c>
      <c r="E1" s="20" t="s">
        <v>1431</v>
      </c>
      <c r="F1" s="20" t="s">
        <v>1430</v>
      </c>
    </row>
    <row r="2" spans="1:6" x14ac:dyDescent="0.3">
      <c r="A2" s="20" t="s">
        <v>262</v>
      </c>
      <c r="C2" s="75"/>
      <c r="F2" s="75"/>
    </row>
    <row r="3" spans="1:6" x14ac:dyDescent="0.3">
      <c r="A3" s="20" t="s">
        <v>262</v>
      </c>
      <c r="C3" s="75"/>
      <c r="F3" s="75"/>
    </row>
    <row r="4" spans="1:6" x14ac:dyDescent="0.3">
      <c r="A4" s="20" t="s">
        <v>262</v>
      </c>
      <c r="C4" s="75"/>
      <c r="F4" s="75"/>
    </row>
    <row r="5" spans="1:6" x14ac:dyDescent="0.3">
      <c r="A5" s="20" t="s">
        <v>262</v>
      </c>
      <c r="C5" s="75"/>
      <c r="F5" s="75"/>
    </row>
    <row r="6" spans="1:6" x14ac:dyDescent="0.3">
      <c r="A6" s="20" t="s">
        <v>262</v>
      </c>
      <c r="C6" s="75"/>
      <c r="F6" s="75"/>
    </row>
    <row r="7" spans="1:6" x14ac:dyDescent="0.3">
      <c r="A7" s="20" t="s">
        <v>262</v>
      </c>
      <c r="C7" s="75"/>
      <c r="F7" s="75"/>
    </row>
    <row r="8" spans="1:6" x14ac:dyDescent="0.3">
      <c r="A8" s="20" t="s">
        <v>262</v>
      </c>
      <c r="C8" s="75"/>
      <c r="F8" s="75"/>
    </row>
    <row r="9" spans="1:6" x14ac:dyDescent="0.3">
      <c r="A9" s="20" t="s">
        <v>262</v>
      </c>
      <c r="C9" s="75"/>
      <c r="F9" s="75"/>
    </row>
    <row r="10" spans="1:6" x14ac:dyDescent="0.3">
      <c r="A10" s="20" t="s">
        <v>262</v>
      </c>
      <c r="C10" s="75"/>
      <c r="F10" s="75"/>
    </row>
    <row r="11" spans="1:6" x14ac:dyDescent="0.3">
      <c r="A11" s="20" t="s">
        <v>262</v>
      </c>
      <c r="C11" s="75"/>
      <c r="F11" s="75"/>
    </row>
    <row r="12" spans="1:6" x14ac:dyDescent="0.3">
      <c r="A12" s="20" t="s">
        <v>262</v>
      </c>
      <c r="C12" s="75"/>
      <c r="F12" s="75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66"/>
  <sheetViews>
    <sheetView workbookViewId="0">
      <selection activeCell="P8" sqref="P8"/>
    </sheetView>
  </sheetViews>
  <sheetFormatPr defaultRowHeight="14.4" x14ac:dyDescent="0.3"/>
  <cols>
    <col min="1" max="1" width="18.44140625" style="20" customWidth="1"/>
    <col min="2" max="2" width="8.88671875" style="8"/>
    <col min="3" max="3" width="13.6640625" style="20" customWidth="1"/>
    <col min="4" max="4" width="4.33203125" customWidth="1"/>
    <col min="5" max="5" width="17.33203125" style="20" customWidth="1"/>
    <col min="7" max="7" width="12.33203125" customWidth="1"/>
  </cols>
  <sheetData>
    <row r="1" spans="1:8" ht="15" thickBot="1" x14ac:dyDescent="0.35"/>
    <row r="2" spans="1:8" ht="15" thickBot="1" x14ac:dyDescent="0.35">
      <c r="A2" s="48" t="s">
        <v>161</v>
      </c>
      <c r="B2" s="43" t="s">
        <v>99</v>
      </c>
      <c r="C2" s="44" t="s">
        <v>100</v>
      </c>
      <c r="E2" s="48" t="s">
        <v>162</v>
      </c>
      <c r="F2" s="43" t="s">
        <v>99</v>
      </c>
      <c r="G2" s="44" t="s">
        <v>100</v>
      </c>
      <c r="H2" s="20"/>
    </row>
    <row r="3" spans="1:8" x14ac:dyDescent="0.3">
      <c r="A3" s="26" t="s">
        <v>155</v>
      </c>
      <c r="B3" s="36">
        <v>3</v>
      </c>
      <c r="C3" s="26"/>
      <c r="E3" s="4" t="s">
        <v>155</v>
      </c>
      <c r="F3" s="10">
        <v>2</v>
      </c>
      <c r="G3" s="4"/>
      <c r="H3" s="20"/>
    </row>
    <row r="4" spans="1:8" x14ac:dyDescent="0.3">
      <c r="A4" s="4" t="s">
        <v>90</v>
      </c>
      <c r="B4" s="10">
        <v>4</v>
      </c>
      <c r="C4" s="4"/>
      <c r="E4" s="4" t="s">
        <v>90</v>
      </c>
      <c r="F4" s="10">
        <v>4</v>
      </c>
      <c r="G4" s="4"/>
      <c r="H4" s="20"/>
    </row>
    <row r="5" spans="1:8" x14ac:dyDescent="0.3">
      <c r="A5" s="4" t="s">
        <v>54</v>
      </c>
      <c r="B5" s="10">
        <v>8</v>
      </c>
      <c r="C5" s="4"/>
      <c r="E5" s="4" t="s">
        <v>54</v>
      </c>
      <c r="F5" s="10">
        <v>8</v>
      </c>
      <c r="G5" s="4"/>
      <c r="H5" s="20"/>
    </row>
    <row r="6" spans="1:8" x14ac:dyDescent="0.3">
      <c r="A6" s="4" t="s">
        <v>56</v>
      </c>
      <c r="B6" s="10">
        <v>8</v>
      </c>
      <c r="C6" s="4"/>
      <c r="E6" s="4" t="s">
        <v>56</v>
      </c>
      <c r="F6" s="10">
        <v>8</v>
      </c>
      <c r="G6" s="4"/>
      <c r="H6" s="20"/>
    </row>
    <row r="7" spans="1:8" x14ac:dyDescent="0.3">
      <c r="A7" s="4" t="s">
        <v>154</v>
      </c>
      <c r="B7" s="10">
        <v>4</v>
      </c>
      <c r="C7" s="4"/>
      <c r="E7" s="4" t="s">
        <v>154</v>
      </c>
      <c r="F7" s="10">
        <v>8</v>
      </c>
      <c r="G7" s="4"/>
      <c r="H7" s="20"/>
    </row>
    <row r="8" spans="1:8" x14ac:dyDescent="0.3">
      <c r="A8" s="4" t="s">
        <v>55</v>
      </c>
      <c r="B8" s="10">
        <v>7</v>
      </c>
      <c r="C8" s="4"/>
      <c r="E8" s="4" t="s">
        <v>55</v>
      </c>
      <c r="F8" s="10">
        <v>8</v>
      </c>
      <c r="G8" s="4"/>
      <c r="H8" s="20"/>
    </row>
    <row r="9" spans="1:8" x14ac:dyDescent="0.3">
      <c r="A9" s="4" t="s">
        <v>102</v>
      </c>
      <c r="B9" s="10">
        <v>8</v>
      </c>
      <c r="C9" s="4"/>
      <c r="E9" s="4" t="s">
        <v>102</v>
      </c>
      <c r="F9" s="10">
        <v>8</v>
      </c>
      <c r="G9" s="4"/>
      <c r="H9" s="20"/>
    </row>
    <row r="10" spans="1:8" x14ac:dyDescent="0.3">
      <c r="A10" s="4" t="s">
        <v>87</v>
      </c>
      <c r="B10" s="10">
        <v>6</v>
      </c>
      <c r="C10" s="4"/>
      <c r="E10" s="4" t="s">
        <v>87</v>
      </c>
      <c r="F10" s="10">
        <v>8</v>
      </c>
      <c r="G10" s="4"/>
      <c r="H10" s="20"/>
    </row>
    <row r="11" spans="1:8" s="20" customFormat="1" x14ac:dyDescent="0.3">
      <c r="A11" s="4" t="s">
        <v>168</v>
      </c>
      <c r="B11" s="10"/>
      <c r="C11" s="4"/>
      <c r="E11" s="4" t="s">
        <v>168</v>
      </c>
      <c r="F11" s="10">
        <v>8</v>
      </c>
      <c r="G11" s="4"/>
    </row>
    <row r="12" spans="1:8" x14ac:dyDescent="0.3">
      <c r="A12" s="3" t="s">
        <v>42</v>
      </c>
      <c r="B12" s="10">
        <f>SUM(B3:B10)</f>
        <v>48</v>
      </c>
      <c r="C12" s="4"/>
      <c r="E12" s="3" t="s">
        <v>42</v>
      </c>
      <c r="F12" s="10">
        <f>SUM(F3:F11)</f>
        <v>62</v>
      </c>
      <c r="G12" s="4"/>
      <c r="H12" s="20"/>
    </row>
    <row r="13" spans="1:8" ht="15" thickBot="1" x14ac:dyDescent="0.35">
      <c r="F13" s="8"/>
      <c r="G13" s="20"/>
    </row>
    <row r="14" spans="1:8" ht="15" thickBot="1" x14ac:dyDescent="0.35">
      <c r="A14" s="48" t="s">
        <v>163</v>
      </c>
      <c r="B14" s="43" t="s">
        <v>99</v>
      </c>
      <c r="C14" s="44" t="s">
        <v>100</v>
      </c>
      <c r="E14" s="48" t="s">
        <v>164</v>
      </c>
      <c r="F14" s="43" t="s">
        <v>99</v>
      </c>
      <c r="G14" s="44" t="s">
        <v>100</v>
      </c>
    </row>
    <row r="15" spans="1:8" x14ac:dyDescent="0.3">
      <c r="A15" s="4" t="s">
        <v>155</v>
      </c>
      <c r="B15" s="10">
        <v>3</v>
      </c>
      <c r="C15" s="4"/>
      <c r="E15" s="4" t="s">
        <v>155</v>
      </c>
      <c r="F15" s="10">
        <v>2</v>
      </c>
      <c r="G15" s="4"/>
    </row>
    <row r="16" spans="1:8" x14ac:dyDescent="0.3">
      <c r="A16" s="4" t="s">
        <v>90</v>
      </c>
      <c r="B16" s="10">
        <v>4</v>
      </c>
      <c r="C16" s="4"/>
      <c r="E16" s="4" t="s">
        <v>90</v>
      </c>
      <c r="F16" s="10">
        <v>6</v>
      </c>
      <c r="G16" s="4"/>
    </row>
    <row r="17" spans="1:14" x14ac:dyDescent="0.3">
      <c r="A17" s="4" t="s">
        <v>54</v>
      </c>
      <c r="B17" s="10">
        <v>8</v>
      </c>
      <c r="C17" s="4"/>
      <c r="E17" s="4" t="s">
        <v>54</v>
      </c>
      <c r="F17" s="10">
        <v>8</v>
      </c>
      <c r="G17" s="4"/>
    </row>
    <row r="18" spans="1:14" x14ac:dyDescent="0.3">
      <c r="A18" s="4" t="s">
        <v>56</v>
      </c>
      <c r="B18" s="10">
        <v>8</v>
      </c>
      <c r="C18" s="4"/>
      <c r="E18" s="4" t="s">
        <v>56</v>
      </c>
      <c r="F18" s="10">
        <v>8</v>
      </c>
      <c r="G18" s="4"/>
    </row>
    <row r="19" spans="1:14" x14ac:dyDescent="0.3">
      <c r="A19" s="4" t="s">
        <v>154</v>
      </c>
      <c r="B19" s="10">
        <v>8</v>
      </c>
      <c r="C19" s="4"/>
      <c r="E19" s="4" t="s">
        <v>154</v>
      </c>
      <c r="F19" s="10">
        <v>8</v>
      </c>
      <c r="G19" s="4"/>
    </row>
    <row r="20" spans="1:14" x14ac:dyDescent="0.3">
      <c r="A20" s="4" t="s">
        <v>55</v>
      </c>
      <c r="B20" s="10">
        <v>7</v>
      </c>
      <c r="C20" s="4"/>
      <c r="E20" s="4" t="s">
        <v>55</v>
      </c>
      <c r="F20" s="10">
        <v>7</v>
      </c>
      <c r="G20" s="4"/>
    </row>
    <row r="21" spans="1:14" x14ac:dyDescent="0.3">
      <c r="A21" s="4" t="s">
        <v>102</v>
      </c>
      <c r="B21" s="10">
        <v>7</v>
      </c>
      <c r="C21" s="4"/>
      <c r="E21" s="4" t="s">
        <v>102</v>
      </c>
      <c r="F21" s="10">
        <v>8</v>
      </c>
      <c r="G21" s="4"/>
    </row>
    <row r="22" spans="1:14" x14ac:dyDescent="0.3">
      <c r="A22" s="4" t="s">
        <v>87</v>
      </c>
      <c r="B22" s="10">
        <v>7</v>
      </c>
      <c r="C22" s="4"/>
      <c r="E22" s="4" t="s">
        <v>87</v>
      </c>
      <c r="F22" s="10">
        <v>8</v>
      </c>
      <c r="G22" s="4"/>
      <c r="J22" s="20"/>
      <c r="K22" s="20"/>
      <c r="L22" s="20"/>
      <c r="M22" s="20"/>
      <c r="N22" s="20"/>
    </row>
    <row r="23" spans="1:14" s="20" customFormat="1" x14ac:dyDescent="0.3">
      <c r="A23" s="4" t="s">
        <v>168</v>
      </c>
      <c r="B23" s="10"/>
      <c r="C23" s="4"/>
      <c r="E23" s="4" t="s">
        <v>168</v>
      </c>
      <c r="F23" s="10">
        <v>8</v>
      </c>
      <c r="G23" s="4"/>
    </row>
    <row r="24" spans="1:14" x14ac:dyDescent="0.3">
      <c r="A24" s="3" t="s">
        <v>42</v>
      </c>
      <c r="B24" s="10">
        <f>SUM(B15:B22)</f>
        <v>52</v>
      </c>
      <c r="C24" s="4"/>
      <c r="E24" s="3" t="s">
        <v>42</v>
      </c>
      <c r="F24" s="10">
        <f>SUM(F15:F23)</f>
        <v>63</v>
      </c>
      <c r="G24" s="4"/>
      <c r="J24" s="20"/>
      <c r="K24" s="20"/>
      <c r="L24" s="20"/>
      <c r="M24" s="20"/>
      <c r="N24" s="20"/>
    </row>
    <row r="25" spans="1:14" ht="15" thickBot="1" x14ac:dyDescent="0.35">
      <c r="F25" s="8"/>
      <c r="G25" s="20"/>
      <c r="J25" s="20"/>
      <c r="K25" s="20"/>
      <c r="L25" s="20"/>
      <c r="M25" s="20"/>
      <c r="N25" s="20"/>
    </row>
    <row r="26" spans="1:14" ht="15" thickBot="1" x14ac:dyDescent="0.35">
      <c r="A26" s="42" t="s">
        <v>165</v>
      </c>
      <c r="B26" s="43" t="s">
        <v>99</v>
      </c>
      <c r="C26" s="44" t="s">
        <v>100</v>
      </c>
      <c r="E26" s="42" t="s">
        <v>166</v>
      </c>
      <c r="F26" s="43" t="s">
        <v>99</v>
      </c>
      <c r="G26" s="44" t="s">
        <v>100</v>
      </c>
      <c r="J26" s="20"/>
      <c r="K26" s="20"/>
      <c r="L26" s="20"/>
      <c r="M26" s="20"/>
      <c r="N26" s="20"/>
    </row>
    <row r="27" spans="1:14" x14ac:dyDescent="0.3">
      <c r="A27" s="4" t="s">
        <v>155</v>
      </c>
      <c r="B27" s="10">
        <v>3</v>
      </c>
      <c r="C27" s="4"/>
      <c r="E27" s="4" t="s">
        <v>155</v>
      </c>
      <c r="F27" s="10">
        <v>3</v>
      </c>
      <c r="G27" s="4"/>
      <c r="J27" s="20"/>
      <c r="K27" s="20"/>
      <c r="L27" s="20"/>
      <c r="M27" s="20"/>
      <c r="N27" s="20"/>
    </row>
    <row r="28" spans="1:14" x14ac:dyDescent="0.3">
      <c r="A28" s="4" t="s">
        <v>90</v>
      </c>
      <c r="B28" s="10">
        <v>4</v>
      </c>
      <c r="C28" s="4"/>
      <c r="E28" s="4" t="s">
        <v>90</v>
      </c>
      <c r="F28" s="10">
        <v>8</v>
      </c>
      <c r="G28" s="4"/>
      <c r="J28" s="20"/>
      <c r="K28" s="20"/>
      <c r="L28" s="20"/>
      <c r="M28" s="20"/>
      <c r="N28" s="20"/>
    </row>
    <row r="29" spans="1:14" x14ac:dyDescent="0.3">
      <c r="A29" s="4" t="s">
        <v>54</v>
      </c>
      <c r="B29" s="10">
        <v>8</v>
      </c>
      <c r="C29" s="4"/>
      <c r="E29" s="4" t="s">
        <v>54</v>
      </c>
      <c r="F29" s="10">
        <v>0</v>
      </c>
      <c r="G29" s="4"/>
      <c r="J29" s="20"/>
      <c r="K29" s="20"/>
      <c r="L29" s="20"/>
      <c r="M29" s="20"/>
      <c r="N29" s="20"/>
    </row>
    <row r="30" spans="1:14" x14ac:dyDescent="0.3">
      <c r="A30" s="4" t="s">
        <v>56</v>
      </c>
      <c r="B30" s="10">
        <v>8</v>
      </c>
      <c r="C30" s="4"/>
      <c r="E30" s="4" t="s">
        <v>56</v>
      </c>
      <c r="F30" s="10">
        <v>8</v>
      </c>
      <c r="G30" s="4"/>
      <c r="J30" s="20"/>
      <c r="K30" s="20"/>
      <c r="L30" s="20"/>
      <c r="M30" s="20"/>
      <c r="N30" s="20"/>
    </row>
    <row r="31" spans="1:14" x14ac:dyDescent="0.3">
      <c r="A31" s="4" t="s">
        <v>154</v>
      </c>
      <c r="B31" s="10">
        <v>8</v>
      </c>
      <c r="C31" s="4"/>
      <c r="E31" s="4" t="s">
        <v>154</v>
      </c>
      <c r="F31" s="10">
        <v>0</v>
      </c>
      <c r="G31" s="4"/>
      <c r="J31" s="20"/>
      <c r="K31" s="20"/>
      <c r="L31" s="20"/>
      <c r="M31" s="20"/>
      <c r="N31" s="20"/>
    </row>
    <row r="32" spans="1:14" x14ac:dyDescent="0.3">
      <c r="A32" s="4" t="s">
        <v>55</v>
      </c>
      <c r="B32" s="10">
        <v>8</v>
      </c>
      <c r="C32" s="4"/>
      <c r="E32" s="4" t="s">
        <v>55</v>
      </c>
      <c r="F32" s="10">
        <v>2</v>
      </c>
      <c r="G32" s="4"/>
      <c r="J32" s="20"/>
      <c r="K32" s="20"/>
      <c r="L32" s="20"/>
      <c r="M32" s="20"/>
      <c r="N32" s="20"/>
    </row>
    <row r="33" spans="1:15" x14ac:dyDescent="0.3">
      <c r="A33" s="4" t="s">
        <v>102</v>
      </c>
      <c r="B33" s="10">
        <v>8</v>
      </c>
      <c r="C33" s="4"/>
      <c r="D33" s="20"/>
      <c r="E33" s="4" t="s">
        <v>102</v>
      </c>
      <c r="F33" s="10">
        <v>6</v>
      </c>
      <c r="G33" s="4"/>
      <c r="J33" s="20"/>
      <c r="K33" s="20"/>
      <c r="L33" s="20"/>
      <c r="M33" s="20"/>
      <c r="N33" s="20"/>
    </row>
    <row r="34" spans="1:15" x14ac:dyDescent="0.3">
      <c r="A34" s="4" t="s">
        <v>87</v>
      </c>
      <c r="B34" s="10">
        <v>8</v>
      </c>
      <c r="C34" s="4"/>
      <c r="D34" s="20"/>
      <c r="E34" s="4" t="s">
        <v>87</v>
      </c>
      <c r="F34" s="10">
        <v>0</v>
      </c>
      <c r="G34" s="4"/>
      <c r="J34" s="20"/>
      <c r="K34" s="20"/>
      <c r="L34" s="20"/>
      <c r="M34" s="20"/>
      <c r="N34" s="20"/>
    </row>
    <row r="35" spans="1:15" s="20" customFormat="1" x14ac:dyDescent="0.3">
      <c r="A35" s="4" t="s">
        <v>168</v>
      </c>
      <c r="B35" s="10">
        <v>0</v>
      </c>
      <c r="C35" s="4"/>
      <c r="E35" s="4" t="s">
        <v>168</v>
      </c>
      <c r="F35" s="10">
        <v>8</v>
      </c>
      <c r="G35" s="4"/>
    </row>
    <row r="36" spans="1:15" x14ac:dyDescent="0.3">
      <c r="A36" s="3" t="s">
        <v>42</v>
      </c>
      <c r="B36" s="10">
        <f>SUM(B27:B35)</f>
        <v>55</v>
      </c>
      <c r="C36" s="4"/>
      <c r="D36" s="20"/>
      <c r="E36" s="3" t="s">
        <v>42</v>
      </c>
      <c r="F36" s="10">
        <f>SUM(F27:F35)</f>
        <v>35</v>
      </c>
      <c r="G36" s="4"/>
      <c r="J36" s="20"/>
      <c r="K36" s="20"/>
      <c r="L36" s="20"/>
      <c r="M36" s="20"/>
      <c r="N36" s="20"/>
    </row>
    <row r="37" spans="1:15" ht="15" thickBot="1" x14ac:dyDescent="0.35">
      <c r="F37" s="8"/>
      <c r="G37" s="20"/>
      <c r="J37" s="20"/>
      <c r="K37" s="20"/>
      <c r="L37" s="20"/>
      <c r="M37" s="20"/>
      <c r="N37" s="20"/>
    </row>
    <row r="38" spans="1:15" ht="15" thickBot="1" x14ac:dyDescent="0.35">
      <c r="A38" s="42" t="s">
        <v>167</v>
      </c>
      <c r="B38" s="43" t="s">
        <v>99</v>
      </c>
      <c r="C38" s="44" t="s">
        <v>100</v>
      </c>
      <c r="F38" s="8"/>
      <c r="G38" s="20"/>
      <c r="J38" s="20"/>
      <c r="K38" s="20"/>
      <c r="L38" s="20"/>
      <c r="M38" s="20"/>
      <c r="N38" s="20"/>
    </row>
    <row r="39" spans="1:15" x14ac:dyDescent="0.3">
      <c r="A39" s="4" t="s">
        <v>155</v>
      </c>
      <c r="B39" s="10">
        <v>3</v>
      </c>
      <c r="C39" s="4"/>
      <c r="F39" s="8"/>
      <c r="G39" s="20"/>
      <c r="J39" s="20"/>
      <c r="K39" s="20"/>
      <c r="L39" s="20"/>
      <c r="M39" s="20"/>
      <c r="N39" s="20"/>
    </row>
    <row r="40" spans="1:15" x14ac:dyDescent="0.3">
      <c r="A40" s="4" t="s">
        <v>90</v>
      </c>
      <c r="B40" s="10">
        <v>3</v>
      </c>
      <c r="C40" s="4"/>
      <c r="D40" s="20"/>
      <c r="F40" s="8"/>
      <c r="G40" s="20"/>
      <c r="H40" s="20"/>
      <c r="I40" s="20"/>
      <c r="J40" s="20"/>
      <c r="K40" s="20"/>
      <c r="L40" s="20"/>
      <c r="M40" s="20"/>
      <c r="N40" s="20"/>
      <c r="O40" s="20"/>
    </row>
    <row r="41" spans="1:15" x14ac:dyDescent="0.3">
      <c r="A41" s="4" t="s">
        <v>54</v>
      </c>
      <c r="B41" s="10">
        <v>7</v>
      </c>
      <c r="C41" s="4"/>
      <c r="D41" s="20"/>
      <c r="F41" s="8"/>
      <c r="G41" s="20"/>
      <c r="H41" s="20"/>
      <c r="I41" s="20"/>
      <c r="J41" s="20"/>
      <c r="K41" s="20"/>
      <c r="L41" s="20"/>
      <c r="M41" s="20"/>
      <c r="N41" s="20"/>
      <c r="O41" s="20"/>
    </row>
    <row r="42" spans="1:15" x14ac:dyDescent="0.3">
      <c r="A42" s="4" t="s">
        <v>56</v>
      </c>
      <c r="B42" s="10">
        <v>7</v>
      </c>
      <c r="C42" s="4"/>
      <c r="D42" s="20"/>
      <c r="F42" s="8"/>
      <c r="G42" s="20"/>
      <c r="H42" s="20"/>
      <c r="I42" s="20"/>
      <c r="J42" s="20"/>
      <c r="K42" s="20"/>
      <c r="L42" s="20"/>
      <c r="M42" s="20"/>
      <c r="N42" s="20"/>
      <c r="O42" s="20"/>
    </row>
    <row r="43" spans="1:15" x14ac:dyDescent="0.3">
      <c r="A43" s="4" t="s">
        <v>154</v>
      </c>
      <c r="B43" s="10">
        <v>7</v>
      </c>
      <c r="C43" s="4"/>
      <c r="D43" s="20"/>
      <c r="F43" s="8"/>
      <c r="G43" s="20"/>
      <c r="H43" s="20"/>
      <c r="I43" s="20"/>
      <c r="J43" s="20"/>
      <c r="K43" s="20"/>
      <c r="L43" s="20"/>
      <c r="M43" s="20"/>
      <c r="N43" s="20"/>
      <c r="O43" s="20"/>
    </row>
    <row r="44" spans="1:15" x14ac:dyDescent="0.3">
      <c r="A44" s="4" t="s">
        <v>55</v>
      </c>
      <c r="B44" s="10">
        <v>6</v>
      </c>
      <c r="C44" s="4"/>
      <c r="D44" s="20"/>
      <c r="F44" s="8"/>
      <c r="G44" s="20"/>
      <c r="H44" s="20"/>
      <c r="I44" s="20"/>
      <c r="J44" s="20"/>
      <c r="K44" s="20"/>
      <c r="L44" s="20"/>
      <c r="M44" s="20"/>
      <c r="N44" s="20"/>
      <c r="O44" s="20"/>
    </row>
    <row r="45" spans="1:15" x14ac:dyDescent="0.3">
      <c r="A45" s="4" t="s">
        <v>102</v>
      </c>
      <c r="B45" s="10">
        <v>7</v>
      </c>
      <c r="C45" s="4"/>
      <c r="D45" s="20"/>
      <c r="F45" s="8"/>
      <c r="G45" s="20"/>
      <c r="H45" s="20"/>
      <c r="I45" s="20"/>
      <c r="J45" s="20"/>
      <c r="K45" s="20"/>
      <c r="L45" s="20"/>
      <c r="M45" s="20"/>
      <c r="N45" s="20"/>
      <c r="O45" s="20"/>
    </row>
    <row r="46" spans="1:15" x14ac:dyDescent="0.3">
      <c r="A46" s="4" t="s">
        <v>87</v>
      </c>
      <c r="B46" s="10">
        <v>7</v>
      </c>
      <c r="C46" s="4"/>
      <c r="D46" s="20"/>
      <c r="F46" s="8"/>
      <c r="G46" s="20"/>
      <c r="H46" s="20"/>
      <c r="I46" s="20"/>
      <c r="J46" s="20"/>
      <c r="K46" s="20"/>
      <c r="L46" s="20"/>
      <c r="M46" s="20"/>
      <c r="N46" s="20"/>
      <c r="O46" s="20"/>
    </row>
    <row r="47" spans="1:15" s="20" customFormat="1" x14ac:dyDescent="0.3">
      <c r="A47" s="4" t="s">
        <v>168</v>
      </c>
      <c r="B47" s="10">
        <v>7</v>
      </c>
      <c r="C47" s="4"/>
      <c r="F47" s="8"/>
    </row>
    <row r="48" spans="1:15" x14ac:dyDescent="0.3">
      <c r="A48" s="3" t="s">
        <v>42</v>
      </c>
      <c r="B48" s="10">
        <f>SUM(B39:B47)</f>
        <v>54</v>
      </c>
      <c r="C48" s="4"/>
      <c r="D48" s="20"/>
      <c r="F48" s="8"/>
      <c r="G48" s="20"/>
      <c r="H48" s="20"/>
      <c r="I48" s="20"/>
      <c r="J48" s="20"/>
      <c r="K48" s="20"/>
      <c r="L48" s="20"/>
      <c r="M48" s="20"/>
      <c r="N48" s="20"/>
      <c r="O48" s="20"/>
    </row>
    <row r="49" spans="2:8" s="20" customFormat="1" x14ac:dyDescent="0.3">
      <c r="B49" s="8"/>
      <c r="F49" s="8"/>
    </row>
    <row r="50" spans="2:8" s="20" customFormat="1" x14ac:dyDescent="0.3">
      <c r="F50" s="8"/>
      <c r="H50"/>
    </row>
    <row r="51" spans="2:8" s="20" customFormat="1" x14ac:dyDescent="0.3">
      <c r="F51" s="8"/>
      <c r="H51"/>
    </row>
    <row r="52" spans="2:8" s="20" customFormat="1" x14ac:dyDescent="0.3">
      <c r="F52" s="8"/>
      <c r="H52"/>
    </row>
    <row r="53" spans="2:8" s="20" customFormat="1" x14ac:dyDescent="0.3">
      <c r="F53" s="8"/>
      <c r="H53"/>
    </row>
    <row r="54" spans="2:8" s="20" customFormat="1" x14ac:dyDescent="0.3">
      <c r="F54" s="8"/>
      <c r="H54"/>
    </row>
    <row r="55" spans="2:8" s="20" customFormat="1" x14ac:dyDescent="0.3">
      <c r="F55" s="8"/>
      <c r="H55"/>
    </row>
    <row r="56" spans="2:8" s="20" customFormat="1" x14ac:dyDescent="0.3">
      <c r="F56" s="8"/>
      <c r="H56"/>
    </row>
    <row r="57" spans="2:8" s="20" customFormat="1" x14ac:dyDescent="0.3">
      <c r="F57" s="8"/>
      <c r="H57"/>
    </row>
    <row r="58" spans="2:8" s="20" customFormat="1" x14ac:dyDescent="0.3">
      <c r="F58" s="8"/>
      <c r="H58"/>
    </row>
    <row r="59" spans="2:8" s="20" customFormat="1" x14ac:dyDescent="0.3">
      <c r="F59" s="8"/>
      <c r="H59"/>
    </row>
    <row r="60" spans="2:8" x14ac:dyDescent="0.3">
      <c r="F60" s="8"/>
      <c r="G60" s="20"/>
    </row>
    <row r="61" spans="2:8" x14ac:dyDescent="0.3">
      <c r="F61" s="8"/>
      <c r="G61" s="20"/>
    </row>
    <row r="62" spans="2:8" x14ac:dyDescent="0.3">
      <c r="F62" s="8"/>
      <c r="G62" s="20"/>
    </row>
    <row r="63" spans="2:8" x14ac:dyDescent="0.3">
      <c r="F63" s="8"/>
      <c r="G63" s="20"/>
    </row>
    <row r="64" spans="2:8" x14ac:dyDescent="0.3">
      <c r="F64" s="8"/>
      <c r="G64" s="20"/>
    </row>
    <row r="65" spans="6:7" x14ac:dyDescent="0.3">
      <c r="F65" s="8"/>
      <c r="G65" s="20"/>
    </row>
    <row r="66" spans="6:7" x14ac:dyDescent="0.3">
      <c r="F66" s="8"/>
      <c r="G66" s="20"/>
    </row>
  </sheetData>
  <sortState ref="E13:G22">
    <sortCondition ref="E57"/>
  </sortState>
  <pageMargins left="0.7" right="0.7" top="0.75" bottom="1.25" header="0.3" footer="0.3"/>
  <pageSetup scale="130" fitToHeight="5" orientation="landscape" r:id="rId1"/>
  <rowBreaks count="2" manualBreakCount="2">
    <brk id="24" max="16383" man="1"/>
    <brk id="4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B41D25D924764489E6FFC3F6FE64D1" ma:contentTypeVersion="2" ma:contentTypeDescription="Create a new document." ma:contentTypeScope="" ma:versionID="fa7a0da0b166a7ce23d1c88030c5053b">
  <xsd:schema xmlns:xsd="http://www.w3.org/2001/XMLSchema" xmlns:xs="http://www.w3.org/2001/XMLSchema" xmlns:p="http://schemas.microsoft.com/office/2006/metadata/properties" xmlns:ns2="8b3487c1-04d9-4580-816f-65f73cd6f614" xmlns:ns3="http://schemas.microsoft.com/sharepoint/v4" targetNamespace="http://schemas.microsoft.com/office/2006/metadata/properties" ma:root="true" ma:fieldsID="cae77e289ed6ae3302dadf82c092ac6a" ns2:_="" ns3:_="">
    <xsd:import namespace="8b3487c1-04d9-4580-816f-65f73cd6f61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Posting" minOccurs="0"/>
                <xsd:element ref="ns3:IconOverlay" minOccurs="0"/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b3487c1-04d9-4580-816f-65f73cd6f614" elementFormDefault="qualified">
    <xsd:import namespace="http://schemas.microsoft.com/office/2006/documentManagement/types"/>
    <xsd:import namespace="http://schemas.microsoft.com/office/infopath/2007/PartnerControls"/>
    <xsd:element name="Posting" ma:index="8" nillable="true" ma:displayName="Posting" ma:default="GD Only" ma:description="Where is document posted?" ma:format="Dropdown" ma:internalName="Posting" ma:readOnly="false">
      <xsd:simpleType>
        <xsd:restriction base="dms:Choice">
          <xsd:enumeration value="GD Only"/>
          <xsd:enumeration value="To Post to LM"/>
          <xsd:enumeration value="Posted to LM"/>
        </xsd:restriction>
      </xsd:simpleType>
    </xsd:element>
    <xsd:element name="SharedWithUsers" ma:index="10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9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  <Posting xmlns="8b3487c1-04d9-4580-816f-65f73cd6f614">GD Only</Posting>
  </documentManagement>
</p:properties>
</file>

<file path=customXml/itemProps1.xml><?xml version="1.0" encoding="utf-8"?>
<ds:datastoreItem xmlns:ds="http://schemas.openxmlformats.org/officeDocument/2006/customXml" ds:itemID="{88F35996-E567-4DB2-8314-03C9452F006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b3487c1-04d9-4580-816f-65f73cd6f61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59C3D66-52DE-404D-9B31-AC0AE770A05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3645488-DA21-4A2E-B702-54BDF91A8EDE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schemas.microsoft.com/office/infopath/2007/PartnerControls"/>
    <ds:schemaRef ds:uri="http://schemas.microsoft.com/sharepoint/v4"/>
    <ds:schemaRef ds:uri="http://purl.org/dc/terms/"/>
    <ds:schemaRef ds:uri="8b3487c1-04d9-4580-816f-65f73cd6f614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CyberData</vt:lpstr>
      <vt:lpstr>lookups</vt:lpstr>
      <vt:lpstr>Pivot</vt:lpstr>
      <vt:lpstr>SprintReview</vt:lpstr>
      <vt:lpstr>Instructions</vt:lpstr>
      <vt:lpstr>Innovation</vt:lpstr>
      <vt:lpstr>capacity</vt:lpstr>
      <vt:lpstr>capacity!Print_Area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CSE spreadsheet for daily Scrums</dc:title>
  <dc:creator>Stymfal, Greg-P57263</dc:creator>
  <cp:lastModifiedBy>Cottle, Richard (NE)</cp:lastModifiedBy>
  <cp:lastPrinted>2019-07-11T23:08:18Z</cp:lastPrinted>
  <dcterms:created xsi:type="dcterms:W3CDTF">2017-03-23T15:52:11Z</dcterms:created>
  <dcterms:modified xsi:type="dcterms:W3CDTF">2020-06-05T17:28:33Z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0x0101009FB41D25D924764489E6FFC3F6FE64D1</vt:lpwstr>
  </property>
</Properties>
</file>